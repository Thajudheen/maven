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4000" windowHeight="5100" tabRatio="689"/>
  </bookViews>
  <sheets>
    <sheet name="Secondary Process MC" sheetId="1" r:id="rId1"/>
    <sheet name="Stamping Process MC" sheetId="2" r:id="rId2"/>
    <sheet name="SoftTool Process MC" sheetId="3" state="hidden" r:id="rId3"/>
    <sheet name="ColdForging Process MC" sheetId="4" state="hidden" r:id="rId4"/>
    <sheet name="DieCasting Process MC" sheetId="5" state="hidden" r:id="rId5"/>
    <sheet name="Factory Labour and MasterData" sheetId="6" r:id="rId6"/>
    <sheet name="Reference--&gt;" sheetId="7" r:id="rId7"/>
    <sheet name="MC RATE" sheetId="8" r:id="rId8"/>
  </sheets>
  <definedNames>
    <definedName name="EFFICIENCY">'MC RATE'!$B$6:$J$18</definedName>
    <definedName name="MC_RATE_A">'MC RATE'!$B$6:$C$38</definedName>
    <definedName name="MC_RATE_B">'MC RATE'!$B$6:$D$38</definedName>
    <definedName name="SETUP_TIME">'MC RATE'!$B$6:$G$38</definedName>
    <definedName name="SPM">'MC RATE'!$B$6:$I$18</definedName>
    <definedName name="TM">'MC RATE'!$B$6:$AE$38</definedName>
  </definedNames>
  <calcPr calcId="144525"/>
</workbook>
</file>

<file path=xl/calcChain.xml><?xml version="1.0" encoding="utf-8"?>
<calcChain xmlns="http://schemas.openxmlformats.org/spreadsheetml/2006/main">
  <c r="E19" i="2" l="1"/>
  <c r="E18" i="2"/>
  <c r="E17" i="2"/>
  <c r="E16" i="2"/>
  <c r="E15" i="2"/>
  <c r="E14" i="2"/>
  <c r="E13" i="2"/>
  <c r="E12" i="2"/>
  <c r="E11" i="2"/>
  <c r="E10" i="2"/>
  <c r="E9" i="2"/>
  <c r="E8" i="2"/>
  <c r="F19" i="2" l="1"/>
  <c r="F18" i="2"/>
  <c r="F17" i="2"/>
  <c r="F16" i="2"/>
  <c r="F15" i="2"/>
  <c r="F14" i="2"/>
  <c r="F13" i="2"/>
  <c r="F12" i="2"/>
  <c r="F11" i="2"/>
  <c r="F10" i="2"/>
  <c r="F9" i="2"/>
  <c r="F8" i="2"/>
  <c r="I78" i="8" l="1"/>
  <c r="J78" i="8" s="1"/>
  <c r="J77" i="8"/>
  <c r="I77" i="8"/>
  <c r="I76" i="8"/>
  <c r="J76" i="8" s="1"/>
  <c r="J75" i="8"/>
  <c r="I75" i="8"/>
  <c r="I74" i="8"/>
  <c r="J74" i="8" s="1"/>
  <c r="J73" i="8"/>
  <c r="I73" i="8"/>
  <c r="I72" i="8"/>
  <c r="J72" i="8" s="1"/>
  <c r="J71" i="8"/>
  <c r="I71" i="8"/>
  <c r="I70" i="8"/>
  <c r="J70" i="8" s="1"/>
  <c r="J69" i="8"/>
  <c r="I69" i="8"/>
  <c r="H18" i="8"/>
  <c r="H17" i="8"/>
  <c r="H16" i="8"/>
  <c r="H15" i="8"/>
  <c r="H14" i="8"/>
  <c r="H13" i="8"/>
  <c r="H12" i="8"/>
  <c r="H11" i="8"/>
  <c r="H10" i="8"/>
  <c r="H9" i="8"/>
  <c r="H8" i="8"/>
  <c r="H7" i="8"/>
  <c r="H6" i="8"/>
</calcChain>
</file>

<file path=xl/comments1.xml><?xml version="1.0" encoding="utf-8"?>
<comments xmlns="http://schemas.openxmlformats.org/spreadsheetml/2006/main">
  <authors>
    <author>TC</author>
  </authors>
  <commentList>
    <comment ref="L6" authorId="0">
      <text>
        <r>
          <rPr>
            <b/>
            <sz val="9"/>
            <color indexed="81"/>
            <rFont val="Tahoma"/>
            <family val="2"/>
          </rPr>
          <t xml:space="preserve">Yu Yu San: This Master Data is optional , Can input manual in CPQ
</t>
        </r>
        <r>
          <rPr>
            <sz val="9"/>
            <color indexed="81"/>
            <rFont val="Tahoma"/>
            <family val="2"/>
          </rPr>
          <t xml:space="preserve">
</t>
        </r>
      </text>
    </comment>
    <comment ref="N6" authorId="0">
      <text>
        <r>
          <rPr>
            <b/>
            <sz val="9"/>
            <color indexed="81"/>
            <rFont val="Tahoma"/>
            <family val="2"/>
          </rPr>
          <t>Yu Yu San: This Master Data is optional , Can input manual in CPQ</t>
        </r>
        <r>
          <rPr>
            <sz val="9"/>
            <color indexed="81"/>
            <rFont val="Tahoma"/>
            <family val="2"/>
          </rPr>
          <t xml:space="preserve">
</t>
        </r>
      </text>
    </comment>
  </commentList>
</comments>
</file>

<file path=xl/comments2.xml><?xml version="1.0" encoding="utf-8"?>
<comments xmlns="http://schemas.openxmlformats.org/spreadsheetml/2006/main">
  <authors>
    <author>TC</author>
  </authors>
  <commentList>
    <comment ref="L2" authorId="0">
      <text>
        <r>
          <rPr>
            <b/>
            <sz val="9"/>
            <color indexed="81"/>
            <rFont val="Tahoma"/>
            <family val="2"/>
          </rPr>
          <t xml:space="preserve">Yu Yu San: This Master Data is optional , Can input manual in CPQ
</t>
        </r>
        <r>
          <rPr>
            <sz val="9"/>
            <color indexed="81"/>
            <rFont val="Tahoma"/>
            <family val="2"/>
          </rPr>
          <t xml:space="preserve">
</t>
        </r>
      </text>
    </comment>
    <comment ref="N2" authorId="0">
      <text>
        <r>
          <rPr>
            <b/>
            <sz val="9"/>
            <color indexed="81"/>
            <rFont val="Tahoma"/>
            <family val="2"/>
          </rPr>
          <t>Yu Yu San: This Master Data is optional , Can input manual in CPQ</t>
        </r>
        <r>
          <rPr>
            <sz val="9"/>
            <color indexed="81"/>
            <rFont val="Tahoma"/>
            <family val="2"/>
          </rPr>
          <t xml:space="preserve">
</t>
        </r>
      </text>
    </comment>
  </commentList>
</comments>
</file>

<file path=xl/sharedStrings.xml><?xml version="1.0" encoding="utf-8"?>
<sst xmlns="http://schemas.openxmlformats.org/spreadsheetml/2006/main" count="491" uniqueCount="250">
  <si>
    <t>Machine</t>
  </si>
  <si>
    <t>Machine Description</t>
  </si>
  <si>
    <t>Process Type</t>
  </si>
  <si>
    <t>MSU RATE A
 [US$/hr]</t>
  </si>
  <si>
    <t>MSU RATE B
 [US$/hr]</t>
  </si>
  <si>
    <t>MSU RATE C
 [US$/hr]</t>
  </si>
  <si>
    <t>MSU RATE D
 [US$/hr]</t>
  </si>
  <si>
    <t>MSU RATE E 
[US$/hr]</t>
  </si>
  <si>
    <t>MSU RATE Z
[US$ / hr]</t>
  </si>
  <si>
    <t xml:space="preserve"> Labour
[US$ / hr]</t>
  </si>
  <si>
    <t>Labour Head Count / Hr
[Man Power]</t>
  </si>
  <si>
    <t>Setup 
[US$ / hr]</t>
  </si>
  <si>
    <t>Qc
[US$ / hr]</t>
  </si>
  <si>
    <t>Setup Time
(Hr)</t>
  </si>
  <si>
    <t>Profit Cube Rate
 (No depriciation)</t>
  </si>
  <si>
    <t>Process Labour Cost per Hour</t>
  </si>
  <si>
    <t>Total Labour to operate a Machine for one hour in hours</t>
  </si>
  <si>
    <t>SU Cost per Hour</t>
  </si>
  <si>
    <t>SU Time in Hours</t>
  </si>
  <si>
    <t>Machine Cost / pc</t>
  </si>
  <si>
    <t>We check how many loads are required. If MOQ is lesser than the Qty / load, we will still use one full load. The full time per MOQ is calculated and the costs are divided by the MOQ</t>
  </si>
  <si>
    <t>Setup Cost / pc</t>
  </si>
  <si>
    <t>We first calculate how many setups are required for the MOQ. Number of Setups is multiplied with the Setup time and Rate and divided by MOQ</t>
  </si>
  <si>
    <t>Labour Cost / pc</t>
  </si>
  <si>
    <t>Labour cost depend on the Head count assigned to the process and the number per run. Then divided by the MOQ. No inline Packaging is assigned, only the operator. Inline packaging will be another process.</t>
  </si>
  <si>
    <t>Additional Cost / pc</t>
  </si>
  <si>
    <t>Fix items that are not in the MSU can be added inside additional costs. E.g. special tooling like expensive drills that need to be replaced after producing a certain amount</t>
  </si>
  <si>
    <t>Quality Cost / pc</t>
  </si>
  <si>
    <t>Quality work with the time required for quality. This inspection needs to be done when each run starts.</t>
  </si>
  <si>
    <t>Setup Time (hr)</t>
  </si>
  <si>
    <t>Qty per Hr first calculate with 3600 divided by Cycle Time. If there is Effiency and cavity , Qty per Hr is mutipled with cavity and effiency%. Machine Cost/Pc is calculated MSU Rate divided by Qty per Hr.</t>
  </si>
  <si>
    <t>Qty per Hr first calculate with Strokes Per Minute is multipled with 60. Machine Cost/Pc is calculated MSU Rate divided by Qty per Hr.</t>
  </si>
  <si>
    <t>US$</t>
  </si>
  <si>
    <t>selfEvaporatingOilFinishingRate [US$]</t>
  </si>
  <si>
    <t>Self Evaporating Oil Finshing Rate</t>
  </si>
  <si>
    <t>degreasingFinishingRate  [US$]</t>
  </si>
  <si>
    <t>Degreasing Finishing Rate</t>
  </si>
  <si>
    <t>labourCostAssembly  [US$]</t>
  </si>
  <si>
    <t>Labour Cost (Assembly) for Assembly Process</t>
  </si>
  <si>
    <t>labourCostEngineering  [US$]</t>
  </si>
  <si>
    <t>Labour Cost (Engineering)</t>
  </si>
  <si>
    <t>labourCostFloorArea  [US$]</t>
  </si>
  <si>
    <t xml:space="preserve">Floor Area Cost per sq meter </t>
  </si>
  <si>
    <t>New Investment</t>
  </si>
  <si>
    <t>factoryElectricalPower [US$]</t>
  </si>
  <si>
    <t>Electrical Cost / kwh</t>
  </si>
  <si>
    <t>factoryWaterCuM [US$]</t>
  </si>
  <si>
    <t>Water/ Coolant Rate per Cu.m</t>
  </si>
  <si>
    <t>factoryAllowancePercent [%]</t>
  </si>
  <si>
    <t>Allowance Percent for Direct Labour ( the data is needed to calculate Allowance / Month)</t>
  </si>
  <si>
    <t>factoryEmpContrPercent [%]</t>
  </si>
  <si>
    <t>Emp Contr Percent for Direct Labour (the data is needed to calculate Emp Contr/Month)</t>
  </si>
  <si>
    <t>mcOperatorBasicSalaryPerMth  [US$]</t>
  </si>
  <si>
    <t>M/C Operators Basic Salary Per Month</t>
  </si>
  <si>
    <t>packerBasicSalaryPerMth  [US$]</t>
  </si>
  <si>
    <t>Packer  Basic Salary Per Month</t>
  </si>
  <si>
    <t>materialHandlerBasicSalaryPerMth  [US$]</t>
  </si>
  <si>
    <t>Material Handler Basic Salary Per Month</t>
  </si>
  <si>
    <t>qcInspectorBasicSalaryPerMth  [US$]</t>
  </si>
  <si>
    <t>QC Inspector  Basic Salary Per Month</t>
  </si>
  <si>
    <t>clerkBasicSalaryPerMth  [US$]</t>
  </si>
  <si>
    <t>Clerk  Basic Salary Per Month</t>
  </si>
  <si>
    <t>storeKeeperBasicSalaryPerMth  [US$]</t>
  </si>
  <si>
    <t>Store Keeper Basic Salary Per Month</t>
  </si>
  <si>
    <t>driverBasicSalaryPerMth  [US$]</t>
  </si>
  <si>
    <t>Driver Basic Salary Per Month</t>
  </si>
  <si>
    <t>leaderBasicSalaryPerMth  [US$]</t>
  </si>
  <si>
    <t>Leader Basic Salary Per Month</t>
  </si>
  <si>
    <t>technicianBasicSalaryPerMth  [US$]</t>
  </si>
  <si>
    <t>Techinician / set up Basic Salary Per Month</t>
  </si>
  <si>
    <t>buyerBasicSalaryPerMth  [US$]</t>
  </si>
  <si>
    <t>Buyer Basic Salary Per Month</t>
  </si>
  <si>
    <t>supervisorBasicSalaryPerMth  [US$]</t>
  </si>
  <si>
    <t>Supervisor Basic Salary Per Month</t>
  </si>
  <si>
    <t>processEngineerBasicSalaryPerMth  [US$]</t>
  </si>
  <si>
    <t>Process Engineer Basic Salary Per Month</t>
  </si>
  <si>
    <t>Labour Operation (LO)</t>
  </si>
  <si>
    <t>Labour Packaging (LP)</t>
  </si>
  <si>
    <t>Labour Quality (LQ)</t>
  </si>
  <si>
    <t>DIR. LABOR-STAMP</t>
  </si>
  <si>
    <t>DIR. LABOR-PACKING</t>
  </si>
  <si>
    <t>QA / LOAD-STAMP</t>
  </si>
  <si>
    <t>Capacity
[SPM,Surface Area]</t>
  </si>
  <si>
    <t>Process Rate per Capacity</t>
  </si>
  <si>
    <t>Cost/Stroke or Mins or SurfaceArea</t>
  </si>
  <si>
    <t>Cost Components excluded in MSU Calculation:</t>
  </si>
  <si>
    <t>Cost Components excluded 
in MSU Calculation:</t>
  </si>
  <si>
    <t>Cost Components excluded 
in MSU Calculation:
(None)</t>
  </si>
  <si>
    <t xml:space="preserve">
Cost Components excluded 
in MSU Calculation:</t>
  </si>
  <si>
    <t>EXCL:</t>
  </si>
  <si>
    <t>none</t>
  </si>
  <si>
    <t>A75035T</t>
  </si>
  <si>
    <t>A75060T</t>
  </si>
  <si>
    <t>A75110T</t>
  </si>
  <si>
    <t>A75160T</t>
  </si>
  <si>
    <t>A75200T</t>
  </si>
  <si>
    <t>A75300T</t>
  </si>
  <si>
    <t>A75400T</t>
  </si>
  <si>
    <t>M75060T</t>
  </si>
  <si>
    <t>M75110T</t>
  </si>
  <si>
    <t>M75160T</t>
  </si>
  <si>
    <t>M75200T</t>
  </si>
  <si>
    <t>M75300T</t>
  </si>
  <si>
    <t>35T 自动冲床</t>
  </si>
  <si>
    <t>60T 自动冲床</t>
  </si>
  <si>
    <t>110T 自动冲床</t>
  </si>
  <si>
    <t>160T 自动冲床</t>
  </si>
  <si>
    <t>200T 自动冲床</t>
  </si>
  <si>
    <t>300T 自动冲床</t>
  </si>
  <si>
    <t>400T 自动冲床</t>
  </si>
  <si>
    <t>手动冲床</t>
  </si>
  <si>
    <t>Progressive</t>
  </si>
  <si>
    <t>Manual</t>
  </si>
  <si>
    <t>T85001T</t>
  </si>
  <si>
    <t>T85002T</t>
  </si>
  <si>
    <t>R85001T</t>
  </si>
  <si>
    <t>W85001T</t>
  </si>
  <si>
    <t>W85001B1</t>
  </si>
  <si>
    <t>W85001B2</t>
  </si>
  <si>
    <t>H85001T</t>
  </si>
  <si>
    <t>S85001AS</t>
  </si>
  <si>
    <t>ASF400R</t>
  </si>
  <si>
    <t>AASY001</t>
  </si>
  <si>
    <t>AASY002</t>
  </si>
  <si>
    <t>AASYEAL1</t>
  </si>
  <si>
    <t>AASYEAL2</t>
  </si>
  <si>
    <t>AASYEAL3</t>
  </si>
  <si>
    <t>AASYEAL4</t>
  </si>
  <si>
    <t>ASYHA06T</t>
  </si>
  <si>
    <t>ASYHP50T</t>
  </si>
  <si>
    <t>P85001AS</t>
  </si>
  <si>
    <t>Sec Pro Tappig</t>
  </si>
  <si>
    <t>Sec Pro Rivetting</t>
  </si>
  <si>
    <t>Sec ProcessWelding</t>
  </si>
  <si>
    <t>Degreasing</t>
  </si>
  <si>
    <t>Heat Mounting</t>
  </si>
  <si>
    <t>Silk Printing</t>
  </si>
  <si>
    <t>Coiling Process</t>
  </si>
  <si>
    <t>Assembly Workcenter</t>
  </si>
  <si>
    <t>攻丝机</t>
  </si>
  <si>
    <t>铆接机</t>
  </si>
  <si>
    <t>点焊机</t>
  </si>
  <si>
    <t>电解离子水清洗机</t>
    <phoneticPr fontId="5" type="noConversion"/>
  </si>
  <si>
    <t>超声波清洗机</t>
    <phoneticPr fontId="5" type="noConversion"/>
  </si>
  <si>
    <t>热熔</t>
  </si>
  <si>
    <t>丝印</t>
  </si>
  <si>
    <t>弹簧机</t>
  </si>
  <si>
    <t>组装线</t>
  </si>
  <si>
    <t>labourCostPackaging [US$]</t>
  </si>
  <si>
    <t>Labour Cost (Packaging)</t>
  </si>
  <si>
    <t>HOURLY MACHINE RATE FOR AMTEK INDUSTRIES (AHIL / AZIL)</t>
  </si>
  <si>
    <t>factor=</t>
    <phoneticPr fontId="0" type="noConversion"/>
  </si>
  <si>
    <t>AHIL/AZIL MACHINE RATE (USD)</t>
  </si>
  <si>
    <t>CRS/BRASS/COPPER/Alu 1100/ Alu 3033</t>
  </si>
  <si>
    <t>COATED ZINC/ Alu 5052/ Alu 6061</t>
  </si>
  <si>
    <t>SUS / C45 / Bimetal</t>
  </si>
  <si>
    <t>MACHINE #</t>
  </si>
  <si>
    <t>A</t>
  </si>
  <si>
    <t>B</t>
  </si>
  <si>
    <t>M/C TYPE</t>
  </si>
  <si>
    <t>PROCESS</t>
  </si>
  <si>
    <t>SETUP TIME</t>
  </si>
  <si>
    <t>OUTPUT/HR</t>
  </si>
  <si>
    <t>SPM</t>
  </si>
  <si>
    <t>EFFICIENCY</t>
  </si>
  <si>
    <r>
      <t>0.05&lt;t</t>
    </r>
    <r>
      <rPr>
        <u/>
        <sz val="10"/>
        <rFont val="Times New Roman"/>
        <family val="1"/>
      </rPr>
      <t>&lt;</t>
    </r>
    <r>
      <rPr>
        <sz val="10"/>
        <rFont val="Times New Roman"/>
        <family val="1"/>
      </rPr>
      <t>0.25</t>
    </r>
  </si>
  <si>
    <r>
      <t>0.25&lt;t</t>
    </r>
    <r>
      <rPr>
        <u/>
        <sz val="10"/>
        <rFont val="Times New Roman"/>
        <family val="1"/>
      </rPr>
      <t>&lt;</t>
    </r>
    <r>
      <rPr>
        <sz val="10"/>
        <rFont val="Times New Roman"/>
        <family val="1"/>
      </rPr>
      <t>0.5</t>
    </r>
  </si>
  <si>
    <r>
      <t>0.5&lt;t</t>
    </r>
    <r>
      <rPr>
        <u/>
        <sz val="9"/>
        <rFont val="Times New Roman"/>
        <family val="1"/>
      </rPr>
      <t>&lt;</t>
    </r>
    <r>
      <rPr>
        <sz val="9"/>
        <rFont val="Times New Roman"/>
        <family val="1"/>
      </rPr>
      <t>1.0</t>
    </r>
  </si>
  <si>
    <r>
      <t>1.1&lt;t</t>
    </r>
    <r>
      <rPr>
        <u/>
        <sz val="10"/>
        <rFont val="Tahoma"/>
        <family val="2"/>
      </rPr>
      <t>&lt;</t>
    </r>
    <r>
      <rPr>
        <sz val="11"/>
        <color theme="1"/>
        <rFont val="Calibri"/>
        <family val="2"/>
        <scheme val="minor"/>
      </rPr>
      <t>1.5</t>
    </r>
  </si>
  <si>
    <r>
      <t>1.6&lt;t</t>
    </r>
    <r>
      <rPr>
        <u/>
        <sz val="10"/>
        <rFont val="Tahoma"/>
        <family val="2"/>
      </rPr>
      <t>&lt;</t>
    </r>
    <r>
      <rPr>
        <sz val="11"/>
        <color theme="1"/>
        <rFont val="Calibri"/>
        <family val="2"/>
        <scheme val="minor"/>
      </rPr>
      <t>2.0</t>
    </r>
  </si>
  <si>
    <r>
      <t>2.0</t>
    </r>
    <r>
      <rPr>
        <sz val="10"/>
        <rFont val="Tahoma"/>
        <family val="2"/>
      </rPr>
      <t>&lt;</t>
    </r>
    <r>
      <rPr>
        <sz val="11"/>
        <color theme="1"/>
        <rFont val="Calibri"/>
        <family val="2"/>
        <scheme val="minor"/>
      </rPr>
      <t>t</t>
    </r>
    <r>
      <rPr>
        <u/>
        <sz val="10"/>
        <rFont val="Tahoma"/>
        <family val="2"/>
      </rPr>
      <t>&lt;</t>
    </r>
    <r>
      <rPr>
        <sz val="11"/>
        <color theme="1"/>
        <rFont val="Calibri"/>
        <family val="2"/>
        <scheme val="minor"/>
      </rPr>
      <t>2.6</t>
    </r>
  </si>
  <si>
    <r>
      <t>2.6</t>
    </r>
    <r>
      <rPr>
        <sz val="10"/>
        <rFont val="Tahoma"/>
        <family val="2"/>
      </rPr>
      <t>&lt;</t>
    </r>
    <r>
      <rPr>
        <sz val="11"/>
        <color theme="1"/>
        <rFont val="Calibri"/>
        <family val="2"/>
        <scheme val="minor"/>
      </rPr>
      <t>t</t>
    </r>
    <r>
      <rPr>
        <u/>
        <sz val="10"/>
        <rFont val="Tahoma"/>
        <family val="2"/>
      </rPr>
      <t>&lt;</t>
    </r>
    <r>
      <rPr>
        <sz val="11"/>
        <color theme="1"/>
        <rFont val="Calibri"/>
        <family val="2"/>
        <scheme val="minor"/>
      </rPr>
      <t>3.2</t>
    </r>
  </si>
  <si>
    <t>3 shift</t>
    <phoneticPr fontId="0" type="noConversion"/>
  </si>
  <si>
    <t>2 shift</t>
    <phoneticPr fontId="0" type="noConversion"/>
  </si>
  <si>
    <r>
      <t>A</t>
    </r>
    <r>
      <rPr>
        <sz val="11"/>
        <color theme="1"/>
        <rFont val="Calibri"/>
        <family val="2"/>
        <scheme val="minor"/>
      </rPr>
      <t>35</t>
    </r>
  </si>
  <si>
    <t>A60</t>
    <phoneticPr fontId="0" type="noConversion"/>
  </si>
  <si>
    <r>
      <t>A</t>
    </r>
    <r>
      <rPr>
        <sz val="11"/>
        <color theme="1"/>
        <rFont val="Calibri"/>
        <family val="2"/>
        <scheme val="minor"/>
      </rPr>
      <t>110</t>
    </r>
  </si>
  <si>
    <r>
      <t>A</t>
    </r>
    <r>
      <rPr>
        <sz val="11"/>
        <color theme="1"/>
        <rFont val="Calibri"/>
        <family val="2"/>
        <scheme val="minor"/>
      </rPr>
      <t>160</t>
    </r>
  </si>
  <si>
    <t>A200</t>
    <phoneticPr fontId="0" type="noConversion"/>
  </si>
  <si>
    <t>A250</t>
    <phoneticPr fontId="0" type="noConversion"/>
  </si>
  <si>
    <t>A300</t>
    <phoneticPr fontId="0" type="noConversion"/>
  </si>
  <si>
    <t>A400</t>
    <phoneticPr fontId="0" type="noConversion"/>
  </si>
  <si>
    <t>M60</t>
    <phoneticPr fontId="0" type="noConversion"/>
  </si>
  <si>
    <t>M110</t>
    <phoneticPr fontId="0" type="noConversion"/>
  </si>
  <si>
    <r>
      <t>M1</t>
    </r>
    <r>
      <rPr>
        <sz val="11"/>
        <color theme="1"/>
        <rFont val="Calibri"/>
        <family val="2"/>
        <scheme val="minor"/>
      </rPr>
      <t>6</t>
    </r>
    <r>
      <rPr>
        <sz val="11"/>
        <color theme="1"/>
        <rFont val="Calibri"/>
        <family val="2"/>
        <scheme val="minor"/>
      </rPr>
      <t>0</t>
    </r>
  </si>
  <si>
    <t>M200</t>
    <phoneticPr fontId="0" type="noConversion"/>
  </si>
  <si>
    <t>M300</t>
    <phoneticPr fontId="0" type="noConversion"/>
  </si>
  <si>
    <t>1 Spindle Tap</t>
  </si>
  <si>
    <t>Tapping</t>
  </si>
  <si>
    <t>NA</t>
  </si>
  <si>
    <t>2 Spindle</t>
  </si>
  <si>
    <t>3 Spindle</t>
  </si>
  <si>
    <t>4 Spindle</t>
  </si>
  <si>
    <t>5 Spindle</t>
  </si>
  <si>
    <t>6 Spindle</t>
  </si>
  <si>
    <t>7 Spindle</t>
  </si>
  <si>
    <t>8 Spindle</t>
  </si>
  <si>
    <t>9 Spindle</t>
  </si>
  <si>
    <t>10 Spindle</t>
  </si>
  <si>
    <t>Multi ST</t>
  </si>
  <si>
    <t>AUTOTAP</t>
  </si>
  <si>
    <t>Auto Tap</t>
  </si>
  <si>
    <t>DRILL</t>
  </si>
  <si>
    <t>Drill</t>
  </si>
  <si>
    <t>S/RIVET</t>
  </si>
  <si>
    <t>Rivet</t>
  </si>
  <si>
    <t>STAKE 6T</t>
  </si>
  <si>
    <t>Staking</t>
  </si>
  <si>
    <t>25 KVA</t>
  </si>
  <si>
    <t>Spot Weld</t>
  </si>
  <si>
    <t>35 KVA</t>
  </si>
  <si>
    <t>65 KVA</t>
  </si>
  <si>
    <t>360KVA</t>
  </si>
  <si>
    <t>480KVA</t>
  </si>
  <si>
    <t>PRESSBRAKE @ US$0.16/BEND,</t>
    <phoneticPr fontId="0" type="noConversion"/>
  </si>
  <si>
    <t xml:space="preserve">TAPPING @ US$0.013/HOLE, </t>
    <phoneticPr fontId="0" type="noConversion"/>
  </si>
  <si>
    <t>STAKING @ US$0.04/STROKE.</t>
    <phoneticPr fontId="0" type="noConversion"/>
  </si>
  <si>
    <t xml:space="preserve"> SPOT WELDING @ US$0.08/SPOT</t>
    <phoneticPr fontId="0" type="noConversion"/>
  </si>
  <si>
    <t>****  Spot Weld Take note of material to material compound.</t>
  </si>
  <si>
    <t>AL1050</t>
  </si>
  <si>
    <t>TM1</t>
  </si>
  <si>
    <t>TM2</t>
  </si>
  <si>
    <t>TM3</t>
  </si>
  <si>
    <t>AL1100 H14</t>
  </si>
  <si>
    <t>AL5005 H34</t>
  </si>
  <si>
    <t>AL5052 H32</t>
  </si>
  <si>
    <t>C1020</t>
  </si>
  <si>
    <t>C1100</t>
  </si>
  <si>
    <t>C1200</t>
  </si>
  <si>
    <t>C2600</t>
  </si>
  <si>
    <t>C2680</t>
  </si>
  <si>
    <t>C5191</t>
  </si>
  <si>
    <t>C7701</t>
  </si>
  <si>
    <t>SECC-C</t>
  </si>
  <si>
    <t>SECC-P</t>
  </si>
  <si>
    <t>SGCC</t>
  </si>
  <si>
    <t>SPCC-SD</t>
  </si>
  <si>
    <t>SPTE</t>
  </si>
  <si>
    <t>STS34</t>
  </si>
  <si>
    <t>Sumi Black</t>
  </si>
  <si>
    <t>SUS 301 1/2H</t>
  </si>
  <si>
    <t>SUS 301 3/4H</t>
  </si>
  <si>
    <t>SUS 301 FH</t>
  </si>
  <si>
    <t>SUS 304 1/2H</t>
  </si>
  <si>
    <t>SUS 304 3/4H</t>
  </si>
  <si>
    <t>SUS 304 FH</t>
  </si>
  <si>
    <t>SUS 430 2B</t>
  </si>
  <si>
    <t>SUS 430 Annealed</t>
  </si>
  <si>
    <t>SUS 430 BA</t>
  </si>
  <si>
    <t>Terne Steel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</si>
</sst>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quot;$&quot;#,##0.00"/>
    <numFmt numFmtId="165" formatCode="&quot;$&quot;#,##0.00;\(&quot;$&quot;#,##0.00\)"/>
    <numFmt numFmtId="166" formatCode="#,##0.0"/>
  </numFmts>
  <fonts count="27">
    <font>
      <sz val="11"/>
      <color theme="1"/>
      <name val="Calibri"/>
      <family val="2"/>
      <scheme val="minor"/>
    </font>
    <font>
      <sz val="8"/>
      <color theme="1"/>
      <name val="Arial Narrow"/>
      <family val="2"/>
    </font>
    <font>
      <b/>
      <sz val="8"/>
      <color theme="1"/>
      <name val="Arial Narrow"/>
      <family val="2"/>
    </font>
    <font>
      <strike/>
      <sz val="8"/>
      <color theme="1"/>
      <name val="Arial Narrow"/>
      <family val="2"/>
    </font>
    <font>
      <b/>
      <sz val="9"/>
      <color indexed="81"/>
      <name val="Tahoma"/>
      <family val="2"/>
    </font>
    <font>
      <sz val="9"/>
      <color indexed="81"/>
      <name val="Tahoma"/>
      <family val="2"/>
    </font>
    <font>
      <sz val="11"/>
      <color theme="1"/>
      <name val="Calibri"/>
      <family val="2"/>
      <scheme val="minor"/>
    </font>
    <font>
      <sz val="8"/>
      <color rgb="FFFF0000"/>
      <name val="Arial Narrow"/>
      <family val="2"/>
    </font>
    <font>
      <strike/>
      <sz val="11"/>
      <color theme="1"/>
      <name val="Calibri"/>
      <family val="2"/>
      <scheme val="minor"/>
    </font>
    <font>
      <b/>
      <sz val="11"/>
      <color theme="1"/>
      <name val="Calibri"/>
      <family val="2"/>
      <scheme val="minor"/>
    </font>
    <font>
      <sz val="10"/>
      <name val="Arial"/>
      <family val="2"/>
    </font>
    <font>
      <b/>
      <sz val="9"/>
      <name val="Times New Roman"/>
      <family val="1"/>
    </font>
    <font>
      <sz val="9"/>
      <name val="Times New Roman"/>
      <family val="1"/>
    </font>
    <font>
      <b/>
      <sz val="10"/>
      <color indexed="12"/>
      <name val="Times New Roman"/>
      <family val="1"/>
    </font>
    <font>
      <sz val="10"/>
      <name val="Times New Roman"/>
      <family val="1"/>
    </font>
    <font>
      <u/>
      <sz val="10"/>
      <name val="Times New Roman"/>
      <family val="1"/>
    </font>
    <font>
      <u/>
      <sz val="9"/>
      <name val="Times New Roman"/>
      <family val="1"/>
    </font>
    <font>
      <u/>
      <sz val="10"/>
      <name val="Tahoma"/>
      <family val="2"/>
    </font>
    <font>
      <sz val="10"/>
      <name val="Tahoma"/>
      <family val="2"/>
    </font>
    <font>
      <sz val="10"/>
      <color indexed="12"/>
      <name val="Arial"/>
      <family val="2"/>
    </font>
    <font>
      <sz val="11"/>
      <name val="Times New Roman"/>
      <family val="1"/>
    </font>
    <font>
      <sz val="12"/>
      <name val="Times New Roman"/>
      <family val="1"/>
    </font>
    <font>
      <b/>
      <sz val="10"/>
      <name val="Arial"/>
      <family val="2"/>
    </font>
    <font>
      <sz val="9"/>
      <color indexed="8"/>
      <name val="Times New Roman"/>
      <family val="1"/>
    </font>
    <font>
      <sz val="8"/>
      <color indexed="8"/>
      <name val="Times New Roman"/>
      <family val="1"/>
    </font>
    <font>
      <sz val="12"/>
      <name val="新細明體"/>
      <family val="1"/>
    </font>
    <font>
      <b/>
      <sz val="11"/>
      <color rgb="FF0000FF"/>
      <name val="Calibri"/>
      <family val="2"/>
      <scheme val="minor"/>
    </font>
  </fonts>
  <fills count="9">
    <fill>
      <patternFill patternType="none"/>
    </fill>
    <fill>
      <patternFill patternType="gray125"/>
    </fill>
    <fill>
      <patternFill patternType="solid">
        <fgColor rgb="FF00B050"/>
        <bgColor indexed="64"/>
      </patternFill>
    </fill>
    <fill>
      <patternFill patternType="solid">
        <fgColor rgb="FFFFC000"/>
        <bgColor indexed="64"/>
      </patternFill>
    </fill>
    <fill>
      <patternFill patternType="solid">
        <fgColor theme="3" tint="0.79998168889431442"/>
        <bgColor indexed="64"/>
      </patternFill>
    </fill>
    <fill>
      <patternFill patternType="solid">
        <fgColor indexed="44"/>
        <bgColor indexed="64"/>
      </patternFill>
    </fill>
    <fill>
      <patternFill patternType="solid">
        <fgColor indexed="42"/>
        <bgColor indexed="64"/>
      </patternFill>
    </fill>
    <fill>
      <patternFill patternType="solid">
        <fgColor indexed="22"/>
        <bgColor indexed="64"/>
      </patternFill>
    </fill>
    <fill>
      <patternFill patternType="solid">
        <fgColor rgb="FFFFFF00"/>
        <bgColor indexed="64"/>
      </patternFill>
    </fill>
  </fills>
  <borders count="47">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diagonal/>
    </border>
    <border>
      <left/>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s>
  <cellStyleXfs count="8">
    <xf numFmtId="0" fontId="0" fillId="0" borderId="0"/>
    <xf numFmtId="0" fontId="1" fillId="0" borderId="0"/>
    <xf numFmtId="43" fontId="6" fillId="0" borderId="0" applyFont="0" applyFill="0" applyBorder="0" applyAlignment="0" applyProtection="0"/>
    <xf numFmtId="0" fontId="10" fillId="0" borderId="0"/>
    <xf numFmtId="0" fontId="21" fillId="0" borderId="0"/>
    <xf numFmtId="0" fontId="25" fillId="0" borderId="0"/>
    <xf numFmtId="0" fontId="10" fillId="0" borderId="0" applyProtection="0"/>
    <xf numFmtId="0" fontId="10" fillId="0" borderId="0"/>
  </cellStyleXfs>
  <cellXfs count="179">
    <xf numFmtId="0" fontId="0" fillId="0" borderId="0" xfId="0"/>
    <xf numFmtId="0" fontId="0" fillId="0" borderId="1" xfId="0" applyBorder="1"/>
    <xf numFmtId="0" fontId="0" fillId="0" borderId="2" xfId="0" applyBorder="1"/>
    <xf numFmtId="0" fontId="0" fillId="0" borderId="3" xfId="0" applyBorder="1"/>
    <xf numFmtId="0" fontId="0" fillId="0" borderId="3" xfId="0" applyBorder="1" applyAlignment="1">
      <alignment wrapText="1"/>
    </xf>
    <xf numFmtId="0" fontId="0" fillId="0" borderId="4" xfId="0" applyBorder="1" applyAlignment="1">
      <alignment wrapText="1"/>
    </xf>
    <xf numFmtId="0" fontId="0" fillId="0" borderId="5" xfId="0" applyBorder="1"/>
    <xf numFmtId="0" fontId="0" fillId="0" borderId="6" xfId="0" applyBorder="1"/>
    <xf numFmtId="0" fontId="0" fillId="0" borderId="7" xfId="0" applyBorder="1"/>
    <xf numFmtId="0" fontId="2" fillId="2" borderId="7" xfId="1" applyFont="1" applyFill="1" applyBorder="1" applyAlignment="1">
      <alignment wrapText="1"/>
    </xf>
    <xf numFmtId="0" fontId="2" fillId="2" borderId="8" xfId="1" applyFont="1" applyFill="1" applyBorder="1" applyAlignment="1">
      <alignment wrapText="1"/>
    </xf>
    <xf numFmtId="0" fontId="0" fillId="0" borderId="9" xfId="0" applyBorder="1"/>
    <xf numFmtId="0" fontId="0" fillId="0" borderId="10" xfId="0" applyBorder="1"/>
    <xf numFmtId="0" fontId="0" fillId="3" borderId="3" xfId="0" applyFill="1" applyBorder="1" applyAlignment="1">
      <alignment wrapText="1"/>
    </xf>
    <xf numFmtId="0" fontId="0" fillId="3" borderId="4" xfId="0" applyFill="1" applyBorder="1" applyAlignment="1">
      <alignment wrapText="1"/>
    </xf>
    <xf numFmtId="0" fontId="3" fillId="0" borderId="0" xfId="1" applyFont="1" applyAlignment="1">
      <alignment horizontal="center" wrapText="1"/>
    </xf>
    <xf numFmtId="0" fontId="2" fillId="2" borderId="11" xfId="1" applyFont="1" applyFill="1" applyBorder="1" applyAlignment="1">
      <alignment wrapText="1"/>
    </xf>
    <xf numFmtId="0" fontId="1" fillId="0" borderId="0" xfId="1" applyFill="1"/>
    <xf numFmtId="0" fontId="2" fillId="0" borderId="8" xfId="1" applyFont="1" applyFill="1" applyBorder="1" applyAlignment="1">
      <alignment wrapText="1"/>
    </xf>
    <xf numFmtId="0" fontId="0" fillId="0" borderId="0" xfId="0" applyBorder="1"/>
    <xf numFmtId="0" fontId="0" fillId="0" borderId="12" xfId="0" applyBorder="1"/>
    <xf numFmtId="0" fontId="2" fillId="0" borderId="7" xfId="1" applyFont="1" applyFill="1" applyBorder="1" applyAlignment="1">
      <alignment wrapText="1"/>
    </xf>
    <xf numFmtId="0" fontId="0" fillId="4" borderId="10" xfId="0" applyFill="1" applyBorder="1"/>
    <xf numFmtId="0" fontId="0" fillId="0" borderId="7" xfId="0" applyBorder="1" applyAlignment="1">
      <alignment wrapText="1"/>
    </xf>
    <xf numFmtId="0" fontId="0" fillId="0" borderId="0" xfId="0" applyBorder="1" applyAlignment="1">
      <alignment horizontal="right"/>
    </xf>
    <xf numFmtId="0" fontId="0" fillId="0" borderId="0" xfId="0" applyBorder="1" applyAlignment="1">
      <alignment horizontal="center"/>
    </xf>
    <xf numFmtId="0" fontId="7" fillId="0" borderId="0" xfId="0" applyFont="1" applyBorder="1" applyAlignment="1">
      <alignment horizontal="center"/>
    </xf>
    <xf numFmtId="0" fontId="7" fillId="0" borderId="8" xfId="0" applyFont="1" applyBorder="1" applyAlignment="1">
      <alignment horizontal="center"/>
    </xf>
    <xf numFmtId="0" fontId="0" fillId="0" borderId="8" xfId="0" applyBorder="1"/>
    <xf numFmtId="0" fontId="0" fillId="0" borderId="10" xfId="0" applyFill="1" applyBorder="1"/>
    <xf numFmtId="0" fontId="0" fillId="0" borderId="3" xfId="0" applyFill="1" applyBorder="1"/>
    <xf numFmtId="43" fontId="0" fillId="0" borderId="3" xfId="2" applyFont="1" applyFill="1" applyBorder="1" applyAlignment="1">
      <alignment horizontal="center"/>
    </xf>
    <xf numFmtId="43" fontId="0" fillId="0" borderId="10" xfId="2" applyFont="1" applyFill="1" applyBorder="1" applyAlignment="1">
      <alignment horizontal="center"/>
    </xf>
    <xf numFmtId="43" fontId="8" fillId="0" borderId="13" xfId="2" applyFont="1" applyFill="1" applyBorder="1" applyAlignment="1">
      <alignment horizontal="center"/>
    </xf>
    <xf numFmtId="43" fontId="8" fillId="0" borderId="0" xfId="2" applyFont="1" applyFill="1" applyBorder="1" applyAlignment="1">
      <alignment horizontal="center"/>
    </xf>
    <xf numFmtId="0" fontId="9" fillId="0" borderId="0" xfId="0" applyFont="1"/>
    <xf numFmtId="0" fontId="11" fillId="0" borderId="0" xfId="3" applyNumberFormat="1" applyFont="1" applyAlignment="1" applyProtection="1">
      <alignment horizontal="left" vertical="center"/>
    </xf>
    <xf numFmtId="0" fontId="12" fillId="0" borderId="0" xfId="3" applyFont="1" applyAlignment="1"/>
    <xf numFmtId="0" fontId="10" fillId="0" borderId="0" xfId="3"/>
    <xf numFmtId="0" fontId="10" fillId="5" borderId="14" xfId="3" applyFill="1" applyBorder="1" applyAlignment="1">
      <alignment horizontal="center"/>
    </xf>
    <xf numFmtId="0" fontId="10" fillId="0" borderId="14" xfId="3" applyBorder="1" applyAlignment="1">
      <alignment horizontal="center"/>
    </xf>
    <xf numFmtId="0" fontId="10" fillId="0" borderId="0" xfId="3" applyFill="1"/>
    <xf numFmtId="0" fontId="12" fillId="0" borderId="0" xfId="3" applyNumberFormat="1" applyFont="1" applyAlignment="1" applyProtection="1">
      <alignment horizontal="left" vertical="center"/>
    </xf>
    <xf numFmtId="0" fontId="13" fillId="0" borderId="0" xfId="3" applyNumberFormat="1" applyFont="1" applyAlignment="1" applyProtection="1">
      <alignment vertical="center"/>
    </xf>
    <xf numFmtId="0" fontId="10" fillId="0" borderId="0" xfId="3" applyAlignment="1">
      <alignment horizontal="center"/>
    </xf>
    <xf numFmtId="0" fontId="12" fillId="0" borderId="10" xfId="3" applyNumberFormat="1" applyFont="1" applyBorder="1" applyAlignment="1" applyProtection="1">
      <alignment horizontal="left" vertical="center"/>
    </xf>
    <xf numFmtId="0" fontId="12" fillId="0" borderId="10" xfId="3" applyNumberFormat="1" applyFont="1" applyBorder="1" applyAlignment="1" applyProtection="1">
      <alignment horizontal="center" vertical="center"/>
    </xf>
    <xf numFmtId="0" fontId="10" fillId="0" borderId="10" xfId="3" applyBorder="1" applyAlignment="1">
      <alignment horizontal="center"/>
    </xf>
    <xf numFmtId="0" fontId="14" fillId="0" borderId="10" xfId="3" applyNumberFormat="1" applyFont="1" applyBorder="1" applyAlignment="1" applyProtection="1">
      <alignment vertical="center"/>
    </xf>
    <xf numFmtId="0" fontId="14" fillId="0" borderId="10" xfId="3" applyNumberFormat="1" applyFont="1" applyBorder="1" applyAlignment="1" applyProtection="1">
      <alignment horizontal="center" vertical="center"/>
    </xf>
    <xf numFmtId="0" fontId="14" fillId="0" borderId="18" xfId="3" applyNumberFormat="1" applyFont="1" applyBorder="1" applyAlignment="1" applyProtection="1">
      <alignment vertical="center"/>
    </xf>
    <xf numFmtId="0" fontId="14" fillId="0" borderId="1" xfId="3" applyNumberFormat="1" applyFont="1" applyBorder="1" applyAlignment="1" applyProtection="1">
      <alignment horizontal="center" vertical="center"/>
    </xf>
    <xf numFmtId="0" fontId="14" fillId="0" borderId="3" xfId="3" applyNumberFormat="1" applyFont="1" applyBorder="1" applyAlignment="1" applyProtection="1">
      <alignment horizontal="center" vertical="center"/>
    </xf>
    <xf numFmtId="0" fontId="12" fillId="0" borderId="3" xfId="3" applyNumberFormat="1" applyFont="1" applyBorder="1" applyAlignment="1" applyProtection="1">
      <alignment horizontal="center" vertical="center"/>
    </xf>
    <xf numFmtId="0" fontId="10" fillId="0" borderId="3" xfId="3" applyBorder="1" applyAlignment="1">
      <alignment horizontal="center"/>
    </xf>
    <xf numFmtId="0" fontId="10" fillId="0" borderId="4" xfId="3" applyBorder="1" applyAlignment="1">
      <alignment horizontal="center"/>
    </xf>
    <xf numFmtId="0" fontId="14" fillId="0" borderId="19" xfId="3" applyNumberFormat="1" applyFont="1" applyBorder="1" applyAlignment="1" applyProtection="1">
      <alignment horizontal="center" vertical="center"/>
    </xf>
    <xf numFmtId="0" fontId="14" fillId="0" borderId="9" xfId="3" applyNumberFormat="1" applyFont="1" applyBorder="1" applyAlignment="1" applyProtection="1">
      <alignment horizontal="center" vertical="center"/>
    </xf>
    <xf numFmtId="0" fontId="12" fillId="0" borderId="9" xfId="3" applyNumberFormat="1" applyFont="1" applyBorder="1" applyAlignment="1" applyProtection="1">
      <alignment horizontal="center" vertical="center"/>
    </xf>
    <xf numFmtId="0" fontId="10" fillId="0" borderId="9" xfId="3" applyBorder="1" applyAlignment="1">
      <alignment horizontal="center"/>
    </xf>
    <xf numFmtId="0" fontId="10" fillId="0" borderId="20" xfId="3" applyBorder="1" applyAlignment="1">
      <alignment horizontal="center"/>
    </xf>
    <xf numFmtId="0" fontId="12" fillId="0" borderId="13" xfId="3" applyNumberFormat="1" applyFont="1" applyBorder="1" applyAlignment="1" applyProtection="1">
      <alignment horizontal="center" vertical="center"/>
    </xf>
    <xf numFmtId="0" fontId="12" fillId="0" borderId="13" xfId="3" applyNumberFormat="1" applyFont="1" applyBorder="1" applyAlignment="1" applyProtection="1">
      <alignment horizontal="left" vertical="center"/>
    </xf>
    <xf numFmtId="0" fontId="14" fillId="0" borderId="0" xfId="3" applyNumberFormat="1" applyFont="1" applyBorder="1" applyAlignment="1" applyProtection="1">
      <alignment vertical="center"/>
    </xf>
    <xf numFmtId="0" fontId="12" fillId="0" borderId="21" xfId="3" applyNumberFormat="1" applyFont="1" applyBorder="1" applyAlignment="1" applyProtection="1">
      <alignment horizontal="center" vertical="center"/>
    </xf>
    <xf numFmtId="0" fontId="12" fillId="0" borderId="22" xfId="3" applyNumberFormat="1" applyFont="1" applyBorder="1" applyAlignment="1" applyProtection="1">
      <alignment horizontal="center" vertical="center"/>
    </xf>
    <xf numFmtId="0" fontId="12" fillId="0" borderId="23" xfId="3" applyNumberFormat="1" applyFont="1" applyBorder="1" applyAlignment="1" applyProtection="1">
      <alignment horizontal="center" vertical="center"/>
    </xf>
    <xf numFmtId="0" fontId="12" fillId="0" borderId="22" xfId="3" applyFont="1" applyBorder="1" applyAlignment="1" applyProtection="1">
      <alignment horizontal="center" vertical="center"/>
    </xf>
    <xf numFmtId="0" fontId="10" fillId="0" borderId="22" xfId="3" applyBorder="1"/>
    <xf numFmtId="0" fontId="10" fillId="0" borderId="23" xfId="3" applyBorder="1"/>
    <xf numFmtId="0" fontId="10" fillId="5" borderId="24" xfId="3" applyNumberFormat="1" applyFont="1" applyFill="1" applyBorder="1" applyAlignment="1" applyProtection="1">
      <alignment horizontal="center" vertical="center"/>
    </xf>
    <xf numFmtId="164" fontId="10" fillId="5" borderId="24" xfId="3" applyNumberFormat="1" applyFont="1" applyFill="1" applyBorder="1" applyAlignment="1">
      <alignment horizontal="left"/>
    </xf>
    <xf numFmtId="0" fontId="10" fillId="5" borderId="24" xfId="3" applyNumberFormat="1" applyFont="1" applyFill="1" applyBorder="1" applyAlignment="1" applyProtection="1">
      <alignment horizontal="left" vertical="center"/>
    </xf>
    <xf numFmtId="165" fontId="19" fillId="5" borderId="24" xfId="3" applyNumberFormat="1" applyFont="1" applyFill="1" applyBorder="1" applyAlignment="1" applyProtection="1">
      <alignment vertical="center"/>
    </xf>
    <xf numFmtId="166" fontId="10" fillId="5" borderId="24" xfId="3" applyNumberFormat="1" applyFont="1" applyFill="1" applyBorder="1" applyAlignment="1" applyProtection="1">
      <alignment horizontal="center" vertical="center"/>
    </xf>
    <xf numFmtId="3" fontId="10" fillId="5" borderId="24" xfId="3" applyNumberFormat="1" applyFont="1" applyFill="1" applyBorder="1" applyAlignment="1" applyProtection="1">
      <alignment horizontal="center" vertical="center"/>
    </xf>
    <xf numFmtId="3" fontId="10" fillId="5" borderId="25" xfId="3" applyNumberFormat="1" applyFont="1" applyFill="1" applyBorder="1" applyAlignment="1" applyProtection="1">
      <alignment horizontal="center" vertical="center"/>
    </xf>
    <xf numFmtId="4" fontId="10" fillId="5" borderId="26" xfId="3" applyNumberFormat="1" applyFont="1" applyFill="1" applyBorder="1" applyAlignment="1" applyProtection="1">
      <alignment horizontal="center" vertical="center"/>
    </xf>
    <xf numFmtId="4" fontId="10" fillId="5" borderId="27" xfId="3" applyNumberFormat="1" applyFont="1" applyFill="1" applyBorder="1" applyAlignment="1" applyProtection="1">
      <alignment horizontal="center" vertical="center"/>
    </xf>
    <xf numFmtId="4" fontId="10" fillId="5" borderId="28" xfId="3" applyNumberFormat="1" applyFont="1" applyFill="1" applyBorder="1" applyAlignment="1" applyProtection="1">
      <alignment horizontal="center" vertical="center"/>
    </xf>
    <xf numFmtId="2" fontId="10" fillId="5" borderId="26" xfId="3" applyNumberFormat="1" applyFont="1" applyFill="1" applyBorder="1" applyAlignment="1" applyProtection="1">
      <alignment horizontal="center" vertical="center"/>
    </xf>
    <xf numFmtId="2" fontId="10" fillId="5" borderId="27" xfId="3" applyNumberFormat="1" applyFont="1" applyFill="1" applyBorder="1" applyAlignment="1" applyProtection="1">
      <alignment horizontal="center" vertical="center"/>
    </xf>
    <xf numFmtId="2" fontId="10" fillId="5" borderId="28" xfId="3" applyNumberFormat="1" applyFont="1" applyFill="1" applyBorder="1" applyAlignment="1" applyProtection="1">
      <alignment horizontal="center" vertical="center"/>
    </xf>
    <xf numFmtId="2" fontId="10" fillId="5" borderId="27" xfId="3" applyNumberFormat="1" applyFill="1" applyBorder="1" applyAlignment="1">
      <alignment horizontal="center"/>
    </xf>
    <xf numFmtId="2" fontId="10" fillId="5" borderId="28" xfId="3" applyNumberFormat="1" applyFill="1" applyBorder="1" applyAlignment="1">
      <alignment horizontal="center"/>
    </xf>
    <xf numFmtId="0" fontId="10" fillId="6" borderId="24" xfId="3" applyNumberFormat="1" applyFont="1" applyFill="1" applyBorder="1" applyAlignment="1" applyProtection="1">
      <alignment horizontal="center" vertical="center"/>
    </xf>
    <xf numFmtId="164" fontId="10" fillId="6" borderId="24" xfId="3" applyNumberFormat="1" applyFont="1" applyFill="1" applyBorder="1" applyAlignment="1">
      <alignment horizontal="left"/>
    </xf>
    <xf numFmtId="0" fontId="10" fillId="6" borderId="24" xfId="3" applyNumberFormat="1" applyFont="1" applyFill="1" applyBorder="1" applyAlignment="1" applyProtection="1">
      <alignment horizontal="left" vertical="center"/>
    </xf>
    <xf numFmtId="165" fontId="19" fillId="6" borderId="24" xfId="3" applyNumberFormat="1" applyFont="1" applyFill="1" applyBorder="1" applyAlignment="1" applyProtection="1">
      <alignment vertical="center"/>
    </xf>
    <xf numFmtId="166" fontId="10" fillId="6" borderId="24" xfId="3" applyNumberFormat="1" applyFont="1" applyFill="1" applyBorder="1" applyAlignment="1" applyProtection="1">
      <alignment horizontal="center" vertical="center"/>
    </xf>
    <xf numFmtId="3" fontId="10" fillId="6" borderId="24" xfId="3" applyNumberFormat="1" applyFont="1" applyFill="1" applyBorder="1" applyAlignment="1" applyProtection="1">
      <alignment horizontal="center" vertical="center"/>
    </xf>
    <xf numFmtId="3" fontId="10" fillId="6" borderId="25" xfId="3" applyNumberFormat="1" applyFont="1" applyFill="1" applyBorder="1" applyAlignment="1" applyProtection="1">
      <alignment horizontal="center" vertical="center"/>
    </xf>
    <xf numFmtId="4" fontId="10" fillId="6" borderId="26" xfId="3" applyNumberFormat="1" applyFont="1" applyFill="1" applyBorder="1" applyAlignment="1" applyProtection="1">
      <alignment horizontal="center" vertical="center"/>
    </xf>
    <xf numFmtId="4" fontId="10" fillId="6" borderId="27" xfId="3" applyNumberFormat="1" applyFont="1" applyFill="1" applyBorder="1" applyAlignment="1" applyProtection="1">
      <alignment horizontal="center" vertical="center"/>
    </xf>
    <xf numFmtId="4" fontId="10" fillId="6" borderId="28" xfId="3" applyNumberFormat="1" applyFont="1" applyFill="1" applyBorder="1" applyAlignment="1" applyProtection="1">
      <alignment horizontal="center" vertical="center"/>
    </xf>
    <xf numFmtId="2" fontId="10" fillId="6" borderId="26" xfId="3" applyNumberFormat="1" applyFont="1" applyFill="1" applyBorder="1" applyAlignment="1" applyProtection="1">
      <alignment horizontal="center" vertical="center"/>
    </xf>
    <xf numFmtId="2" fontId="10" fillId="6" borderId="27" xfId="3" applyNumberFormat="1" applyFont="1" applyFill="1" applyBorder="1" applyAlignment="1" applyProtection="1">
      <alignment horizontal="center" vertical="center"/>
    </xf>
    <xf numFmtId="2" fontId="10" fillId="6" borderId="28" xfId="3" applyNumberFormat="1" applyFont="1" applyFill="1" applyBorder="1" applyAlignment="1" applyProtection="1">
      <alignment horizontal="center" vertical="center"/>
    </xf>
    <xf numFmtId="2" fontId="10" fillId="6" borderId="27" xfId="3" applyNumberFormat="1" applyFill="1" applyBorder="1" applyAlignment="1">
      <alignment horizontal="center"/>
    </xf>
    <xf numFmtId="2" fontId="10" fillId="6" borderId="28" xfId="3" applyNumberFormat="1" applyFill="1" applyBorder="1" applyAlignment="1">
      <alignment horizontal="center"/>
    </xf>
    <xf numFmtId="0" fontId="10" fillId="7" borderId="29" xfId="3" applyNumberFormat="1" applyFont="1" applyFill="1" applyBorder="1" applyAlignment="1" applyProtection="1">
      <alignment horizontal="center" vertical="center"/>
    </xf>
    <xf numFmtId="164" fontId="10" fillId="7" borderId="29" xfId="3" applyNumberFormat="1" applyFont="1" applyFill="1" applyBorder="1" applyAlignment="1">
      <alignment horizontal="left"/>
    </xf>
    <xf numFmtId="0" fontId="10" fillId="7" borderId="29" xfId="3" applyNumberFormat="1" applyFont="1" applyFill="1" applyBorder="1" applyAlignment="1" applyProtection="1">
      <alignment horizontal="left" vertical="center"/>
    </xf>
    <xf numFmtId="165" fontId="19" fillId="7" borderId="29" xfId="3" applyNumberFormat="1" applyFont="1" applyFill="1" applyBorder="1" applyAlignment="1" applyProtection="1">
      <alignment vertical="center"/>
    </xf>
    <xf numFmtId="166" fontId="10" fillId="7" borderId="29" xfId="3" applyNumberFormat="1" applyFont="1" applyFill="1" applyBorder="1" applyAlignment="1" applyProtection="1">
      <alignment horizontal="center" vertical="center"/>
    </xf>
    <xf numFmtId="3" fontId="10" fillId="7" borderId="29" xfId="3" applyNumberFormat="1" applyFont="1" applyFill="1" applyBorder="1" applyAlignment="1" applyProtection="1">
      <alignment horizontal="center" vertical="center"/>
    </xf>
    <xf numFmtId="2" fontId="10" fillId="7" borderId="30" xfId="3" applyNumberFormat="1" applyFont="1" applyFill="1" applyBorder="1" applyAlignment="1" applyProtection="1">
      <alignment horizontal="center" vertical="center"/>
    </xf>
    <xf numFmtId="2" fontId="10" fillId="7" borderId="31" xfId="3" applyNumberFormat="1" applyFont="1" applyFill="1" applyBorder="1" applyAlignment="1" applyProtection="1">
      <alignment horizontal="center" vertical="center"/>
    </xf>
    <xf numFmtId="0" fontId="10" fillId="7" borderId="31" xfId="3" applyFill="1" applyBorder="1"/>
    <xf numFmtId="0" fontId="10" fillId="7" borderId="32" xfId="3" applyFill="1" applyBorder="1"/>
    <xf numFmtId="0" fontId="10" fillId="7" borderId="24" xfId="3" applyNumberFormat="1" applyFont="1" applyFill="1" applyBorder="1" applyAlignment="1" applyProtection="1">
      <alignment horizontal="center" vertical="center"/>
    </xf>
    <xf numFmtId="165" fontId="10" fillId="7" borderId="24" xfId="3" applyNumberFormat="1" applyFont="1" applyFill="1" applyBorder="1" applyAlignment="1" applyProtection="1">
      <alignment horizontal="left" vertical="center"/>
    </xf>
    <xf numFmtId="164" fontId="10" fillId="7" borderId="24" xfId="3" applyNumberFormat="1" applyFont="1" applyFill="1" applyBorder="1" applyAlignment="1">
      <alignment horizontal="left"/>
    </xf>
    <xf numFmtId="0" fontId="10" fillId="7" borderId="24" xfId="3" applyNumberFormat="1" applyFont="1" applyFill="1" applyBorder="1" applyAlignment="1" applyProtection="1">
      <alignment horizontal="left" vertical="center"/>
    </xf>
    <xf numFmtId="165" fontId="19" fillId="7" borderId="24" xfId="3" applyNumberFormat="1" applyFont="1" applyFill="1" applyBorder="1" applyAlignment="1" applyProtection="1">
      <alignment vertical="center"/>
    </xf>
    <xf numFmtId="166" fontId="10" fillId="7" borderId="24" xfId="3" applyNumberFormat="1" applyFont="1" applyFill="1" applyBorder="1" applyAlignment="1" applyProtection="1">
      <alignment horizontal="center" vertical="center"/>
    </xf>
    <xf numFmtId="3" fontId="10" fillId="7" borderId="24" xfId="3" applyNumberFormat="1" applyFont="1" applyFill="1" applyBorder="1" applyAlignment="1" applyProtection="1">
      <alignment horizontal="center" vertical="center"/>
    </xf>
    <xf numFmtId="2" fontId="10" fillId="7" borderId="33" xfId="3" applyNumberFormat="1" applyFont="1" applyFill="1" applyBorder="1" applyAlignment="1" applyProtection="1">
      <alignment horizontal="center" vertical="center"/>
    </xf>
    <xf numFmtId="2" fontId="10" fillId="7" borderId="27" xfId="3" applyNumberFormat="1" applyFont="1" applyFill="1" applyBorder="1" applyAlignment="1" applyProtection="1">
      <alignment horizontal="center" vertical="center"/>
    </xf>
    <xf numFmtId="0" fontId="10" fillId="7" borderId="27" xfId="3" applyFill="1" applyBorder="1"/>
    <xf numFmtId="0" fontId="10" fillId="7" borderId="34" xfId="3" applyFill="1" applyBorder="1"/>
    <xf numFmtId="0" fontId="10" fillId="7" borderId="35" xfId="3" applyNumberFormat="1" applyFont="1" applyFill="1" applyBorder="1" applyAlignment="1" applyProtection="1">
      <alignment horizontal="center" vertical="center"/>
    </xf>
    <xf numFmtId="165" fontId="10" fillId="7" borderId="35" xfId="3" applyNumberFormat="1" applyFont="1" applyFill="1" applyBorder="1" applyAlignment="1" applyProtection="1">
      <alignment horizontal="left" vertical="center"/>
    </xf>
    <xf numFmtId="164" fontId="10" fillId="7" borderId="35" xfId="3" applyNumberFormat="1" applyFont="1" applyFill="1" applyBorder="1" applyAlignment="1">
      <alignment horizontal="left"/>
    </xf>
    <xf numFmtId="0" fontId="10" fillId="7" borderId="35" xfId="3" applyNumberFormat="1" applyFont="1" applyFill="1" applyBorder="1" applyAlignment="1" applyProtection="1">
      <alignment horizontal="left" vertical="center"/>
    </xf>
    <xf numFmtId="165" fontId="19" fillId="7" borderId="35" xfId="3" applyNumberFormat="1" applyFont="1" applyFill="1" applyBorder="1" applyAlignment="1" applyProtection="1">
      <alignment vertical="center"/>
    </xf>
    <xf numFmtId="166" fontId="10" fillId="7" borderId="35" xfId="3" applyNumberFormat="1" applyFont="1" applyFill="1" applyBorder="1" applyAlignment="1" applyProtection="1">
      <alignment horizontal="center" vertical="center"/>
    </xf>
    <xf numFmtId="3" fontId="10" fillId="7" borderId="35" xfId="3" applyNumberFormat="1" applyFont="1" applyFill="1" applyBorder="1" applyAlignment="1" applyProtection="1">
      <alignment horizontal="center" vertical="center"/>
    </xf>
    <xf numFmtId="2" fontId="10" fillId="7" borderId="36" xfId="3" applyNumberFormat="1" applyFont="1" applyFill="1" applyBorder="1" applyAlignment="1" applyProtection="1">
      <alignment horizontal="center" vertical="center"/>
    </xf>
    <xf numFmtId="2" fontId="10" fillId="7" borderId="37" xfId="3" applyNumberFormat="1" applyFont="1" applyFill="1" applyBorder="1" applyAlignment="1" applyProtection="1">
      <alignment horizontal="center" vertical="center"/>
    </xf>
    <xf numFmtId="0" fontId="10" fillId="7" borderId="37" xfId="3" applyFill="1" applyBorder="1"/>
    <xf numFmtId="0" fontId="10" fillId="7" borderId="38" xfId="3" applyFill="1" applyBorder="1"/>
    <xf numFmtId="0" fontId="10" fillId="7" borderId="10" xfId="3" applyNumberFormat="1" applyFont="1" applyFill="1" applyBorder="1" applyAlignment="1" applyProtection="1">
      <alignment horizontal="center" vertical="center"/>
    </xf>
    <xf numFmtId="165" fontId="10" fillId="7" borderId="10" xfId="3" applyNumberFormat="1" applyFont="1" applyFill="1" applyBorder="1" applyAlignment="1" applyProtection="1">
      <alignment horizontal="left" vertical="center"/>
    </xf>
    <xf numFmtId="164" fontId="10" fillId="7" borderId="10" xfId="3" applyNumberFormat="1" applyFont="1" applyFill="1" applyBorder="1" applyAlignment="1">
      <alignment horizontal="left"/>
    </xf>
    <xf numFmtId="0" fontId="10" fillId="7" borderId="10" xfId="3" applyNumberFormat="1" applyFont="1" applyFill="1" applyBorder="1" applyAlignment="1" applyProtection="1">
      <alignment horizontal="left" vertical="center"/>
    </xf>
    <xf numFmtId="165" fontId="19" fillId="7" borderId="10" xfId="3" applyNumberFormat="1" applyFont="1" applyFill="1" applyBorder="1" applyAlignment="1" applyProtection="1">
      <alignment vertical="center"/>
    </xf>
    <xf numFmtId="166" fontId="10" fillId="7" borderId="10" xfId="3" applyNumberFormat="1" applyFont="1" applyFill="1" applyBorder="1" applyAlignment="1" applyProtection="1">
      <alignment horizontal="center" vertical="center"/>
    </xf>
    <xf numFmtId="3" fontId="10" fillId="7" borderId="10" xfId="3" applyNumberFormat="1" applyFont="1" applyFill="1" applyBorder="1" applyAlignment="1" applyProtection="1">
      <alignment horizontal="center" vertical="center"/>
    </xf>
    <xf numFmtId="3" fontId="10" fillId="7" borderId="18" xfId="3" applyNumberFormat="1" applyFont="1" applyFill="1" applyBorder="1" applyAlignment="1" applyProtection="1">
      <alignment horizontal="center" vertical="center"/>
    </xf>
    <xf numFmtId="2" fontId="10" fillId="7" borderId="39" xfId="3" applyNumberFormat="1" applyFont="1" applyFill="1" applyBorder="1" applyAlignment="1" applyProtection="1">
      <alignment horizontal="center" vertical="center"/>
    </xf>
    <xf numFmtId="2" fontId="10" fillId="7" borderId="40" xfId="3" applyNumberFormat="1" applyFont="1" applyFill="1" applyBorder="1" applyAlignment="1" applyProtection="1">
      <alignment horizontal="center" vertical="center"/>
    </xf>
    <xf numFmtId="0" fontId="10" fillId="7" borderId="40" xfId="3" applyFill="1" applyBorder="1"/>
    <xf numFmtId="0" fontId="10" fillId="7" borderId="41" xfId="3" applyFill="1" applyBorder="1"/>
    <xf numFmtId="165" fontId="10" fillId="7" borderId="29" xfId="3" applyNumberFormat="1" applyFont="1" applyFill="1" applyBorder="1" applyAlignment="1" applyProtection="1">
      <alignment horizontal="left" vertical="center"/>
    </xf>
    <xf numFmtId="3" fontId="10" fillId="7" borderId="42" xfId="3" applyNumberFormat="1" applyFont="1" applyFill="1" applyBorder="1" applyAlignment="1" applyProtection="1">
      <alignment horizontal="center" vertical="center"/>
    </xf>
    <xf numFmtId="0" fontId="10" fillId="7" borderId="43" xfId="3" applyNumberFormat="1" applyFont="1" applyFill="1" applyBorder="1" applyAlignment="1" applyProtection="1">
      <alignment horizontal="center" vertical="center"/>
    </xf>
    <xf numFmtId="165" fontId="10" fillId="7" borderId="43" xfId="3" applyNumberFormat="1" applyFont="1" applyFill="1" applyBorder="1" applyAlignment="1" applyProtection="1">
      <alignment horizontal="left" vertical="center"/>
    </xf>
    <xf numFmtId="164" fontId="10" fillId="7" borderId="43" xfId="3" applyNumberFormat="1" applyFont="1" applyFill="1" applyBorder="1" applyAlignment="1">
      <alignment horizontal="left"/>
    </xf>
    <xf numFmtId="0" fontId="10" fillId="7" borderId="43" xfId="3" applyNumberFormat="1" applyFont="1" applyFill="1" applyBorder="1" applyAlignment="1" applyProtection="1">
      <alignment horizontal="left" vertical="center"/>
    </xf>
    <xf numFmtId="165" fontId="19" fillId="7" borderId="43" xfId="3" applyNumberFormat="1" applyFont="1" applyFill="1" applyBorder="1" applyAlignment="1" applyProtection="1">
      <alignment vertical="center"/>
    </xf>
    <xf numFmtId="166" fontId="10" fillId="7" borderId="43" xfId="3" applyNumberFormat="1" applyFont="1" applyFill="1" applyBorder="1" applyAlignment="1" applyProtection="1">
      <alignment horizontal="center" vertical="center"/>
    </xf>
    <xf numFmtId="3" fontId="10" fillId="7" borderId="43" xfId="3" applyNumberFormat="1" applyFont="1" applyFill="1" applyBorder="1" applyAlignment="1" applyProtection="1">
      <alignment horizontal="center" vertical="center"/>
    </xf>
    <xf numFmtId="2" fontId="10" fillId="7" borderId="44" xfId="3" applyNumberFormat="1" applyFont="1" applyFill="1" applyBorder="1" applyAlignment="1" applyProtection="1">
      <alignment horizontal="center" vertical="center"/>
    </xf>
    <xf numFmtId="2" fontId="10" fillId="7" borderId="45" xfId="3" applyNumberFormat="1" applyFont="1" applyFill="1" applyBorder="1" applyAlignment="1" applyProtection="1">
      <alignment horizontal="center" vertical="center"/>
    </xf>
    <xf numFmtId="0" fontId="10" fillId="7" borderId="45" xfId="3" applyFill="1" applyBorder="1"/>
    <xf numFmtId="0" fontId="10" fillId="7" borderId="46" xfId="3" applyFill="1" applyBorder="1"/>
    <xf numFmtId="0" fontId="12" fillId="0" borderId="0" xfId="3" applyFont="1"/>
    <xf numFmtId="0" fontId="12" fillId="0" borderId="0" xfId="3" applyFont="1" applyFill="1"/>
    <xf numFmtId="0" fontId="20" fillId="0" borderId="0" xfId="3" applyFont="1" applyFill="1" applyBorder="1"/>
    <xf numFmtId="0" fontId="21" fillId="0" borderId="0" xfId="3" applyFont="1" applyAlignment="1" applyProtection="1">
      <alignment horizontal="center" vertical="center"/>
      <protection locked="0"/>
    </xf>
    <xf numFmtId="0" fontId="22" fillId="0" borderId="0" xfId="3" applyFont="1"/>
    <xf numFmtId="0" fontId="23" fillId="0" borderId="0" xfId="3" applyFont="1" applyAlignment="1" applyProtection="1">
      <alignment horizontal="left"/>
      <protection locked="0"/>
    </xf>
    <xf numFmtId="0" fontId="24" fillId="0" borderId="0" xfId="3" applyFont="1" applyAlignment="1" applyProtection="1">
      <alignment horizontal="left"/>
      <protection locked="0"/>
    </xf>
    <xf numFmtId="0" fontId="12" fillId="0" borderId="0" xfId="3" applyFont="1" applyProtection="1">
      <protection locked="0"/>
    </xf>
    <xf numFmtId="0" fontId="10" fillId="0" borderId="0" xfId="3" applyFont="1" applyAlignment="1">
      <alignment horizontal="center"/>
    </xf>
    <xf numFmtId="0" fontId="12" fillId="0" borderId="0" xfId="3" applyFont="1" applyAlignment="1" applyProtection="1">
      <alignment horizontal="center"/>
      <protection locked="0"/>
    </xf>
    <xf numFmtId="2" fontId="10" fillId="0" borderId="0" xfId="3" applyNumberFormat="1" applyFont="1" applyAlignment="1">
      <alignment horizontal="center"/>
    </xf>
    <xf numFmtId="0" fontId="23" fillId="0" borderId="0" xfId="3" applyFont="1"/>
    <xf numFmtId="0" fontId="23" fillId="0" borderId="0" xfId="3" applyFont="1" applyAlignment="1" applyProtection="1">
      <protection locked="0"/>
    </xf>
    <xf numFmtId="0" fontId="26" fillId="0" borderId="0" xfId="0" applyFont="1"/>
    <xf numFmtId="43" fontId="26" fillId="0" borderId="0" xfId="0" applyNumberFormat="1" applyFont="1"/>
    <xf numFmtId="43" fontId="0" fillId="8" borderId="3" xfId="2" applyFont="1" applyFill="1" applyBorder="1" applyAlignment="1">
      <alignment horizontal="center"/>
    </xf>
    <xf numFmtId="43" fontId="0" fillId="8" borderId="10" xfId="2" applyFont="1" applyFill="1" applyBorder="1" applyAlignment="1">
      <alignment horizontal="center"/>
    </xf>
    <xf numFmtId="0" fontId="11" fillId="0" borderId="10" xfId="3" applyFont="1" applyBorder="1" applyAlignment="1">
      <alignment horizontal="center" wrapText="1"/>
    </xf>
    <xf numFmtId="0" fontId="11" fillId="0" borderId="10" xfId="3" applyFont="1" applyBorder="1" applyAlignment="1">
      <alignment horizontal="center"/>
    </xf>
    <xf numFmtId="0" fontId="11" fillId="0" borderId="15" xfId="3" applyNumberFormat="1" applyFont="1" applyBorder="1" applyAlignment="1" applyProtection="1">
      <alignment horizontal="center" vertical="center"/>
    </xf>
    <xf numFmtId="0" fontId="11" fillId="0" borderId="16" xfId="3" applyNumberFormat="1" applyFont="1" applyBorder="1" applyAlignment="1" applyProtection="1">
      <alignment horizontal="center" vertical="center"/>
    </xf>
    <xf numFmtId="0" fontId="11" fillId="0" borderId="17" xfId="3" applyNumberFormat="1" applyFont="1" applyBorder="1" applyAlignment="1" applyProtection="1">
      <alignment horizontal="center" vertical="center"/>
    </xf>
  </cellXfs>
  <cellStyles count="8">
    <cellStyle name="_SH-07-216 Juniper - LOKI Based on EAU(2007.11.12)" xfId="4"/>
    <cellStyle name="Comma" xfId="2" builtinId="3"/>
    <cellStyle name="Normal" xfId="0" builtinId="0"/>
    <cellStyle name="Normal 2" xfId="1"/>
    <cellStyle name="Normal 3" xfId="3"/>
    <cellStyle name="一般 2 2" xfId="5"/>
    <cellStyle name="常规 2" xfId="6"/>
    <cellStyle name="常规_Montreal purchase item Tracking table (20-Sep-2005)"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34"/>
  <sheetViews>
    <sheetView tabSelected="1" workbookViewId="0">
      <selection activeCell="J19" sqref="J19"/>
    </sheetView>
  </sheetViews>
  <sheetFormatPr defaultRowHeight="15"/>
  <cols>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2" spans="2:15">
      <c r="D2" s="24" t="s">
        <v>85</v>
      </c>
      <c r="E2" s="25" t="s">
        <v>89</v>
      </c>
      <c r="F2" s="25" t="s">
        <v>89</v>
      </c>
      <c r="G2" s="25" t="s">
        <v>89</v>
      </c>
      <c r="H2" s="25" t="s">
        <v>89</v>
      </c>
    </row>
    <row r="3" spans="2:15">
      <c r="E3" s="25" t="s">
        <v>90</v>
      </c>
      <c r="F3" s="26"/>
      <c r="G3" s="26"/>
      <c r="H3" s="26"/>
    </row>
    <row r="4" spans="2:15">
      <c r="F4" s="26"/>
      <c r="G4" s="19"/>
      <c r="H4" s="26"/>
    </row>
    <row r="5" spans="2:15" ht="15.75" thickBot="1">
      <c r="H5" s="27"/>
    </row>
    <row r="6" spans="2:15" ht="45">
      <c r="B6" s="1" t="s">
        <v>0</v>
      </c>
      <c r="C6" s="2" t="s">
        <v>1</v>
      </c>
      <c r="D6" s="3" t="s">
        <v>2</v>
      </c>
      <c r="E6" s="4" t="s">
        <v>3</v>
      </c>
      <c r="F6" s="4" t="s">
        <v>4</v>
      </c>
      <c r="G6" s="4" t="s">
        <v>5</v>
      </c>
      <c r="H6" s="4" t="s">
        <v>6</v>
      </c>
      <c r="I6" s="4" t="s">
        <v>7</v>
      </c>
      <c r="J6" s="4" t="s">
        <v>8</v>
      </c>
      <c r="K6" s="4" t="s">
        <v>9</v>
      </c>
      <c r="L6" s="4" t="s">
        <v>10</v>
      </c>
      <c r="M6" s="4" t="s">
        <v>11</v>
      </c>
      <c r="N6" s="4" t="s">
        <v>12</v>
      </c>
      <c r="O6" s="5" t="s">
        <v>13</v>
      </c>
    </row>
    <row r="7" spans="2:15" ht="26.25" thickBot="1">
      <c r="B7" s="6"/>
      <c r="C7" s="7"/>
      <c r="D7" s="8"/>
      <c r="E7" s="8"/>
      <c r="F7" s="8"/>
      <c r="G7" s="8"/>
      <c r="H7" s="8"/>
      <c r="I7" s="8"/>
      <c r="J7" s="9" t="s">
        <v>14</v>
      </c>
      <c r="K7" s="10" t="s">
        <v>15</v>
      </c>
      <c r="L7" s="9" t="s">
        <v>16</v>
      </c>
      <c r="M7" s="9" t="s">
        <v>17</v>
      </c>
      <c r="N7" s="18"/>
      <c r="O7" s="10" t="s">
        <v>18</v>
      </c>
    </row>
    <row r="8" spans="2:15">
      <c r="B8" s="30" t="s">
        <v>113</v>
      </c>
      <c r="C8" s="30" t="s">
        <v>139</v>
      </c>
      <c r="D8" s="30" t="s">
        <v>131</v>
      </c>
      <c r="E8" s="172">
        <v>2.7472217046411416</v>
      </c>
      <c r="F8" s="172">
        <v>2.65316108532057</v>
      </c>
      <c r="G8" s="172">
        <v>0.97901413794972281</v>
      </c>
      <c r="H8" s="172">
        <v>0.8849535186291515</v>
      </c>
      <c r="I8" s="30"/>
      <c r="J8" s="30"/>
      <c r="K8" s="30">
        <v>3.25</v>
      </c>
      <c r="L8" s="30"/>
      <c r="M8" s="30"/>
      <c r="N8" s="30"/>
      <c r="O8" s="30">
        <v>0.17</v>
      </c>
    </row>
    <row r="9" spans="2:15">
      <c r="B9" s="29" t="s">
        <v>114</v>
      </c>
      <c r="C9" s="29" t="s">
        <v>139</v>
      </c>
      <c r="D9" s="29" t="s">
        <v>131</v>
      </c>
      <c r="E9" s="173">
        <v>3.2737241279737632</v>
      </c>
      <c r="F9" s="173">
        <v>2.910601926731613</v>
      </c>
      <c r="G9" s="173">
        <v>1.5055165612823451</v>
      </c>
      <c r="H9" s="173">
        <v>1.1423943600401947</v>
      </c>
      <c r="I9" s="29"/>
      <c r="J9" s="29"/>
      <c r="K9" s="29">
        <v>3.25</v>
      </c>
      <c r="L9" s="29"/>
      <c r="M9" s="29"/>
      <c r="N9" s="29"/>
      <c r="O9" s="29">
        <v>0.17</v>
      </c>
    </row>
    <row r="10" spans="2:15">
      <c r="B10" s="29" t="s">
        <v>115</v>
      </c>
      <c r="C10" s="29" t="s">
        <v>140</v>
      </c>
      <c r="D10" s="29" t="s">
        <v>132</v>
      </c>
      <c r="E10" s="173">
        <v>2.2478549743330056</v>
      </c>
      <c r="F10" s="173">
        <v>2.1400619226641058</v>
      </c>
      <c r="G10" s="173">
        <v>0.58624929284427507</v>
      </c>
      <c r="H10" s="173">
        <v>0.47845624117537511</v>
      </c>
      <c r="I10" s="29"/>
      <c r="J10" s="29"/>
      <c r="K10" s="29">
        <v>3.25</v>
      </c>
      <c r="L10" s="29"/>
      <c r="M10" s="29"/>
      <c r="N10" s="29"/>
      <c r="O10" s="29">
        <v>0.17</v>
      </c>
    </row>
    <row r="11" spans="2:15">
      <c r="B11" s="29" t="s">
        <v>116</v>
      </c>
      <c r="C11" s="29" t="s">
        <v>141</v>
      </c>
      <c r="D11" s="29" t="s">
        <v>133</v>
      </c>
      <c r="E11" s="173">
        <v>7.3674735366490633</v>
      </c>
      <c r="F11" s="173">
        <v>7.244742781916683</v>
      </c>
      <c r="G11" s="173">
        <v>5.7317048701930551</v>
      </c>
      <c r="H11" s="173">
        <v>5.6089741154606747</v>
      </c>
      <c r="I11" s="29"/>
      <c r="J11" s="29"/>
      <c r="K11" s="29">
        <v>3.25</v>
      </c>
      <c r="L11" s="29"/>
      <c r="M11" s="29"/>
      <c r="N11" s="29"/>
      <c r="O11" s="29">
        <v>0.17</v>
      </c>
    </row>
    <row r="12" spans="2:15">
      <c r="B12" s="29" t="s">
        <v>117</v>
      </c>
      <c r="C12" s="29" t="s">
        <v>142</v>
      </c>
      <c r="D12" s="29" t="s">
        <v>134</v>
      </c>
      <c r="E12" s="173">
        <v>2.9417518836632954</v>
      </c>
      <c r="F12" s="173">
        <v>2.8300665264802829</v>
      </c>
      <c r="G12" s="173">
        <v>1.2196864843247599</v>
      </c>
      <c r="H12" s="173">
        <v>1.1080011271417474</v>
      </c>
      <c r="I12" s="29"/>
      <c r="J12" s="29"/>
      <c r="K12" s="29">
        <v>3.25</v>
      </c>
      <c r="L12" s="29"/>
      <c r="M12" s="29"/>
      <c r="N12" s="29"/>
      <c r="O12" s="29">
        <v>0</v>
      </c>
    </row>
    <row r="13" spans="2:15">
      <c r="B13" s="29" t="s">
        <v>118</v>
      </c>
      <c r="C13" s="29" t="s">
        <v>143</v>
      </c>
      <c r="D13" s="29" t="s">
        <v>134</v>
      </c>
      <c r="E13" s="173">
        <v>24.311427754055156</v>
      </c>
      <c r="F13" s="173">
        <v>20.175328664735691</v>
      </c>
      <c r="G13" s="173">
        <v>21.754882094943319</v>
      </c>
      <c r="H13" s="173">
        <v>17.618783005623854</v>
      </c>
      <c r="I13" s="29"/>
      <c r="J13" s="29"/>
      <c r="K13" s="29">
        <v>3.25</v>
      </c>
      <c r="L13" s="29"/>
      <c r="M13" s="29"/>
      <c r="N13" s="29"/>
      <c r="O13" s="29">
        <v>0</v>
      </c>
    </row>
    <row r="14" spans="2:15">
      <c r="B14" s="29" t="s">
        <v>119</v>
      </c>
      <c r="C14" s="29" t="s">
        <v>144</v>
      </c>
      <c r="D14" s="29" t="s">
        <v>135</v>
      </c>
      <c r="E14" s="173">
        <v>1.9319734463223717</v>
      </c>
      <c r="F14" s="173">
        <v>1.906022072443283</v>
      </c>
      <c r="G14" s="173">
        <v>0.30653410501318817</v>
      </c>
      <c r="H14" s="173">
        <v>0.28058273113409959</v>
      </c>
      <c r="I14" s="29"/>
      <c r="J14" s="29"/>
      <c r="K14" s="29">
        <v>3.25</v>
      </c>
      <c r="L14" s="29"/>
      <c r="M14" s="29"/>
      <c r="N14" s="29"/>
      <c r="O14" s="29">
        <v>0.17</v>
      </c>
    </row>
    <row r="15" spans="2:15">
      <c r="B15" s="29" t="s">
        <v>120</v>
      </c>
      <c r="C15" s="29" t="s">
        <v>145</v>
      </c>
      <c r="D15" s="29" t="s">
        <v>136</v>
      </c>
      <c r="E15" s="173">
        <v>4.0245489183539433</v>
      </c>
      <c r="F15" s="173">
        <v>3.8163604716065018</v>
      </c>
      <c r="G15" s="173">
        <v>2.3991095770447597</v>
      </c>
      <c r="H15" s="173">
        <v>2.1909211302973182</v>
      </c>
      <c r="I15" s="29"/>
      <c r="J15" s="29"/>
      <c r="K15" s="29">
        <v>3.25</v>
      </c>
      <c r="L15" s="29"/>
      <c r="M15" s="29"/>
      <c r="N15" s="29"/>
      <c r="O15" s="29">
        <v>0</v>
      </c>
    </row>
    <row r="16" spans="2:15">
      <c r="B16" s="29" t="s">
        <v>121</v>
      </c>
      <c r="C16" s="29" t="s">
        <v>146</v>
      </c>
      <c r="D16" s="29" t="s">
        <v>137</v>
      </c>
      <c r="E16" s="173">
        <v>4.5434969955298801</v>
      </c>
      <c r="F16" s="173">
        <v>2.360902613546056</v>
      </c>
      <c r="G16" s="173">
        <v>4.3030028179681965</v>
      </c>
      <c r="H16" s="173">
        <v>2.1204084359843733</v>
      </c>
      <c r="I16" s="29"/>
      <c r="J16" s="29"/>
      <c r="K16" s="29">
        <v>3.25</v>
      </c>
      <c r="L16" s="29"/>
      <c r="M16" s="29"/>
      <c r="N16" s="29"/>
      <c r="O16" s="29">
        <v>1</v>
      </c>
    </row>
    <row r="17" spans="2:15">
      <c r="B17" s="29" t="s">
        <v>122</v>
      </c>
      <c r="C17" s="29" t="s">
        <v>147</v>
      </c>
      <c r="D17" s="29" t="s">
        <v>138</v>
      </c>
      <c r="E17" s="173">
        <v>7.0211952705330329</v>
      </c>
      <c r="F17" s="173">
        <v>3.31004982678727</v>
      </c>
      <c r="G17" s="173">
        <v>5.8066339694804174</v>
      </c>
      <c r="H17" s="173">
        <v>2.0954885257346541</v>
      </c>
      <c r="I17" s="29"/>
      <c r="J17" s="29"/>
      <c r="K17" s="29">
        <v>3.25</v>
      </c>
      <c r="L17" s="29"/>
      <c r="M17" s="29"/>
      <c r="N17" s="29"/>
      <c r="O17" s="29">
        <v>0</v>
      </c>
    </row>
    <row r="18" spans="2:15">
      <c r="B18" s="29" t="s">
        <v>123</v>
      </c>
      <c r="C18" s="29" t="s">
        <v>147</v>
      </c>
      <c r="D18" s="29" t="s">
        <v>138</v>
      </c>
      <c r="E18" s="173">
        <v>3.7353656134232494</v>
      </c>
      <c r="F18" s="173">
        <v>3.063489492482526</v>
      </c>
      <c r="G18" s="173">
        <v>2.143775612091384</v>
      </c>
      <c r="H18" s="173">
        <v>1.4718994911506607</v>
      </c>
      <c r="I18" s="29"/>
      <c r="J18" s="29"/>
      <c r="K18" s="29">
        <v>3.25</v>
      </c>
      <c r="L18" s="29"/>
      <c r="M18" s="29"/>
      <c r="N18" s="29"/>
      <c r="O18" s="29">
        <v>0</v>
      </c>
    </row>
    <row r="19" spans="2:15">
      <c r="B19" s="29" t="s">
        <v>124</v>
      </c>
      <c r="C19" s="29" t="s">
        <v>147</v>
      </c>
      <c r="D19" s="29" t="s">
        <v>138</v>
      </c>
      <c r="E19" s="173">
        <v>3.7980225225251378</v>
      </c>
      <c r="F19" s="173">
        <v>2.9751976737986401</v>
      </c>
      <c r="G19" s="173">
        <v>2.6999889859853554</v>
      </c>
      <c r="H19" s="173">
        <v>1.8771641372588577</v>
      </c>
      <c r="I19" s="29"/>
      <c r="J19" s="29"/>
      <c r="K19" s="29">
        <v>3.25</v>
      </c>
      <c r="L19" s="29"/>
      <c r="M19" s="29"/>
      <c r="N19" s="29"/>
      <c r="O19" s="29">
        <v>0</v>
      </c>
    </row>
    <row r="20" spans="2:15">
      <c r="B20" s="29" t="s">
        <v>125</v>
      </c>
      <c r="C20" s="29" t="s">
        <v>147</v>
      </c>
      <c r="D20" s="29" t="s">
        <v>138</v>
      </c>
      <c r="E20" s="173">
        <v>3.7869105387360049</v>
      </c>
      <c r="F20" s="173">
        <v>2.9751976737986401</v>
      </c>
      <c r="G20" s="173">
        <v>2.6888770021962225</v>
      </c>
      <c r="H20" s="173">
        <v>1.8771641372588577</v>
      </c>
      <c r="I20" s="29"/>
      <c r="J20" s="29"/>
      <c r="K20" s="29">
        <v>3.25</v>
      </c>
      <c r="L20" s="29"/>
      <c r="M20" s="29"/>
      <c r="N20" s="29"/>
      <c r="O20" s="29">
        <v>0</v>
      </c>
    </row>
    <row r="21" spans="2:15">
      <c r="B21" s="29" t="s">
        <v>126</v>
      </c>
      <c r="C21" s="29" t="s">
        <v>147</v>
      </c>
      <c r="D21" s="29" t="s">
        <v>138</v>
      </c>
      <c r="E21" s="173">
        <v>3.7260496487738233</v>
      </c>
      <c r="F21" s="173">
        <v>2.7022921882038946</v>
      </c>
      <c r="G21" s="173">
        <v>2.6280161122340409</v>
      </c>
      <c r="H21" s="173">
        <v>1.6042586516641122</v>
      </c>
      <c r="I21" s="29"/>
      <c r="J21" s="29"/>
      <c r="K21" s="29">
        <v>3.25</v>
      </c>
      <c r="L21" s="29"/>
      <c r="M21" s="29"/>
      <c r="N21" s="29"/>
      <c r="O21" s="29">
        <v>0</v>
      </c>
    </row>
    <row r="22" spans="2:15">
      <c r="B22" s="29" t="s">
        <v>127</v>
      </c>
      <c r="C22" s="29" t="s">
        <v>147</v>
      </c>
      <c r="D22" s="29" t="s">
        <v>138</v>
      </c>
      <c r="E22" s="173">
        <v>3.8461903106708455</v>
      </c>
      <c r="F22" s="173">
        <v>2.7432280110431067</v>
      </c>
      <c r="G22" s="173">
        <v>2.7481567741310631</v>
      </c>
      <c r="H22" s="173">
        <v>1.645194474503324</v>
      </c>
      <c r="I22" s="29"/>
      <c r="J22" s="29"/>
      <c r="K22" s="29">
        <v>3.25</v>
      </c>
      <c r="L22" s="29"/>
      <c r="M22" s="29"/>
      <c r="N22" s="29"/>
      <c r="O22" s="29">
        <v>0</v>
      </c>
    </row>
    <row r="23" spans="2:15">
      <c r="B23" s="29" t="s">
        <v>128</v>
      </c>
      <c r="C23" s="29" t="s">
        <v>147</v>
      </c>
      <c r="D23" s="29" t="s">
        <v>138</v>
      </c>
      <c r="E23" s="173">
        <v>3.3658207767566801</v>
      </c>
      <c r="F23" s="173">
        <v>3.0434240451973271</v>
      </c>
      <c r="G23" s="173">
        <v>2.2677872402168977</v>
      </c>
      <c r="H23" s="173">
        <v>1.9453905086575445</v>
      </c>
      <c r="I23" s="29"/>
      <c r="J23" s="29"/>
      <c r="K23" s="29">
        <v>3.25</v>
      </c>
      <c r="L23" s="29"/>
      <c r="M23" s="29"/>
      <c r="N23" s="29"/>
      <c r="O23" s="29">
        <v>0.17</v>
      </c>
    </row>
    <row r="24" spans="2:15">
      <c r="B24" s="29" t="s">
        <v>129</v>
      </c>
      <c r="C24" s="29" t="s">
        <v>147</v>
      </c>
      <c r="D24" s="29" t="s">
        <v>138</v>
      </c>
      <c r="E24" s="173">
        <v>4.051347422792885</v>
      </c>
      <c r="F24" s="173">
        <v>3.5892350163868176</v>
      </c>
      <c r="G24" s="173">
        <v>2.9533138862531025</v>
      </c>
      <c r="H24" s="173">
        <v>2.4912014798470352</v>
      </c>
      <c r="I24" s="29"/>
      <c r="J24" s="29"/>
      <c r="K24" s="29">
        <v>3.25</v>
      </c>
      <c r="L24" s="29"/>
      <c r="M24" s="29"/>
      <c r="N24" s="29"/>
      <c r="O24" s="29">
        <v>0.33</v>
      </c>
    </row>
    <row r="25" spans="2:15">
      <c r="B25" s="29" t="s">
        <v>130</v>
      </c>
      <c r="C25" s="29" t="s">
        <v>147</v>
      </c>
      <c r="D25" s="29" t="s">
        <v>138</v>
      </c>
      <c r="E25" s="173">
        <v>3.2612027740626455</v>
      </c>
      <c r="F25" s="173">
        <v>3.1148562136764135</v>
      </c>
      <c r="G25" s="173">
        <v>1.1248838329640583</v>
      </c>
      <c r="H25" s="173">
        <v>0.9785372725778263</v>
      </c>
      <c r="I25" s="29"/>
      <c r="J25" s="29"/>
      <c r="K25" s="29">
        <v>3.25</v>
      </c>
      <c r="L25" s="29"/>
      <c r="M25" s="29"/>
      <c r="N25" s="29"/>
      <c r="O25" s="29">
        <v>0.17</v>
      </c>
    </row>
    <row r="26" spans="2:15">
      <c r="B26" s="12"/>
      <c r="C26" s="12"/>
      <c r="D26" s="12"/>
      <c r="E26" s="12"/>
      <c r="F26" s="12"/>
      <c r="G26" s="12"/>
      <c r="H26" s="12"/>
      <c r="I26" s="12"/>
      <c r="J26" s="12"/>
      <c r="K26" s="12"/>
      <c r="L26" s="12"/>
      <c r="M26" s="12"/>
      <c r="N26" s="12"/>
      <c r="O26" s="12"/>
    </row>
    <row r="27" spans="2:15">
      <c r="B27" s="12"/>
      <c r="C27" s="12"/>
      <c r="D27" s="12"/>
      <c r="E27" s="12"/>
      <c r="F27" s="12"/>
      <c r="G27" s="12"/>
      <c r="H27" s="12"/>
      <c r="I27" s="12"/>
      <c r="J27" s="12"/>
      <c r="K27" s="12"/>
      <c r="L27" s="12"/>
      <c r="M27" s="12"/>
      <c r="N27" s="12"/>
      <c r="O27" s="12"/>
    </row>
    <row r="28" spans="2:15">
      <c r="B28" s="12"/>
      <c r="C28" s="12"/>
      <c r="D28" s="12"/>
      <c r="E28" s="12"/>
      <c r="F28" s="12"/>
      <c r="G28" s="12"/>
      <c r="H28" s="12"/>
      <c r="I28" s="12"/>
      <c r="J28" s="12"/>
      <c r="K28" s="12"/>
      <c r="L28" s="12"/>
      <c r="M28" s="12"/>
      <c r="N28" s="12"/>
      <c r="O28" s="12"/>
    </row>
    <row r="29" spans="2:15">
      <c r="B29" s="12"/>
      <c r="C29" s="12"/>
      <c r="D29" s="12"/>
      <c r="E29" s="12"/>
      <c r="F29" s="12"/>
      <c r="G29" s="12"/>
      <c r="H29" s="12"/>
      <c r="I29" s="12"/>
      <c r="J29" s="12"/>
      <c r="K29" s="12"/>
      <c r="L29" s="12"/>
      <c r="M29" s="12"/>
      <c r="N29" s="12"/>
      <c r="O29" s="12"/>
    </row>
    <row r="30" spans="2:15">
      <c r="D30" t="s">
        <v>19</v>
      </c>
      <c r="E30" t="s">
        <v>20</v>
      </c>
    </row>
    <row r="31" spans="2:15">
      <c r="D31" t="s">
        <v>21</v>
      </c>
      <c r="E31" t="s">
        <v>22</v>
      </c>
    </row>
    <row r="32" spans="2:15">
      <c r="D32" t="s">
        <v>23</v>
      </c>
      <c r="E32" t="s">
        <v>24</v>
      </c>
    </row>
    <row r="33" spans="4:5">
      <c r="D33" t="s">
        <v>25</v>
      </c>
      <c r="E33" t="s">
        <v>26</v>
      </c>
    </row>
    <row r="34" spans="4:5">
      <c r="D34" t="s">
        <v>27</v>
      </c>
      <c r="E34" t="s">
        <v>28</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V27"/>
  <sheetViews>
    <sheetView topLeftCell="F1" workbookViewId="0">
      <selection activeCell="L8" sqref="L8:L24"/>
    </sheetView>
  </sheetViews>
  <sheetFormatPr defaultRowHeight="15"/>
  <cols>
    <col min="1" max="1" width="4.7109375" customWidth="1"/>
    <col min="2" max="2" width="26.28515625" customWidth="1"/>
    <col min="3" max="3" width="19.42578125" bestFit="1" customWidth="1"/>
    <col min="4" max="4" width="17.28515625" customWidth="1"/>
    <col min="5" max="5" width="19.7109375" bestFit="1" customWidth="1"/>
    <col min="6" max="8" width="25.7109375" bestFit="1" customWidth="1"/>
    <col min="9" max="9" width="25.7109375" customWidth="1"/>
    <col min="10" max="10" width="23" customWidth="1"/>
    <col min="11" max="11" width="16.42578125" customWidth="1"/>
    <col min="12" max="12" width="21.85546875" bestFit="1" customWidth="1"/>
  </cols>
  <sheetData>
    <row r="1" spans="2:22">
      <c r="D1" s="170"/>
      <c r="E1" s="171"/>
    </row>
    <row r="2" spans="2:22">
      <c r="C2" s="19"/>
      <c r="D2" s="24" t="s">
        <v>85</v>
      </c>
      <c r="E2" s="25" t="s">
        <v>89</v>
      </c>
      <c r="F2" s="25" t="s">
        <v>89</v>
      </c>
      <c r="G2" s="25" t="s">
        <v>89</v>
      </c>
      <c r="H2" s="25" t="s">
        <v>89</v>
      </c>
    </row>
    <row r="3" spans="2:22">
      <c r="C3" s="19"/>
      <c r="D3" s="19"/>
      <c r="E3" s="25" t="s">
        <v>90</v>
      </c>
      <c r="F3" s="26"/>
      <c r="G3" s="26"/>
      <c r="H3" s="26"/>
    </row>
    <row r="4" spans="2:22">
      <c r="C4" s="19"/>
      <c r="D4" s="19"/>
      <c r="E4" s="19"/>
      <c r="F4" s="26"/>
      <c r="G4" s="19"/>
      <c r="H4" s="26"/>
    </row>
    <row r="5" spans="2:22" ht="15.75" thickBot="1">
      <c r="C5" s="28"/>
      <c r="D5" s="28"/>
      <c r="E5" s="28"/>
      <c r="F5" s="28"/>
      <c r="G5" s="28"/>
      <c r="H5" s="27"/>
    </row>
    <row r="6" spans="2:22" ht="45">
      <c r="B6" s="1" t="s">
        <v>0</v>
      </c>
      <c r="C6" s="2" t="s">
        <v>1</v>
      </c>
      <c r="D6" s="3" t="s">
        <v>2</v>
      </c>
      <c r="E6" s="4" t="s">
        <v>3</v>
      </c>
      <c r="F6" s="4" t="s">
        <v>4</v>
      </c>
      <c r="G6" s="4" t="s">
        <v>5</v>
      </c>
      <c r="H6" s="4" t="s">
        <v>6</v>
      </c>
      <c r="I6" s="4" t="s">
        <v>7</v>
      </c>
      <c r="J6" s="4" t="s">
        <v>8</v>
      </c>
      <c r="K6" s="4" t="s">
        <v>9</v>
      </c>
      <c r="L6" s="13" t="s">
        <v>10</v>
      </c>
      <c r="M6" s="4" t="s">
        <v>11</v>
      </c>
      <c r="N6" s="14" t="s">
        <v>29</v>
      </c>
      <c r="O6" s="15" t="s">
        <v>76</v>
      </c>
      <c r="P6" s="15" t="s">
        <v>77</v>
      </c>
      <c r="Q6" s="15" t="s">
        <v>78</v>
      </c>
      <c r="R6" s="15" t="s">
        <v>79</v>
      </c>
      <c r="S6" s="15" t="s">
        <v>80</v>
      </c>
      <c r="T6" s="15" t="s">
        <v>81</v>
      </c>
      <c r="V6" s="15"/>
    </row>
    <row r="7" spans="2:22" ht="57.75" customHeight="1" thickBot="1">
      <c r="B7" s="6"/>
      <c r="C7" s="7"/>
      <c r="D7" s="8"/>
      <c r="E7" s="23" t="s">
        <v>87</v>
      </c>
      <c r="F7" s="23" t="s">
        <v>86</v>
      </c>
      <c r="G7" s="23" t="s">
        <v>88</v>
      </c>
      <c r="H7" s="23" t="s">
        <v>88</v>
      </c>
      <c r="I7" s="8"/>
      <c r="J7" s="9" t="s">
        <v>14</v>
      </c>
      <c r="K7" s="10" t="s">
        <v>15</v>
      </c>
      <c r="L7" s="9" t="s">
        <v>16</v>
      </c>
      <c r="M7" s="9" t="s">
        <v>17</v>
      </c>
      <c r="N7" s="16" t="s">
        <v>18</v>
      </c>
      <c r="P7" s="17"/>
      <c r="Q7" s="15"/>
      <c r="R7" s="15"/>
      <c r="S7" s="15"/>
      <c r="T7" s="15"/>
      <c r="U7" s="15"/>
      <c r="V7" s="15"/>
    </row>
    <row r="8" spans="2:22">
      <c r="B8" s="30" t="s">
        <v>91</v>
      </c>
      <c r="C8" s="30" t="s">
        <v>103</v>
      </c>
      <c r="D8" s="30" t="s">
        <v>111</v>
      </c>
      <c r="E8" s="31">
        <f>VLOOKUP($B8,'MC RATE'!$A:$D,3,0)</f>
        <v>13.672147439570576</v>
      </c>
      <c r="F8" s="31">
        <f>VLOOKUP($B8,'MC RATE'!$A:$D,4,0)</f>
        <v>9.0756919219600896</v>
      </c>
      <c r="G8" s="31"/>
      <c r="H8" s="31"/>
      <c r="I8" s="3"/>
      <c r="J8" s="3"/>
      <c r="K8" s="3">
        <v>3.25</v>
      </c>
      <c r="L8" s="31"/>
      <c r="M8" s="3"/>
      <c r="N8" s="31">
        <v>0.37</v>
      </c>
      <c r="O8" s="33">
        <v>0.7142857142857143</v>
      </c>
      <c r="P8" s="34">
        <v>0</v>
      </c>
      <c r="Q8" s="34">
        <v>0.28571428571428575</v>
      </c>
      <c r="R8" s="15">
        <v>3.21</v>
      </c>
      <c r="S8" s="15"/>
      <c r="T8" s="15"/>
      <c r="U8" s="15"/>
      <c r="V8" s="15"/>
    </row>
    <row r="9" spans="2:22">
      <c r="B9" s="29" t="s">
        <v>92</v>
      </c>
      <c r="C9" s="29" t="s">
        <v>104</v>
      </c>
      <c r="D9" s="29" t="s">
        <v>111</v>
      </c>
      <c r="E9" s="32">
        <f>VLOOKUP($B9,'MC RATE'!$A:$D,3,0)</f>
        <v>16.962003643112972</v>
      </c>
      <c r="F9" s="32">
        <f>VLOOKUP($B9,'MC RATE'!$A:$D,4,0)</f>
        <v>11.249737380801571</v>
      </c>
      <c r="G9" s="32"/>
      <c r="H9" s="32"/>
      <c r="I9" s="12"/>
      <c r="J9" s="12"/>
      <c r="K9" s="12">
        <v>3.25</v>
      </c>
      <c r="L9" s="32"/>
      <c r="M9" s="12"/>
      <c r="N9" s="32">
        <v>0.37</v>
      </c>
      <c r="O9" s="33">
        <v>0.71428571428571397</v>
      </c>
      <c r="P9" s="34">
        <v>0</v>
      </c>
      <c r="Q9" s="34">
        <v>0.28571428571428575</v>
      </c>
      <c r="R9" s="15"/>
      <c r="S9" s="15">
        <v>2.88</v>
      </c>
      <c r="T9" s="15">
        <v>5.0599999999999996</v>
      </c>
      <c r="U9" s="15"/>
      <c r="V9" s="15"/>
    </row>
    <row r="10" spans="2:22">
      <c r="B10" s="29" t="s">
        <v>93</v>
      </c>
      <c r="C10" s="29" t="s">
        <v>105</v>
      </c>
      <c r="D10" s="29" t="s">
        <v>111</v>
      </c>
      <c r="E10" s="32">
        <f>VLOOKUP($B10,'MC RATE'!$A:$D,3,0)</f>
        <v>17.159682340093543</v>
      </c>
      <c r="F10" s="32">
        <f>VLOOKUP($B10,'MC RATE'!$A:$D,4,0)</f>
        <v>11.593560684104116</v>
      </c>
      <c r="G10" s="32"/>
      <c r="H10" s="32"/>
      <c r="I10" s="12"/>
      <c r="J10" s="12"/>
      <c r="K10" s="12">
        <v>3.25</v>
      </c>
      <c r="L10" s="32"/>
      <c r="M10" s="12"/>
      <c r="N10" s="32">
        <v>0.37</v>
      </c>
      <c r="O10" s="33">
        <v>0.7142857142857143</v>
      </c>
      <c r="P10" s="34">
        <v>0</v>
      </c>
      <c r="Q10" s="34">
        <v>0.28571428571428575</v>
      </c>
    </row>
    <row r="11" spans="2:22">
      <c r="B11" s="29" t="s">
        <v>94</v>
      </c>
      <c r="C11" s="29" t="s">
        <v>106</v>
      </c>
      <c r="D11" s="29" t="s">
        <v>111</v>
      </c>
      <c r="E11" s="32">
        <f>VLOOKUP($B11,'MC RATE'!$A:$D,3,0)</f>
        <v>20.956628454316402</v>
      </c>
      <c r="F11" s="32">
        <f>VLOOKUP($B11,'MC RATE'!$A:$D,4,0)</f>
        <v>14.177565892132231</v>
      </c>
      <c r="G11" s="32"/>
      <c r="H11" s="32"/>
      <c r="I11" s="12"/>
      <c r="J11" s="12"/>
      <c r="K11" s="12">
        <v>3.25</v>
      </c>
      <c r="L11" s="32"/>
      <c r="M11" s="12"/>
      <c r="N11" s="32">
        <v>0.45</v>
      </c>
      <c r="O11" s="33">
        <v>0.7142857142857143</v>
      </c>
      <c r="P11" s="34">
        <v>0</v>
      </c>
      <c r="Q11" s="34">
        <v>0.28571428571428575</v>
      </c>
    </row>
    <row r="12" spans="2:22">
      <c r="B12" s="29" t="s">
        <v>95</v>
      </c>
      <c r="C12" s="29" t="s">
        <v>107</v>
      </c>
      <c r="D12" s="29" t="s">
        <v>111</v>
      </c>
      <c r="E12" s="32">
        <f>VLOOKUP($B12,'MC RATE'!$A:$D,3,0)</f>
        <v>25.715054533939288</v>
      </c>
      <c r="F12" s="32">
        <f>VLOOKUP($B12,'MC RATE'!$A:$D,4,0)</f>
        <v>17.621720590934029</v>
      </c>
      <c r="G12" s="32"/>
      <c r="H12" s="32"/>
      <c r="I12" s="12"/>
      <c r="J12" s="12"/>
      <c r="K12" s="12">
        <v>3.25</v>
      </c>
      <c r="L12" s="32"/>
      <c r="M12" s="12"/>
      <c r="N12" s="32">
        <v>0.45</v>
      </c>
      <c r="O12" s="33">
        <v>0.7142857142857143</v>
      </c>
      <c r="P12" s="34">
        <v>0</v>
      </c>
      <c r="Q12" s="34">
        <v>0.28571428571428575</v>
      </c>
    </row>
    <row r="13" spans="2:22">
      <c r="B13" s="29" t="s">
        <v>96</v>
      </c>
      <c r="C13" s="29" t="s">
        <v>108</v>
      </c>
      <c r="D13" s="29" t="s">
        <v>111</v>
      </c>
      <c r="E13" s="32">
        <f>VLOOKUP($B13,'MC RATE'!$A:$D,3,0)</f>
        <v>39.82952352073746</v>
      </c>
      <c r="F13" s="32">
        <f>VLOOKUP($B13,'MC RATE'!$A:$D,4,0)</f>
        <v>27.442444289614269</v>
      </c>
      <c r="G13" s="32"/>
      <c r="H13" s="32"/>
      <c r="I13" s="12"/>
      <c r="J13" s="12"/>
      <c r="K13" s="12">
        <v>3.25</v>
      </c>
      <c r="L13" s="32"/>
      <c r="M13" s="12"/>
      <c r="N13" s="32">
        <v>0.55000000000000004</v>
      </c>
      <c r="O13" s="33">
        <v>0.7142857142857143</v>
      </c>
      <c r="P13" s="34">
        <v>0</v>
      </c>
      <c r="Q13" s="34">
        <v>0.28571428571428575</v>
      </c>
    </row>
    <row r="14" spans="2:22">
      <c r="B14" s="29" t="s">
        <v>97</v>
      </c>
      <c r="C14" s="29" t="s">
        <v>109</v>
      </c>
      <c r="D14" s="29" t="s">
        <v>111</v>
      </c>
      <c r="E14" s="32">
        <f>VLOOKUP($B14,'MC RATE'!$A:$D,3,0)</f>
        <v>50.906865435576634</v>
      </c>
      <c r="F14" s="32">
        <f>VLOOKUP($B14,'MC RATE'!$A:$D,4,0)</f>
        <v>35.281181331835306</v>
      </c>
      <c r="G14" s="32"/>
      <c r="H14" s="32"/>
      <c r="I14" s="12"/>
      <c r="J14" s="12"/>
      <c r="K14" s="12">
        <v>3.25</v>
      </c>
      <c r="L14" s="32"/>
      <c r="M14" s="12"/>
      <c r="N14" s="32">
        <v>0.57999999999999996</v>
      </c>
      <c r="O14" s="33">
        <v>0.8</v>
      </c>
      <c r="P14" s="34">
        <v>0</v>
      </c>
      <c r="Q14" s="34">
        <v>0.2</v>
      </c>
    </row>
    <row r="15" spans="2:22">
      <c r="B15" s="29" t="s">
        <v>98</v>
      </c>
      <c r="C15" s="29" t="s">
        <v>110</v>
      </c>
      <c r="D15" s="29" t="s">
        <v>112</v>
      </c>
      <c r="E15" s="32">
        <f>VLOOKUP($B15,'MC RATE'!$A:$D,3,0)</f>
        <v>5.2054324837391261</v>
      </c>
      <c r="F15" s="32">
        <f>VLOOKUP($B15,'MC RATE'!$A:$D,4,0)</f>
        <v>3.5267576792144135</v>
      </c>
      <c r="G15" s="32"/>
      <c r="H15" s="32"/>
      <c r="I15" s="12"/>
      <c r="J15" s="12"/>
      <c r="K15" s="12">
        <v>3.25</v>
      </c>
      <c r="L15" s="32"/>
      <c r="M15" s="12"/>
      <c r="N15" s="32">
        <v>0.33</v>
      </c>
      <c r="O15" s="33">
        <v>0.83333333333333337</v>
      </c>
      <c r="P15" s="34">
        <v>0</v>
      </c>
      <c r="Q15" s="34">
        <v>0.16666666666666699</v>
      </c>
    </row>
    <row r="16" spans="2:22">
      <c r="B16" s="29" t="s">
        <v>99</v>
      </c>
      <c r="C16" s="29" t="s">
        <v>110</v>
      </c>
      <c r="D16" s="29" t="s">
        <v>112</v>
      </c>
      <c r="E16" s="32">
        <f>VLOOKUP($B16,'MC RATE'!$A:$D,3,0)</f>
        <v>6.6381156931122272</v>
      </c>
      <c r="F16" s="32">
        <f>VLOOKUP($B16,'MC RATE'!$A:$D,4,0)</f>
        <v>4.7034866524175225</v>
      </c>
      <c r="G16" s="32"/>
      <c r="H16" s="32"/>
      <c r="I16" s="12"/>
      <c r="J16" s="12"/>
      <c r="K16" s="12">
        <v>3.25</v>
      </c>
      <c r="L16" s="32"/>
      <c r="M16" s="12"/>
      <c r="N16" s="32">
        <v>0.33</v>
      </c>
      <c r="O16" s="33">
        <v>0.83333333333333337</v>
      </c>
      <c r="P16" s="34">
        <v>0</v>
      </c>
      <c r="Q16" s="34">
        <v>0.16666666666666669</v>
      </c>
    </row>
    <row r="17" spans="2:17">
      <c r="B17" s="29" t="s">
        <v>100</v>
      </c>
      <c r="C17" s="29" t="s">
        <v>110</v>
      </c>
      <c r="D17" s="29" t="s">
        <v>112</v>
      </c>
      <c r="E17" s="32">
        <f>VLOOKUP($B17,'MC RATE'!$A:$D,3,0)</f>
        <v>7.9861190325766973</v>
      </c>
      <c r="F17" s="32">
        <f>VLOOKUP($B17,'MC RATE'!$A:$D,4,0)</f>
        <v>5.7019221212437667</v>
      </c>
      <c r="G17" s="32"/>
      <c r="H17" s="32"/>
      <c r="I17" s="12"/>
      <c r="J17" s="12"/>
      <c r="K17" s="12">
        <v>3.25</v>
      </c>
      <c r="L17" s="32"/>
      <c r="M17" s="12"/>
      <c r="N17" s="32">
        <v>0.33</v>
      </c>
      <c r="O17" s="33">
        <v>0.83333333333333337</v>
      </c>
      <c r="P17" s="34">
        <v>0</v>
      </c>
      <c r="Q17" s="34">
        <v>0.16666666666666669</v>
      </c>
    </row>
    <row r="18" spans="2:17">
      <c r="B18" s="29" t="s">
        <v>101</v>
      </c>
      <c r="C18" s="29" t="s">
        <v>110</v>
      </c>
      <c r="D18" s="29" t="s">
        <v>112</v>
      </c>
      <c r="E18" s="32">
        <f>VLOOKUP($B18,'MC RATE'!$A:$D,3,0)</f>
        <v>12.154753480710353</v>
      </c>
      <c r="F18" s="32">
        <f>VLOOKUP($B18,'MC RATE'!$A:$D,4,0)</f>
        <v>8.7019664419244922</v>
      </c>
      <c r="G18" s="32"/>
      <c r="H18" s="32"/>
      <c r="I18" s="12"/>
      <c r="J18" s="12"/>
      <c r="K18" s="12">
        <v>3.25</v>
      </c>
      <c r="L18" s="32"/>
      <c r="M18" s="12"/>
      <c r="N18" s="32">
        <v>0.33</v>
      </c>
      <c r="O18" s="33">
        <v>0.83333333333333304</v>
      </c>
      <c r="P18" s="34">
        <v>0</v>
      </c>
      <c r="Q18" s="34">
        <v>0.16666666666666699</v>
      </c>
    </row>
    <row r="19" spans="2:17">
      <c r="B19" s="29" t="s">
        <v>102</v>
      </c>
      <c r="C19" s="29" t="s">
        <v>110</v>
      </c>
      <c r="D19" s="29" t="s">
        <v>112</v>
      </c>
      <c r="E19" s="32">
        <f>VLOOKUP($B19,'MC RATE'!$A:$D,3,0)</f>
        <v>20.38527990906217</v>
      </c>
      <c r="F19" s="32">
        <f>VLOOKUP($B19,'MC RATE'!$A:$D,4,0)</f>
        <v>14.207470487759586</v>
      </c>
      <c r="G19" s="32"/>
      <c r="H19" s="32"/>
      <c r="I19" s="12"/>
      <c r="J19" s="12"/>
      <c r="K19" s="12">
        <v>3.25</v>
      </c>
      <c r="L19" s="32"/>
      <c r="M19" s="12"/>
      <c r="N19" s="32">
        <v>0.33</v>
      </c>
      <c r="O19" s="33">
        <v>0.83333333333333337</v>
      </c>
      <c r="P19" s="34">
        <v>0</v>
      </c>
      <c r="Q19" s="34">
        <v>0.16666666666666669</v>
      </c>
    </row>
    <row r="20" spans="2:17">
      <c r="B20" s="12"/>
      <c r="C20" s="12"/>
      <c r="D20" s="12"/>
      <c r="E20" s="12"/>
      <c r="F20" s="12"/>
      <c r="G20" s="12"/>
      <c r="H20" s="12"/>
      <c r="I20" s="12"/>
      <c r="J20" s="12"/>
      <c r="K20" s="12"/>
      <c r="L20" s="12"/>
      <c r="M20" s="12"/>
      <c r="N20" s="12"/>
    </row>
    <row r="21" spans="2:17">
      <c r="B21" s="12"/>
      <c r="C21" s="12"/>
      <c r="D21" s="12"/>
      <c r="E21" s="12"/>
      <c r="F21" s="12"/>
      <c r="G21" s="12"/>
      <c r="H21" s="12"/>
      <c r="I21" s="12"/>
      <c r="J21" s="12"/>
      <c r="K21" s="12"/>
      <c r="L21" s="12"/>
      <c r="M21" s="12"/>
      <c r="N21" s="12"/>
    </row>
    <row r="22" spans="2:17">
      <c r="B22" s="12"/>
      <c r="C22" s="12"/>
      <c r="D22" s="12"/>
      <c r="E22" s="12"/>
      <c r="F22" s="12"/>
      <c r="G22" s="12"/>
      <c r="H22" s="12"/>
      <c r="I22" s="12"/>
      <c r="J22" s="12"/>
      <c r="K22" s="12"/>
      <c r="L22" s="12"/>
      <c r="M22" s="12"/>
      <c r="N22" s="12"/>
    </row>
    <row r="23" spans="2:17">
      <c r="B23" s="12"/>
      <c r="C23" s="12"/>
      <c r="D23" s="12"/>
      <c r="E23" s="12"/>
      <c r="F23" s="12"/>
      <c r="G23" s="12"/>
      <c r="H23" s="12"/>
      <c r="I23" s="12"/>
      <c r="J23" s="12"/>
      <c r="K23" s="12"/>
      <c r="L23" s="12"/>
      <c r="M23" s="12"/>
      <c r="N23" s="12"/>
    </row>
    <row r="24" spans="2:17">
      <c r="B24" s="12"/>
      <c r="C24" s="12"/>
      <c r="D24" s="12"/>
      <c r="E24" s="12"/>
      <c r="F24" s="12"/>
      <c r="G24" s="12"/>
      <c r="H24" s="12"/>
      <c r="I24" s="12"/>
      <c r="J24" s="12"/>
      <c r="K24" s="12"/>
      <c r="L24" s="12"/>
      <c r="M24" s="12"/>
      <c r="N24" s="12"/>
    </row>
    <row r="25" spans="2:17">
      <c r="D25" t="s">
        <v>19</v>
      </c>
      <c r="E25" t="s">
        <v>30</v>
      </c>
    </row>
    <row r="26" spans="2:17">
      <c r="D26" t="s">
        <v>21</v>
      </c>
      <c r="E26" t="s">
        <v>22</v>
      </c>
    </row>
    <row r="27" spans="2:17">
      <c r="D27" t="s">
        <v>23</v>
      </c>
      <c r="E27" t="s">
        <v>24</v>
      </c>
    </row>
  </sheetData>
  <pageMargins left="0.7" right="0.7" top="0.75" bottom="0.75" header="0.3" footer="0.3"/>
  <pageSetup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P23"/>
  <sheetViews>
    <sheetView workbookViewId="0"/>
  </sheetViews>
  <sheetFormatPr defaultRowHeight="15"/>
  <cols>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 min="15" max="15" width="17.42578125" customWidth="1"/>
  </cols>
  <sheetData>
    <row r="1" spans="2:16" ht="15.75" thickBot="1"/>
    <row r="2" spans="2:16" ht="45">
      <c r="B2" s="1" t="s">
        <v>0</v>
      </c>
      <c r="C2" s="2" t="s">
        <v>1</v>
      </c>
      <c r="D2" s="3" t="s">
        <v>2</v>
      </c>
      <c r="E2" s="4" t="s">
        <v>3</v>
      </c>
      <c r="F2" s="4" t="s">
        <v>4</v>
      </c>
      <c r="G2" s="4" t="s">
        <v>5</v>
      </c>
      <c r="H2" s="4" t="s">
        <v>6</v>
      </c>
      <c r="I2" s="4" t="s">
        <v>7</v>
      </c>
      <c r="J2" s="4" t="s">
        <v>8</v>
      </c>
      <c r="K2" s="4" t="s">
        <v>9</v>
      </c>
      <c r="L2" s="13" t="s">
        <v>10</v>
      </c>
      <c r="M2" s="4" t="s">
        <v>11</v>
      </c>
      <c r="N2" s="13" t="s">
        <v>29</v>
      </c>
      <c r="O2" s="13" t="s">
        <v>82</v>
      </c>
      <c r="P2" s="5" t="s">
        <v>83</v>
      </c>
    </row>
    <row r="3" spans="2:16" ht="39" thickBot="1">
      <c r="B3" s="6"/>
      <c r="C3" s="7"/>
      <c r="D3" s="8"/>
      <c r="E3" s="8"/>
      <c r="F3" s="8"/>
      <c r="G3" s="8"/>
      <c r="H3" s="8"/>
      <c r="I3" s="8"/>
      <c r="J3" s="9" t="s">
        <v>14</v>
      </c>
      <c r="K3" s="10" t="s">
        <v>15</v>
      </c>
      <c r="L3" s="9" t="s">
        <v>16</v>
      </c>
      <c r="M3" s="9" t="s">
        <v>17</v>
      </c>
      <c r="N3" s="9" t="s">
        <v>18</v>
      </c>
      <c r="O3" s="21"/>
      <c r="P3" s="9" t="s">
        <v>84</v>
      </c>
    </row>
    <row r="4" spans="2:16">
      <c r="B4" s="11"/>
      <c r="C4" s="11"/>
      <c r="D4" s="11"/>
      <c r="E4" s="11"/>
      <c r="F4" s="11"/>
      <c r="G4" s="11"/>
      <c r="H4" s="11"/>
      <c r="I4" s="11"/>
      <c r="J4" s="11"/>
      <c r="K4" s="11"/>
      <c r="L4" s="11"/>
      <c r="M4" s="11"/>
      <c r="N4" s="11"/>
      <c r="O4" s="11"/>
      <c r="P4" s="11"/>
    </row>
    <row r="5" spans="2:16">
      <c r="B5" s="12"/>
      <c r="C5" s="12"/>
      <c r="D5" s="12"/>
      <c r="E5" s="12"/>
      <c r="F5" s="12"/>
      <c r="G5" s="12"/>
      <c r="H5" s="12"/>
      <c r="I5" s="12"/>
      <c r="J5" s="12"/>
      <c r="K5" s="12"/>
      <c r="L5" s="12"/>
      <c r="M5" s="12"/>
      <c r="N5" s="12"/>
      <c r="O5" s="12"/>
      <c r="P5" s="12"/>
    </row>
    <row r="6" spans="2:16">
      <c r="B6" s="12"/>
      <c r="C6" s="12"/>
      <c r="D6" s="12"/>
      <c r="E6" s="12"/>
      <c r="F6" s="12"/>
      <c r="G6" s="12"/>
      <c r="H6" s="12"/>
      <c r="I6" s="12"/>
      <c r="J6" s="12"/>
      <c r="K6" s="12"/>
      <c r="L6" s="12"/>
      <c r="M6" s="12"/>
      <c r="N6" s="12"/>
      <c r="O6" s="12"/>
      <c r="P6" s="12"/>
    </row>
    <row r="7" spans="2:16">
      <c r="B7" s="12"/>
      <c r="C7" s="12"/>
      <c r="D7" s="12"/>
      <c r="E7" s="12"/>
      <c r="F7" s="12"/>
      <c r="G7" s="12"/>
      <c r="H7" s="12"/>
      <c r="I7" s="12"/>
      <c r="J7" s="12"/>
      <c r="K7" s="12"/>
      <c r="L7" s="12"/>
      <c r="M7" s="12"/>
      <c r="N7" s="12"/>
      <c r="O7" s="12"/>
      <c r="P7" s="12"/>
    </row>
    <row r="8" spans="2:16">
      <c r="B8" s="12"/>
      <c r="C8" s="12"/>
      <c r="D8" s="12"/>
      <c r="E8" s="12"/>
      <c r="F8" s="12"/>
      <c r="G8" s="12"/>
      <c r="H8" s="12"/>
      <c r="I8" s="12"/>
      <c r="J8" s="12"/>
      <c r="K8" s="12"/>
      <c r="L8" s="12"/>
      <c r="M8" s="12"/>
      <c r="N8" s="12"/>
      <c r="O8" s="12"/>
      <c r="P8" s="12"/>
    </row>
    <row r="9" spans="2:16">
      <c r="B9" s="12"/>
      <c r="C9" s="12"/>
      <c r="D9" s="12"/>
      <c r="E9" s="12"/>
      <c r="F9" s="12"/>
      <c r="G9" s="12"/>
      <c r="H9" s="12"/>
      <c r="I9" s="12"/>
      <c r="J9" s="12"/>
      <c r="K9" s="12"/>
      <c r="L9" s="12"/>
      <c r="M9" s="12"/>
      <c r="N9" s="12"/>
      <c r="O9" s="12"/>
      <c r="P9" s="12"/>
    </row>
    <row r="10" spans="2:16">
      <c r="B10" s="12"/>
      <c r="C10" s="12"/>
      <c r="D10" s="12"/>
      <c r="E10" s="12"/>
      <c r="F10" s="12"/>
      <c r="G10" s="12"/>
      <c r="H10" s="12"/>
      <c r="I10" s="12"/>
      <c r="J10" s="12"/>
      <c r="K10" s="12"/>
      <c r="L10" s="12"/>
      <c r="M10" s="12"/>
      <c r="N10" s="12"/>
      <c r="O10" s="12"/>
      <c r="P10" s="12"/>
    </row>
    <row r="11" spans="2:16">
      <c r="B11" s="12"/>
      <c r="C11" s="12"/>
      <c r="D11" s="12"/>
      <c r="E11" s="12"/>
      <c r="F11" s="12"/>
      <c r="G11" s="12"/>
      <c r="H11" s="12"/>
      <c r="I11" s="12"/>
      <c r="J11" s="12"/>
      <c r="K11" s="12"/>
      <c r="L11" s="12"/>
      <c r="M11" s="12"/>
      <c r="N11" s="12"/>
      <c r="O11" s="12"/>
      <c r="P11" s="12"/>
    </row>
    <row r="12" spans="2:16">
      <c r="B12" s="12"/>
      <c r="C12" s="12"/>
      <c r="D12" s="12"/>
      <c r="E12" s="12"/>
      <c r="F12" s="12"/>
      <c r="G12" s="12"/>
      <c r="H12" s="12"/>
      <c r="I12" s="12"/>
      <c r="J12" s="12"/>
      <c r="K12" s="12"/>
      <c r="L12" s="12"/>
      <c r="M12" s="12"/>
      <c r="N12" s="12"/>
      <c r="O12" s="12"/>
      <c r="P12" s="12"/>
    </row>
    <row r="13" spans="2:16">
      <c r="B13" s="12"/>
      <c r="C13" s="12"/>
      <c r="D13" s="12"/>
      <c r="E13" s="12"/>
      <c r="F13" s="12"/>
      <c r="G13" s="12"/>
      <c r="H13" s="12"/>
      <c r="I13" s="12"/>
      <c r="J13" s="12"/>
      <c r="K13" s="12"/>
      <c r="L13" s="12"/>
      <c r="M13" s="12"/>
      <c r="N13" s="12"/>
      <c r="O13" s="12"/>
      <c r="P13" s="12"/>
    </row>
    <row r="14" spans="2:16">
      <c r="B14" s="12"/>
      <c r="C14" s="12"/>
      <c r="D14" s="12"/>
      <c r="E14" s="12"/>
      <c r="F14" s="12"/>
      <c r="G14" s="12"/>
      <c r="H14" s="12"/>
      <c r="I14" s="12"/>
      <c r="J14" s="12"/>
      <c r="K14" s="12"/>
      <c r="L14" s="12"/>
      <c r="M14" s="12"/>
      <c r="N14" s="12"/>
      <c r="O14" s="12"/>
      <c r="P14" s="12"/>
    </row>
    <row r="15" spans="2:16">
      <c r="B15" s="12"/>
      <c r="C15" s="12"/>
      <c r="D15" s="12"/>
      <c r="E15" s="12"/>
      <c r="F15" s="12"/>
      <c r="G15" s="12"/>
      <c r="H15" s="12"/>
      <c r="I15" s="12"/>
      <c r="J15" s="12"/>
      <c r="K15" s="12"/>
      <c r="L15" s="12"/>
      <c r="M15" s="12"/>
      <c r="N15" s="12"/>
      <c r="O15" s="12"/>
      <c r="P15" s="12"/>
    </row>
    <row r="16" spans="2:16">
      <c r="B16" s="12"/>
      <c r="C16" s="12"/>
      <c r="D16" s="12"/>
      <c r="E16" s="12"/>
      <c r="F16" s="12"/>
      <c r="G16" s="12"/>
      <c r="H16" s="12"/>
      <c r="I16" s="12"/>
      <c r="J16" s="12"/>
      <c r="K16" s="12"/>
      <c r="L16" s="12"/>
      <c r="M16" s="12"/>
      <c r="N16" s="12"/>
      <c r="O16" s="12"/>
      <c r="P16" s="12"/>
    </row>
    <row r="17" spans="2:16">
      <c r="B17" s="12"/>
      <c r="C17" s="12"/>
      <c r="D17" s="12"/>
      <c r="E17" s="12"/>
      <c r="F17" s="12"/>
      <c r="G17" s="12"/>
      <c r="H17" s="12"/>
      <c r="I17" s="12"/>
      <c r="J17" s="12"/>
      <c r="K17" s="12"/>
      <c r="L17" s="12"/>
      <c r="M17" s="12"/>
      <c r="N17" s="12"/>
      <c r="O17" s="12"/>
      <c r="P17" s="12"/>
    </row>
    <row r="18" spans="2:16">
      <c r="B18" s="12"/>
      <c r="C18" s="12"/>
      <c r="D18" s="12"/>
      <c r="E18" s="12"/>
      <c r="F18" s="12"/>
      <c r="G18" s="12"/>
      <c r="H18" s="12"/>
      <c r="I18" s="12"/>
      <c r="J18" s="12"/>
      <c r="K18" s="12"/>
      <c r="L18" s="12"/>
      <c r="M18" s="12"/>
      <c r="N18" s="12"/>
      <c r="O18" s="12"/>
      <c r="P18" s="12"/>
    </row>
    <row r="19" spans="2:16">
      <c r="B19" s="12"/>
      <c r="C19" s="12"/>
      <c r="D19" s="12"/>
      <c r="E19" s="12"/>
      <c r="F19" s="12"/>
      <c r="G19" s="12"/>
      <c r="H19" s="12"/>
      <c r="I19" s="12"/>
      <c r="J19" s="12"/>
      <c r="K19" s="12"/>
      <c r="L19" s="12"/>
      <c r="M19" s="12"/>
      <c r="N19" s="12"/>
      <c r="O19" s="12"/>
      <c r="P19" s="12"/>
    </row>
    <row r="20" spans="2:16">
      <c r="B20" s="12"/>
      <c r="C20" s="12"/>
      <c r="D20" s="12"/>
      <c r="E20" s="12"/>
      <c r="F20" s="12"/>
      <c r="G20" s="12"/>
      <c r="H20" s="12"/>
      <c r="I20" s="12"/>
      <c r="J20" s="12"/>
      <c r="K20" s="12"/>
      <c r="L20" s="12"/>
      <c r="M20" s="12"/>
      <c r="N20" s="12"/>
      <c r="O20" s="12"/>
      <c r="P20" s="12"/>
    </row>
    <row r="21" spans="2:16">
      <c r="D21" t="s">
        <v>19</v>
      </c>
      <c r="E21" t="s">
        <v>31</v>
      </c>
    </row>
    <row r="22" spans="2:16">
      <c r="D22" t="s">
        <v>21</v>
      </c>
      <c r="E22" t="s">
        <v>22</v>
      </c>
    </row>
    <row r="23" spans="2:16">
      <c r="D23" t="s">
        <v>23</v>
      </c>
      <c r="E23" t="s">
        <v>24</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23"/>
  <sheetViews>
    <sheetView workbookViewId="0"/>
  </sheetViews>
  <sheetFormatPr defaultRowHeight="15"/>
  <cols>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1" spans="2:14" ht="15.75" thickBot="1"/>
    <row r="2" spans="2:14" ht="45">
      <c r="B2" s="1" t="s">
        <v>0</v>
      </c>
      <c r="C2" s="2" t="s">
        <v>1</v>
      </c>
      <c r="D2" s="3" t="s">
        <v>2</v>
      </c>
      <c r="E2" s="4" t="s">
        <v>3</v>
      </c>
      <c r="F2" s="4" t="s">
        <v>4</v>
      </c>
      <c r="G2" s="4" t="s">
        <v>5</v>
      </c>
      <c r="H2" s="4" t="s">
        <v>6</v>
      </c>
      <c r="I2" s="4" t="s">
        <v>7</v>
      </c>
      <c r="J2" s="4" t="s">
        <v>8</v>
      </c>
      <c r="K2" s="4" t="s">
        <v>9</v>
      </c>
      <c r="L2" s="4" t="s">
        <v>10</v>
      </c>
      <c r="M2" s="4" t="s">
        <v>11</v>
      </c>
      <c r="N2" s="5" t="s">
        <v>29</v>
      </c>
    </row>
    <row r="3" spans="2:14" ht="26.25" thickBot="1">
      <c r="B3" s="6"/>
      <c r="C3" s="7"/>
      <c r="D3" s="8"/>
      <c r="E3" s="8"/>
      <c r="F3" s="8"/>
      <c r="G3" s="8"/>
      <c r="H3" s="8"/>
      <c r="I3" s="8"/>
      <c r="J3" s="9" t="s">
        <v>14</v>
      </c>
      <c r="K3" s="10" t="s">
        <v>15</v>
      </c>
      <c r="L3" s="9" t="s">
        <v>16</v>
      </c>
      <c r="M3" s="9" t="s">
        <v>17</v>
      </c>
      <c r="N3" s="16" t="s">
        <v>18</v>
      </c>
    </row>
    <row r="4" spans="2:14">
      <c r="B4" s="11"/>
      <c r="C4" s="11"/>
      <c r="D4" s="11"/>
      <c r="E4" s="11"/>
      <c r="F4" s="11"/>
      <c r="G4" s="11"/>
      <c r="H4" s="11"/>
      <c r="I4" s="11"/>
      <c r="J4" s="11"/>
      <c r="K4" s="11"/>
      <c r="L4" s="11"/>
      <c r="M4" s="11"/>
      <c r="N4" s="11"/>
    </row>
    <row r="5" spans="2:14">
      <c r="B5" s="12"/>
      <c r="C5" s="12"/>
      <c r="D5" s="12"/>
      <c r="E5" s="12"/>
      <c r="F5" s="12"/>
      <c r="G5" s="12"/>
      <c r="H5" s="12"/>
      <c r="I5" s="12"/>
      <c r="J5" s="12"/>
      <c r="K5" s="12"/>
      <c r="L5" s="12"/>
      <c r="M5" s="12"/>
      <c r="N5" s="12"/>
    </row>
    <row r="6" spans="2:14">
      <c r="B6" s="12"/>
      <c r="C6" s="12"/>
      <c r="D6" s="12"/>
      <c r="E6" s="12"/>
      <c r="F6" s="12"/>
      <c r="G6" s="12"/>
      <c r="H6" s="12"/>
      <c r="I6" s="12"/>
      <c r="J6" s="12"/>
      <c r="K6" s="12"/>
      <c r="L6" s="12"/>
      <c r="M6" s="12"/>
      <c r="N6" s="12"/>
    </row>
    <row r="7" spans="2:14">
      <c r="B7" s="12"/>
      <c r="C7" s="12"/>
      <c r="D7" s="12"/>
      <c r="E7" s="12"/>
      <c r="F7" s="12"/>
      <c r="G7" s="12"/>
      <c r="H7" s="12"/>
      <c r="I7" s="12"/>
      <c r="J7" s="12"/>
      <c r="K7" s="12"/>
      <c r="L7" s="12"/>
      <c r="M7" s="12"/>
      <c r="N7" s="12"/>
    </row>
    <row r="8" spans="2:14">
      <c r="B8" s="12"/>
      <c r="C8" s="12"/>
      <c r="D8" s="12"/>
      <c r="E8" s="12"/>
      <c r="F8" s="12"/>
      <c r="G8" s="12"/>
      <c r="H8" s="12"/>
      <c r="I8" s="12"/>
      <c r="J8" s="12"/>
      <c r="K8" s="12"/>
      <c r="L8" s="12"/>
      <c r="M8" s="12"/>
      <c r="N8" s="12"/>
    </row>
    <row r="9" spans="2:14">
      <c r="B9" s="12"/>
      <c r="C9" s="12"/>
      <c r="D9" s="12"/>
      <c r="E9" s="12"/>
      <c r="F9" s="12"/>
      <c r="G9" s="12"/>
      <c r="H9" s="12"/>
      <c r="I9" s="12"/>
      <c r="J9" s="12"/>
      <c r="K9" s="12"/>
      <c r="L9" s="12"/>
      <c r="M9" s="12"/>
      <c r="N9" s="12"/>
    </row>
    <row r="10" spans="2:14">
      <c r="B10" s="12"/>
      <c r="C10" s="12"/>
      <c r="D10" s="12"/>
      <c r="E10" s="12"/>
      <c r="F10" s="12"/>
      <c r="G10" s="12"/>
      <c r="H10" s="12"/>
      <c r="I10" s="12"/>
      <c r="J10" s="12"/>
      <c r="K10" s="12"/>
      <c r="L10" s="12"/>
      <c r="M10" s="12"/>
      <c r="N10" s="12"/>
    </row>
    <row r="11" spans="2:14">
      <c r="B11" s="12"/>
      <c r="C11" s="12"/>
      <c r="D11" s="12"/>
      <c r="E11" s="12"/>
      <c r="F11" s="12"/>
      <c r="G11" s="12"/>
      <c r="H11" s="12"/>
      <c r="I11" s="12"/>
      <c r="J11" s="12"/>
      <c r="K11" s="12"/>
      <c r="L11" s="12"/>
      <c r="M11" s="12"/>
      <c r="N11" s="12"/>
    </row>
    <row r="12" spans="2:14">
      <c r="B12" s="12"/>
      <c r="C12" s="12"/>
      <c r="D12" s="12"/>
      <c r="E12" s="12"/>
      <c r="F12" s="12"/>
      <c r="G12" s="12"/>
      <c r="H12" s="12"/>
      <c r="I12" s="12"/>
      <c r="J12" s="12"/>
      <c r="K12" s="12"/>
      <c r="L12" s="12"/>
      <c r="M12" s="12"/>
      <c r="N12" s="12"/>
    </row>
    <row r="13" spans="2:14">
      <c r="B13" s="12"/>
      <c r="C13" s="12"/>
      <c r="D13" s="12"/>
      <c r="E13" s="12"/>
      <c r="F13" s="12"/>
      <c r="G13" s="12"/>
      <c r="H13" s="12"/>
      <c r="I13" s="12"/>
      <c r="J13" s="12"/>
      <c r="K13" s="12"/>
      <c r="L13" s="12"/>
      <c r="M13" s="12"/>
      <c r="N13" s="12"/>
    </row>
    <row r="14" spans="2:14">
      <c r="B14" s="12"/>
      <c r="C14" s="12"/>
      <c r="D14" s="12"/>
      <c r="E14" s="12"/>
      <c r="F14" s="12"/>
      <c r="G14" s="12"/>
      <c r="H14" s="12"/>
      <c r="I14" s="12"/>
      <c r="J14" s="12"/>
      <c r="K14" s="12"/>
      <c r="L14" s="12"/>
      <c r="M14" s="12"/>
      <c r="N14" s="12"/>
    </row>
    <row r="15" spans="2:14">
      <c r="B15" s="12"/>
      <c r="C15" s="12"/>
      <c r="D15" s="12"/>
      <c r="E15" s="12"/>
      <c r="F15" s="12"/>
      <c r="G15" s="12"/>
      <c r="H15" s="12"/>
      <c r="I15" s="12"/>
      <c r="J15" s="12"/>
      <c r="K15" s="12"/>
      <c r="L15" s="12"/>
      <c r="M15" s="12"/>
      <c r="N15" s="12"/>
    </row>
    <row r="16" spans="2:14">
      <c r="B16" s="12"/>
      <c r="C16" s="12"/>
      <c r="D16" s="12"/>
      <c r="E16" s="12"/>
      <c r="F16" s="12"/>
      <c r="G16" s="12"/>
      <c r="H16" s="12"/>
      <c r="I16" s="12"/>
      <c r="J16" s="12"/>
      <c r="K16" s="12"/>
      <c r="L16" s="12"/>
      <c r="M16" s="12"/>
      <c r="N16" s="12"/>
    </row>
    <row r="17" spans="2:14">
      <c r="B17" s="12"/>
      <c r="C17" s="12"/>
      <c r="D17" s="12"/>
      <c r="E17" s="12"/>
      <c r="F17" s="12"/>
      <c r="G17" s="12"/>
      <c r="H17" s="12"/>
      <c r="I17" s="12"/>
      <c r="J17" s="12"/>
      <c r="K17" s="12"/>
      <c r="L17" s="12"/>
      <c r="M17" s="12"/>
      <c r="N17" s="12"/>
    </row>
    <row r="18" spans="2:14">
      <c r="B18" s="12"/>
      <c r="C18" s="12"/>
      <c r="D18" s="12"/>
      <c r="E18" s="12"/>
      <c r="F18" s="12"/>
      <c r="G18" s="12"/>
      <c r="H18" s="12"/>
      <c r="I18" s="12"/>
      <c r="J18" s="12"/>
      <c r="K18" s="12"/>
      <c r="L18" s="12"/>
      <c r="M18" s="12"/>
      <c r="N18" s="12"/>
    </row>
    <row r="19" spans="2:14">
      <c r="B19" s="12"/>
      <c r="C19" s="12"/>
      <c r="D19" s="12"/>
      <c r="E19" s="12"/>
      <c r="F19" s="12"/>
      <c r="G19" s="12"/>
      <c r="H19" s="12"/>
      <c r="I19" s="12"/>
      <c r="J19" s="12"/>
      <c r="K19" s="12"/>
      <c r="L19" s="12"/>
      <c r="M19" s="12"/>
      <c r="N19" s="12"/>
    </row>
    <row r="20" spans="2:14">
      <c r="B20" s="12"/>
      <c r="C20" s="12"/>
      <c r="D20" s="12"/>
      <c r="E20" s="12"/>
      <c r="F20" s="12"/>
      <c r="G20" s="12"/>
      <c r="H20" s="12"/>
      <c r="I20" s="12"/>
      <c r="J20" s="12"/>
      <c r="K20" s="12"/>
      <c r="L20" s="12"/>
      <c r="M20" s="12"/>
      <c r="N20" s="12"/>
    </row>
    <row r="21" spans="2:14">
      <c r="D21" t="s">
        <v>19</v>
      </c>
      <c r="E21" t="s">
        <v>30</v>
      </c>
    </row>
    <row r="22" spans="2:14">
      <c r="D22" t="s">
        <v>21</v>
      </c>
      <c r="E22" t="s">
        <v>22</v>
      </c>
    </row>
    <row r="23" spans="2:14">
      <c r="D23" t="s">
        <v>23</v>
      </c>
      <c r="E23"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23"/>
  <sheetViews>
    <sheetView workbookViewId="0"/>
  </sheetViews>
  <sheetFormatPr defaultRowHeight="15"/>
  <cols>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1" spans="2:14" ht="15.75" thickBot="1"/>
    <row r="2" spans="2:14" ht="45">
      <c r="B2" s="1" t="s">
        <v>0</v>
      </c>
      <c r="C2" s="2" t="s">
        <v>1</v>
      </c>
      <c r="D2" s="3" t="s">
        <v>2</v>
      </c>
      <c r="E2" s="4" t="s">
        <v>3</v>
      </c>
      <c r="F2" s="4" t="s">
        <v>4</v>
      </c>
      <c r="G2" s="4" t="s">
        <v>5</v>
      </c>
      <c r="H2" s="4" t="s">
        <v>6</v>
      </c>
      <c r="I2" s="4" t="s">
        <v>7</v>
      </c>
      <c r="J2" s="4" t="s">
        <v>8</v>
      </c>
      <c r="K2" s="4" t="s">
        <v>9</v>
      </c>
      <c r="L2" s="4" t="s">
        <v>10</v>
      </c>
      <c r="M2" s="4" t="s">
        <v>11</v>
      </c>
      <c r="N2" s="5" t="s">
        <v>29</v>
      </c>
    </row>
    <row r="3" spans="2:14" ht="26.25" thickBot="1">
      <c r="B3" s="6"/>
      <c r="C3" s="7"/>
      <c r="D3" s="8"/>
      <c r="E3" s="8"/>
      <c r="F3" s="8"/>
      <c r="G3" s="8"/>
      <c r="H3" s="8"/>
      <c r="I3" s="8"/>
      <c r="J3" s="9" t="s">
        <v>14</v>
      </c>
      <c r="K3" s="10" t="s">
        <v>15</v>
      </c>
      <c r="L3" s="9" t="s">
        <v>16</v>
      </c>
      <c r="M3" s="9" t="s">
        <v>17</v>
      </c>
      <c r="N3" s="16" t="s">
        <v>18</v>
      </c>
    </row>
    <row r="4" spans="2:14">
      <c r="B4" s="11"/>
      <c r="C4" s="11"/>
      <c r="D4" s="11"/>
      <c r="E4" s="11"/>
      <c r="F4" s="11"/>
      <c r="G4" s="11"/>
      <c r="H4" s="11"/>
      <c r="I4" s="11"/>
      <c r="J4" s="11"/>
      <c r="K4" s="11"/>
      <c r="L4" s="11"/>
      <c r="M4" s="11"/>
      <c r="N4" s="11"/>
    </row>
    <row r="5" spans="2:14">
      <c r="B5" s="12"/>
      <c r="C5" s="12"/>
      <c r="D5" s="12"/>
      <c r="E5" s="12"/>
      <c r="F5" s="12"/>
      <c r="G5" s="12"/>
      <c r="H5" s="12"/>
      <c r="I5" s="12"/>
      <c r="J5" s="12"/>
      <c r="K5" s="12"/>
      <c r="L5" s="12"/>
      <c r="M5" s="12"/>
      <c r="N5" s="12"/>
    </row>
    <row r="6" spans="2:14">
      <c r="B6" s="12"/>
      <c r="C6" s="12"/>
      <c r="D6" s="12"/>
      <c r="E6" s="12"/>
      <c r="F6" s="12"/>
      <c r="G6" s="12"/>
      <c r="H6" s="12"/>
      <c r="I6" s="12"/>
      <c r="J6" s="12"/>
      <c r="K6" s="12"/>
      <c r="L6" s="12"/>
      <c r="M6" s="12"/>
      <c r="N6" s="12"/>
    </row>
    <row r="7" spans="2:14">
      <c r="B7" s="12"/>
      <c r="C7" s="12"/>
      <c r="D7" s="12"/>
      <c r="E7" s="12"/>
      <c r="F7" s="12"/>
      <c r="G7" s="12"/>
      <c r="H7" s="12"/>
      <c r="I7" s="12"/>
      <c r="J7" s="12"/>
      <c r="K7" s="12"/>
      <c r="L7" s="12"/>
      <c r="M7" s="12"/>
      <c r="N7" s="12"/>
    </row>
    <row r="8" spans="2:14">
      <c r="B8" s="12"/>
      <c r="C8" s="12"/>
      <c r="D8" s="12"/>
      <c r="E8" s="12"/>
      <c r="F8" s="12"/>
      <c r="G8" s="12"/>
      <c r="H8" s="12"/>
      <c r="I8" s="12"/>
      <c r="J8" s="12"/>
      <c r="K8" s="12"/>
      <c r="L8" s="12"/>
      <c r="M8" s="12"/>
      <c r="N8" s="12"/>
    </row>
    <row r="9" spans="2:14">
      <c r="B9" s="12"/>
      <c r="C9" s="12"/>
      <c r="D9" s="12"/>
      <c r="E9" s="12"/>
      <c r="F9" s="12"/>
      <c r="G9" s="12"/>
      <c r="H9" s="12"/>
      <c r="I9" s="12"/>
      <c r="J9" s="12"/>
      <c r="K9" s="12"/>
      <c r="L9" s="12"/>
      <c r="M9" s="12"/>
      <c r="N9" s="12"/>
    </row>
    <row r="10" spans="2:14">
      <c r="B10" s="12"/>
      <c r="C10" s="12"/>
      <c r="D10" s="12"/>
      <c r="E10" s="12"/>
      <c r="F10" s="12"/>
      <c r="G10" s="12"/>
      <c r="H10" s="12"/>
      <c r="I10" s="12"/>
      <c r="J10" s="12"/>
      <c r="K10" s="12"/>
      <c r="L10" s="12"/>
      <c r="M10" s="12"/>
      <c r="N10" s="12"/>
    </row>
    <row r="11" spans="2:14">
      <c r="B11" s="12"/>
      <c r="C11" s="12"/>
      <c r="D11" s="12"/>
      <c r="E11" s="12"/>
      <c r="F11" s="12"/>
      <c r="G11" s="12"/>
      <c r="H11" s="12"/>
      <c r="I11" s="12"/>
      <c r="J11" s="12"/>
      <c r="K11" s="12"/>
      <c r="L11" s="12"/>
      <c r="M11" s="12"/>
      <c r="N11" s="12"/>
    </row>
    <row r="12" spans="2:14">
      <c r="B12" s="12"/>
      <c r="C12" s="12"/>
      <c r="D12" s="12"/>
      <c r="E12" s="12"/>
      <c r="F12" s="12"/>
      <c r="G12" s="12"/>
      <c r="H12" s="12"/>
      <c r="I12" s="12"/>
      <c r="J12" s="12"/>
      <c r="K12" s="12"/>
      <c r="L12" s="12"/>
      <c r="M12" s="12"/>
      <c r="N12" s="12"/>
    </row>
    <row r="13" spans="2:14">
      <c r="B13" s="12"/>
      <c r="C13" s="12"/>
      <c r="D13" s="12"/>
      <c r="E13" s="12"/>
      <c r="F13" s="12"/>
      <c r="G13" s="12"/>
      <c r="H13" s="12"/>
      <c r="I13" s="12"/>
      <c r="J13" s="12"/>
      <c r="K13" s="12"/>
      <c r="L13" s="12"/>
      <c r="M13" s="12"/>
      <c r="N13" s="12"/>
    </row>
    <row r="14" spans="2:14">
      <c r="B14" s="12"/>
      <c r="C14" s="12"/>
      <c r="D14" s="12"/>
      <c r="E14" s="12"/>
      <c r="F14" s="12"/>
      <c r="G14" s="12"/>
      <c r="H14" s="12"/>
      <c r="I14" s="12"/>
      <c r="J14" s="12"/>
      <c r="K14" s="12"/>
      <c r="L14" s="12"/>
      <c r="M14" s="12"/>
      <c r="N14" s="12"/>
    </row>
    <row r="15" spans="2:14">
      <c r="B15" s="12"/>
      <c r="C15" s="12"/>
      <c r="D15" s="12"/>
      <c r="E15" s="12"/>
      <c r="F15" s="12"/>
      <c r="G15" s="12"/>
      <c r="H15" s="12"/>
      <c r="I15" s="12"/>
      <c r="J15" s="12"/>
      <c r="K15" s="12"/>
      <c r="L15" s="12"/>
      <c r="M15" s="12"/>
      <c r="N15" s="12"/>
    </row>
    <row r="16" spans="2:14">
      <c r="B16" s="12"/>
      <c r="C16" s="12"/>
      <c r="D16" s="12"/>
      <c r="E16" s="12"/>
      <c r="F16" s="12"/>
      <c r="G16" s="12"/>
      <c r="H16" s="12"/>
      <c r="I16" s="12"/>
      <c r="J16" s="12"/>
      <c r="K16" s="12"/>
      <c r="L16" s="12"/>
      <c r="M16" s="12"/>
      <c r="N16" s="12"/>
    </row>
    <row r="17" spans="2:14">
      <c r="B17" s="12"/>
      <c r="C17" s="12"/>
      <c r="D17" s="12"/>
      <c r="E17" s="12"/>
      <c r="F17" s="12"/>
      <c r="G17" s="12"/>
      <c r="H17" s="12"/>
      <c r="I17" s="12"/>
      <c r="J17" s="12"/>
      <c r="K17" s="12"/>
      <c r="L17" s="12"/>
      <c r="M17" s="12"/>
      <c r="N17" s="12"/>
    </row>
    <row r="18" spans="2:14">
      <c r="B18" s="12"/>
      <c r="C18" s="12"/>
      <c r="D18" s="12"/>
      <c r="E18" s="12"/>
      <c r="F18" s="12"/>
      <c r="G18" s="12"/>
      <c r="H18" s="12"/>
      <c r="I18" s="12"/>
      <c r="J18" s="12"/>
      <c r="K18" s="12"/>
      <c r="L18" s="12"/>
      <c r="M18" s="12"/>
      <c r="N18" s="12"/>
    </row>
    <row r="19" spans="2:14">
      <c r="B19" s="12"/>
      <c r="C19" s="12"/>
      <c r="D19" s="12"/>
      <c r="E19" s="12"/>
      <c r="F19" s="12"/>
      <c r="G19" s="12"/>
      <c r="H19" s="12"/>
      <c r="I19" s="12"/>
      <c r="J19" s="12"/>
      <c r="K19" s="12"/>
      <c r="L19" s="12"/>
      <c r="M19" s="12"/>
      <c r="N19" s="12"/>
    </row>
    <row r="20" spans="2:14">
      <c r="B20" s="12"/>
      <c r="C20" s="12"/>
      <c r="D20" s="12"/>
      <c r="E20" s="12"/>
      <c r="F20" s="12"/>
      <c r="G20" s="12"/>
      <c r="H20" s="12"/>
      <c r="I20" s="12"/>
      <c r="J20" s="12"/>
      <c r="K20" s="12"/>
      <c r="L20" s="12"/>
      <c r="M20" s="12"/>
      <c r="N20" s="12"/>
    </row>
    <row r="21" spans="2:14">
      <c r="D21" t="s">
        <v>19</v>
      </c>
      <c r="E21" t="s">
        <v>30</v>
      </c>
    </row>
    <row r="22" spans="2:14">
      <c r="D22" t="s">
        <v>21</v>
      </c>
      <c r="E22" t="s">
        <v>22</v>
      </c>
    </row>
    <row r="23" spans="2:14">
      <c r="D23" t="s">
        <v>23</v>
      </c>
      <c r="E23" t="s">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opLeftCell="B1" workbookViewId="0">
      <selection activeCell="B25" sqref="B25"/>
    </sheetView>
  </sheetViews>
  <sheetFormatPr defaultRowHeight="15"/>
  <cols>
    <col min="1" max="1" width="38.42578125" hidden="1" customWidth="1"/>
    <col min="2" max="2" width="81.7109375" bestFit="1" customWidth="1"/>
  </cols>
  <sheetData>
    <row r="1" spans="1:3">
      <c r="C1" t="s">
        <v>32</v>
      </c>
    </row>
    <row r="2" spans="1:3">
      <c r="A2" t="s">
        <v>33</v>
      </c>
      <c r="B2" t="s">
        <v>34</v>
      </c>
      <c r="C2" s="22">
        <v>2.5000000000000001E-3</v>
      </c>
    </row>
    <row r="3" spans="1:3">
      <c r="A3" t="s">
        <v>35</v>
      </c>
      <c r="B3" t="s">
        <v>36</v>
      </c>
      <c r="C3" s="22">
        <v>5.0000000000000001E-3</v>
      </c>
    </row>
    <row r="4" spans="1:3">
      <c r="A4" t="s">
        <v>37</v>
      </c>
      <c r="B4" t="s">
        <v>38</v>
      </c>
      <c r="C4" s="22">
        <v>3.25</v>
      </c>
    </row>
    <row r="5" spans="1:3">
      <c r="A5" t="s">
        <v>39</v>
      </c>
      <c r="B5" t="s">
        <v>40</v>
      </c>
      <c r="C5" s="22">
        <v>3.25</v>
      </c>
    </row>
    <row r="6" spans="1:3">
      <c r="A6" t="s">
        <v>41</v>
      </c>
      <c r="B6" t="s">
        <v>42</v>
      </c>
      <c r="C6" s="22">
        <v>3.25</v>
      </c>
    </row>
    <row r="7" spans="1:3">
      <c r="A7" t="s">
        <v>148</v>
      </c>
      <c r="B7" t="s">
        <v>149</v>
      </c>
      <c r="C7" s="22">
        <v>3.25</v>
      </c>
    </row>
    <row r="8" spans="1:3">
      <c r="C8" s="19"/>
    </row>
    <row r="9" spans="1:3">
      <c r="C9" s="19"/>
    </row>
    <row r="10" spans="1:3">
      <c r="A10" t="s">
        <v>43</v>
      </c>
      <c r="B10" s="35" t="s">
        <v>43</v>
      </c>
      <c r="C10" s="19"/>
    </row>
    <row r="11" spans="1:3">
      <c r="C11" s="20"/>
    </row>
    <row r="12" spans="1:3">
      <c r="A12" t="s">
        <v>44</v>
      </c>
      <c r="B12" t="s">
        <v>45</v>
      </c>
      <c r="C12" s="22"/>
    </row>
    <row r="13" spans="1:3">
      <c r="A13" t="s">
        <v>46</v>
      </c>
      <c r="B13" t="s">
        <v>47</v>
      </c>
      <c r="C13" s="22"/>
    </row>
    <row r="14" spans="1:3">
      <c r="A14" t="s">
        <v>48</v>
      </c>
      <c r="B14" t="s">
        <v>49</v>
      </c>
      <c r="C14" s="22"/>
    </row>
    <row r="15" spans="1:3">
      <c r="A15" t="s">
        <v>50</v>
      </c>
      <c r="B15" t="s">
        <v>51</v>
      </c>
      <c r="C15" s="22"/>
    </row>
    <row r="16" spans="1:3">
      <c r="C16" s="22"/>
    </row>
    <row r="17" spans="1:3">
      <c r="A17" t="s">
        <v>52</v>
      </c>
      <c r="B17" t="s">
        <v>53</v>
      </c>
      <c r="C17" s="22"/>
    </row>
    <row r="18" spans="1:3">
      <c r="A18" t="s">
        <v>54</v>
      </c>
      <c r="B18" t="s">
        <v>55</v>
      </c>
      <c r="C18" s="22"/>
    </row>
    <row r="19" spans="1:3">
      <c r="A19" t="s">
        <v>56</v>
      </c>
      <c r="B19" t="s">
        <v>57</v>
      </c>
      <c r="C19" s="22"/>
    </row>
    <row r="20" spans="1:3">
      <c r="A20" t="s">
        <v>58</v>
      </c>
      <c r="B20" t="s">
        <v>59</v>
      </c>
      <c r="C20" s="22"/>
    </row>
    <row r="21" spans="1:3">
      <c r="A21" t="s">
        <v>60</v>
      </c>
      <c r="B21" t="s">
        <v>61</v>
      </c>
      <c r="C21" s="22"/>
    </row>
    <row r="22" spans="1:3">
      <c r="A22" t="s">
        <v>62</v>
      </c>
      <c r="B22" t="s">
        <v>63</v>
      </c>
      <c r="C22" s="22"/>
    </row>
    <row r="23" spans="1:3">
      <c r="A23" t="s">
        <v>64</v>
      </c>
      <c r="B23" t="s">
        <v>65</v>
      </c>
      <c r="C23" s="22"/>
    </row>
    <row r="24" spans="1:3">
      <c r="A24" t="s">
        <v>66</v>
      </c>
      <c r="B24" t="s">
        <v>67</v>
      </c>
      <c r="C24" s="22"/>
    </row>
    <row r="25" spans="1:3">
      <c r="A25" t="s">
        <v>68</v>
      </c>
      <c r="B25" t="s">
        <v>69</v>
      </c>
      <c r="C25" s="22"/>
    </row>
    <row r="26" spans="1:3">
      <c r="A26" t="s">
        <v>70</v>
      </c>
      <c r="B26" t="s">
        <v>71</v>
      </c>
      <c r="C26" s="22"/>
    </row>
    <row r="27" spans="1:3">
      <c r="A27" t="s">
        <v>72</v>
      </c>
      <c r="B27" t="s">
        <v>73</v>
      </c>
      <c r="C27" s="22"/>
    </row>
    <row r="28" spans="1:3">
      <c r="A28" t="s">
        <v>74</v>
      </c>
      <c r="B28" t="s">
        <v>75</v>
      </c>
      <c r="C28" s="22"/>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4"/>
    <pageSetUpPr fitToPage="1"/>
  </sheetPr>
  <dimension ref="A1:AW95"/>
  <sheetViews>
    <sheetView zoomScale="80" workbookViewId="0">
      <pane xSplit="2" topLeftCell="C1" activePane="topRight" state="frozen"/>
      <selection activeCell="O91" sqref="O91"/>
      <selection pane="topRight" activeCell="D7" sqref="D7"/>
    </sheetView>
  </sheetViews>
  <sheetFormatPr defaultColWidth="9.140625" defaultRowHeight="12.75"/>
  <cols>
    <col min="1" max="1" width="9.140625" style="41"/>
    <col min="2" max="2" width="10.7109375" style="38" customWidth="1"/>
    <col min="3" max="3" width="12.28515625" style="38" customWidth="1"/>
    <col min="4" max="4" width="12.85546875" style="38" customWidth="1"/>
    <col min="5" max="5" width="12.28515625" style="38" bestFit="1" customWidth="1"/>
    <col min="6" max="6" width="11.7109375" style="38" bestFit="1" customWidth="1"/>
    <col min="7" max="7" width="11.28515625" style="38" bestFit="1" customWidth="1"/>
    <col min="8" max="8" width="11.42578125" style="38" customWidth="1"/>
    <col min="9" max="10" width="8.7109375" style="38" customWidth="1"/>
    <col min="11" max="29" width="9.7109375" style="38" customWidth="1"/>
    <col min="30" max="31" width="8.85546875" style="38" customWidth="1"/>
    <col min="32" max="16384" width="9.140625" style="41"/>
  </cols>
  <sheetData>
    <row r="1" spans="1:31">
      <c r="B1" s="36" t="s">
        <v>150</v>
      </c>
      <c r="C1" s="37"/>
      <c r="E1" s="37"/>
      <c r="F1" s="37"/>
      <c r="G1" s="37"/>
      <c r="H1" s="37"/>
      <c r="I1" s="37"/>
      <c r="J1" s="37"/>
      <c r="K1" s="39" t="s">
        <v>151</v>
      </c>
      <c r="L1" s="39">
        <v>0.9</v>
      </c>
      <c r="M1" s="40"/>
      <c r="N1" s="40"/>
      <c r="O1" s="40"/>
      <c r="P1" s="40"/>
      <c r="Q1" s="40"/>
      <c r="R1" s="40"/>
      <c r="S1" s="40"/>
      <c r="T1" s="40"/>
      <c r="U1" s="40"/>
      <c r="V1" s="40"/>
      <c r="W1" s="40"/>
      <c r="X1" s="40"/>
      <c r="Y1" s="40"/>
      <c r="Z1" s="40"/>
      <c r="AA1" s="40"/>
      <c r="AB1" s="40"/>
      <c r="AC1" s="40"/>
      <c r="AD1" s="40"/>
      <c r="AE1" s="40"/>
    </row>
    <row r="2" spans="1:31" ht="13.5" thickBot="1">
      <c r="C2" s="42"/>
      <c r="E2" s="42"/>
      <c r="F2" s="43"/>
      <c r="G2" s="43"/>
      <c r="H2" s="43"/>
      <c r="I2" s="43"/>
      <c r="J2" s="43"/>
      <c r="K2" s="44">
        <v>10</v>
      </c>
      <c r="L2" s="44">
        <v>11</v>
      </c>
      <c r="M2" s="44">
        <v>12</v>
      </c>
      <c r="N2" s="44">
        <v>13</v>
      </c>
      <c r="O2" s="44">
        <v>14</v>
      </c>
      <c r="P2" s="44">
        <v>15</v>
      </c>
      <c r="Q2" s="44">
        <v>16</v>
      </c>
      <c r="R2" s="44">
        <v>17</v>
      </c>
      <c r="S2" s="44">
        <v>18</v>
      </c>
      <c r="T2" s="44">
        <v>19</v>
      </c>
      <c r="U2" s="44">
        <v>20</v>
      </c>
      <c r="V2" s="44">
        <v>21</v>
      </c>
      <c r="W2" s="44">
        <v>22</v>
      </c>
      <c r="X2" s="44">
        <v>23</v>
      </c>
      <c r="Y2" s="44">
        <v>24</v>
      </c>
      <c r="Z2" s="44">
        <v>25</v>
      </c>
      <c r="AA2" s="44">
        <v>26</v>
      </c>
      <c r="AB2" s="44">
        <v>27</v>
      </c>
      <c r="AC2" s="44">
        <v>28</v>
      </c>
      <c r="AD2" s="44">
        <v>29</v>
      </c>
      <c r="AE2" s="44">
        <v>30</v>
      </c>
    </row>
    <row r="3" spans="1:31" ht="13.5" thickBot="1">
      <c r="B3" s="37"/>
      <c r="C3" s="174" t="s">
        <v>152</v>
      </c>
      <c r="D3" s="175"/>
      <c r="E3" s="42"/>
      <c r="F3" s="43"/>
      <c r="G3" s="43"/>
      <c r="H3" s="43"/>
      <c r="I3" s="43"/>
      <c r="J3" s="43"/>
      <c r="K3" s="176" t="s">
        <v>153</v>
      </c>
      <c r="L3" s="177"/>
      <c r="M3" s="177"/>
      <c r="N3" s="177"/>
      <c r="O3" s="177"/>
      <c r="P3" s="177"/>
      <c r="Q3" s="178"/>
      <c r="R3" s="176" t="s">
        <v>154</v>
      </c>
      <c r="S3" s="177"/>
      <c r="T3" s="177"/>
      <c r="U3" s="177"/>
      <c r="V3" s="177"/>
      <c r="W3" s="177"/>
      <c r="X3" s="178"/>
      <c r="Y3" s="176" t="s">
        <v>155</v>
      </c>
      <c r="Z3" s="177"/>
      <c r="AA3" s="177"/>
      <c r="AB3" s="177"/>
      <c r="AC3" s="177"/>
      <c r="AD3" s="177"/>
      <c r="AE3" s="178"/>
    </row>
    <row r="4" spans="1:31" ht="15">
      <c r="B4" s="45" t="s">
        <v>156</v>
      </c>
      <c r="C4" s="46" t="s">
        <v>157</v>
      </c>
      <c r="D4" s="47" t="s">
        <v>158</v>
      </c>
      <c r="E4" s="45" t="s">
        <v>159</v>
      </c>
      <c r="F4" s="48" t="s">
        <v>160</v>
      </c>
      <c r="G4" s="48" t="s">
        <v>161</v>
      </c>
      <c r="H4" s="48" t="s">
        <v>162</v>
      </c>
      <c r="I4" s="49" t="s">
        <v>163</v>
      </c>
      <c r="J4" s="50" t="s">
        <v>164</v>
      </c>
      <c r="K4" s="51" t="s">
        <v>165</v>
      </c>
      <c r="L4" s="52" t="s">
        <v>166</v>
      </c>
      <c r="M4" s="53" t="s">
        <v>167</v>
      </c>
      <c r="N4" s="54" t="s">
        <v>168</v>
      </c>
      <c r="O4" s="54" t="s">
        <v>169</v>
      </c>
      <c r="P4" s="54" t="s">
        <v>170</v>
      </c>
      <c r="Q4" s="55" t="s">
        <v>171</v>
      </c>
      <c r="R4" s="56" t="s">
        <v>165</v>
      </c>
      <c r="S4" s="57" t="s">
        <v>166</v>
      </c>
      <c r="T4" s="58" t="s">
        <v>167</v>
      </c>
      <c r="U4" s="59" t="s">
        <v>168</v>
      </c>
      <c r="V4" s="59" t="s">
        <v>169</v>
      </c>
      <c r="W4" s="59" t="s">
        <v>170</v>
      </c>
      <c r="X4" s="60" t="s">
        <v>171</v>
      </c>
      <c r="Y4" s="56" t="s">
        <v>165</v>
      </c>
      <c r="Z4" s="57" t="s">
        <v>166</v>
      </c>
      <c r="AA4" s="58" t="s">
        <v>167</v>
      </c>
      <c r="AB4" s="59" t="s">
        <v>168</v>
      </c>
      <c r="AC4" s="59" t="s">
        <v>169</v>
      </c>
      <c r="AD4" s="59" t="s">
        <v>170</v>
      </c>
      <c r="AE4" s="60" t="s">
        <v>171</v>
      </c>
    </row>
    <row r="5" spans="1:31" ht="13.5" thickBot="1">
      <c r="B5" s="61">
        <v>0</v>
      </c>
      <c r="C5" s="44" t="s">
        <v>172</v>
      </c>
      <c r="D5" s="44" t="s">
        <v>173</v>
      </c>
      <c r="E5" s="62"/>
      <c r="F5" s="63"/>
      <c r="G5" s="63"/>
      <c r="H5" s="63"/>
      <c r="I5" s="63"/>
      <c r="J5" s="63"/>
      <c r="K5" s="64"/>
      <c r="L5" s="65"/>
      <c r="M5" s="65"/>
      <c r="N5" s="65"/>
      <c r="O5" s="65"/>
      <c r="P5" s="65"/>
      <c r="Q5" s="66"/>
      <c r="R5" s="64"/>
      <c r="S5" s="65"/>
      <c r="T5" s="65"/>
      <c r="U5" s="65"/>
      <c r="V5" s="65"/>
      <c r="W5" s="65"/>
      <c r="X5" s="66"/>
      <c r="Y5" s="64"/>
      <c r="Z5" s="65"/>
      <c r="AA5" s="65"/>
      <c r="AB5" s="67"/>
      <c r="AC5" s="67"/>
      <c r="AD5" s="68"/>
      <c r="AE5" s="69"/>
    </row>
    <row r="6" spans="1:31" ht="15">
      <c r="A6" s="30" t="s">
        <v>91</v>
      </c>
      <c r="B6" s="70">
        <v>1035</v>
      </c>
      <c r="C6" s="71">
        <v>13.672147439570576</v>
      </c>
      <c r="D6" s="71">
        <v>9.0756919219600896</v>
      </c>
      <c r="E6" s="72" t="s">
        <v>174</v>
      </c>
      <c r="F6" s="73" t="s">
        <v>111</v>
      </c>
      <c r="G6" s="74">
        <v>0.6</v>
      </c>
      <c r="H6" s="75">
        <f>I6*60*J6/100</f>
        <v>5616</v>
      </c>
      <c r="I6" s="75">
        <v>117</v>
      </c>
      <c r="J6" s="76">
        <v>80</v>
      </c>
      <c r="K6" s="77">
        <v>2.484</v>
      </c>
      <c r="L6" s="78">
        <v>0.79615384615384599</v>
      </c>
      <c r="M6" s="78">
        <v>0.59142857142857141</v>
      </c>
      <c r="N6" s="78">
        <v>0.69</v>
      </c>
      <c r="O6" s="78">
        <v>1.38</v>
      </c>
      <c r="P6" s="78">
        <v>2.484</v>
      </c>
      <c r="Q6" s="79">
        <v>3.105</v>
      </c>
      <c r="R6" s="80">
        <v>2.1</v>
      </c>
      <c r="S6" s="81">
        <v>0.96923076923076923</v>
      </c>
      <c r="T6" s="81">
        <v>0.84</v>
      </c>
      <c r="U6" s="81">
        <v>1.0080000000000002</v>
      </c>
      <c r="V6" s="81">
        <v>1.68</v>
      </c>
      <c r="W6" s="81">
        <v>3.024</v>
      </c>
      <c r="X6" s="82">
        <v>3.78</v>
      </c>
      <c r="Y6" s="80">
        <v>3.4666666666666663</v>
      </c>
      <c r="Z6" s="81">
        <v>2.127272727272727</v>
      </c>
      <c r="AA6" s="81">
        <v>1.8720000000000001</v>
      </c>
      <c r="AB6" s="81">
        <v>2.34</v>
      </c>
      <c r="AC6" s="81">
        <v>3.12</v>
      </c>
      <c r="AD6" s="83">
        <v>3.4666666666666663</v>
      </c>
      <c r="AE6" s="84">
        <v>3.9</v>
      </c>
    </row>
    <row r="7" spans="1:31" ht="15">
      <c r="A7" s="29" t="s">
        <v>92</v>
      </c>
      <c r="B7" s="70">
        <v>1060</v>
      </c>
      <c r="C7" s="71">
        <v>16.962003643112972</v>
      </c>
      <c r="D7" s="71">
        <v>11.249737380801571</v>
      </c>
      <c r="E7" s="72" t="s">
        <v>175</v>
      </c>
      <c r="F7" s="73" t="s">
        <v>111</v>
      </c>
      <c r="G7" s="74">
        <v>0.6</v>
      </c>
      <c r="H7" s="75">
        <f t="shared" ref="H7:H18" si="0">I7*60*J7/100</f>
        <v>3648</v>
      </c>
      <c r="I7" s="75">
        <v>76</v>
      </c>
      <c r="J7" s="76">
        <v>80</v>
      </c>
      <c r="K7" s="77">
        <v>2.484</v>
      </c>
      <c r="L7" s="78">
        <v>0.79615384615384599</v>
      </c>
      <c r="M7" s="78">
        <v>0.59142857142857141</v>
      </c>
      <c r="N7" s="78">
        <v>0.69</v>
      </c>
      <c r="O7" s="78">
        <v>1.38</v>
      </c>
      <c r="P7" s="78">
        <v>2.484</v>
      </c>
      <c r="Q7" s="79">
        <v>3.105</v>
      </c>
      <c r="R7" s="80">
        <v>2.1</v>
      </c>
      <c r="S7" s="81">
        <v>0.96923076923076923</v>
      </c>
      <c r="T7" s="81">
        <v>0.84</v>
      </c>
      <c r="U7" s="81">
        <v>1.0080000000000002</v>
      </c>
      <c r="V7" s="81">
        <v>1.68</v>
      </c>
      <c r="W7" s="81">
        <v>3.024</v>
      </c>
      <c r="X7" s="82">
        <v>3.78</v>
      </c>
      <c r="Y7" s="80">
        <v>3.4666666666666663</v>
      </c>
      <c r="Z7" s="81">
        <v>2.127272727272727</v>
      </c>
      <c r="AA7" s="81">
        <v>1.8720000000000001</v>
      </c>
      <c r="AB7" s="81">
        <v>2.34</v>
      </c>
      <c r="AC7" s="81">
        <v>3.12</v>
      </c>
      <c r="AD7" s="83">
        <v>3.4666666666666663</v>
      </c>
      <c r="AE7" s="84">
        <v>3.9</v>
      </c>
    </row>
    <row r="8" spans="1:31" ht="15">
      <c r="A8" s="29" t="s">
        <v>93</v>
      </c>
      <c r="B8" s="70">
        <v>1110</v>
      </c>
      <c r="C8" s="71">
        <v>17.159682340093543</v>
      </c>
      <c r="D8" s="71">
        <v>11.593560684104116</v>
      </c>
      <c r="E8" s="72" t="s">
        <v>176</v>
      </c>
      <c r="F8" s="73" t="s">
        <v>111</v>
      </c>
      <c r="G8" s="74">
        <v>0.7</v>
      </c>
      <c r="H8" s="75">
        <f t="shared" si="0"/>
        <v>2976</v>
      </c>
      <c r="I8" s="75">
        <v>62</v>
      </c>
      <c r="J8" s="76">
        <v>80</v>
      </c>
      <c r="K8" s="77">
        <v>3.456</v>
      </c>
      <c r="L8" s="78">
        <v>1.1076923076923078</v>
      </c>
      <c r="M8" s="78">
        <v>0.82285714285714295</v>
      </c>
      <c r="N8" s="78">
        <v>0.96</v>
      </c>
      <c r="O8" s="78">
        <v>1.92</v>
      </c>
      <c r="P8" s="78">
        <v>3.456</v>
      </c>
      <c r="Q8" s="79">
        <v>5.2290000000000001</v>
      </c>
      <c r="R8" s="80">
        <v>3.4019999999999997</v>
      </c>
      <c r="S8" s="81">
        <v>1.5660000000000001</v>
      </c>
      <c r="T8" s="81">
        <v>1.359</v>
      </c>
      <c r="U8" s="81">
        <v>1.629</v>
      </c>
      <c r="V8" s="81">
        <v>2.718</v>
      </c>
      <c r="W8" s="81">
        <v>5.4359999999999999</v>
      </c>
      <c r="X8" s="82">
        <v>6.12</v>
      </c>
      <c r="Y8" s="80">
        <v>5.202</v>
      </c>
      <c r="Z8" s="81">
        <v>3.1949999999999998</v>
      </c>
      <c r="AA8" s="81">
        <v>2.8080000000000003</v>
      </c>
      <c r="AB8" s="81">
        <v>3.51</v>
      </c>
      <c r="AC8" s="81">
        <v>5.6160000000000005</v>
      </c>
      <c r="AD8" s="83">
        <v>5.202</v>
      </c>
      <c r="AE8" s="84">
        <v>5.85</v>
      </c>
    </row>
    <row r="9" spans="1:31" ht="15">
      <c r="A9" s="29" t="s">
        <v>94</v>
      </c>
      <c r="B9" s="70">
        <v>1160</v>
      </c>
      <c r="C9" s="71">
        <v>20.956628454316402</v>
      </c>
      <c r="D9" s="71">
        <v>14.177565892132231</v>
      </c>
      <c r="E9" s="72" t="s">
        <v>177</v>
      </c>
      <c r="F9" s="73" t="s">
        <v>111</v>
      </c>
      <c r="G9" s="74">
        <v>0.8</v>
      </c>
      <c r="H9" s="75">
        <f t="shared" si="0"/>
        <v>2196</v>
      </c>
      <c r="I9" s="75">
        <v>61</v>
      </c>
      <c r="J9" s="76">
        <v>60</v>
      </c>
      <c r="K9" s="77">
        <v>4.1796000000000006</v>
      </c>
      <c r="L9" s="78">
        <v>1.3396153846153847</v>
      </c>
      <c r="M9" s="78">
        <v>0.99514285714285711</v>
      </c>
      <c r="N9" s="78">
        <v>1.161</v>
      </c>
      <c r="O9" s="78">
        <v>2.3220000000000001</v>
      </c>
      <c r="P9" s="78">
        <v>4.1796000000000006</v>
      </c>
      <c r="Q9" s="79">
        <v>5.2244999999999999</v>
      </c>
      <c r="R9" s="80">
        <v>3.3975</v>
      </c>
      <c r="S9" s="81">
        <v>1.5680769230769231</v>
      </c>
      <c r="T9" s="81">
        <v>1.359</v>
      </c>
      <c r="U9" s="81">
        <v>1.6308</v>
      </c>
      <c r="V9" s="81">
        <v>2.718</v>
      </c>
      <c r="W9" s="81">
        <v>5.4359999999999999</v>
      </c>
      <c r="X9" s="82">
        <v>6.1154999999999999</v>
      </c>
      <c r="Y9" s="80">
        <v>5.2</v>
      </c>
      <c r="Z9" s="81">
        <v>3.1909090909090905</v>
      </c>
      <c r="AA9" s="81">
        <v>2.8080000000000003</v>
      </c>
      <c r="AB9" s="81">
        <v>3.51</v>
      </c>
      <c r="AC9" s="81">
        <v>5.6160000000000005</v>
      </c>
      <c r="AD9" s="83">
        <v>5.2</v>
      </c>
      <c r="AE9" s="84">
        <v>5.85</v>
      </c>
    </row>
    <row r="10" spans="1:31" ht="15">
      <c r="A10" s="29" t="s">
        <v>95</v>
      </c>
      <c r="B10" s="70">
        <v>1200</v>
      </c>
      <c r="C10" s="71">
        <v>25.715054533939288</v>
      </c>
      <c r="D10" s="71">
        <v>17.621720590934029</v>
      </c>
      <c r="E10" s="72" t="s">
        <v>178</v>
      </c>
      <c r="F10" s="73" t="s">
        <v>111</v>
      </c>
      <c r="G10" s="74">
        <v>0.9</v>
      </c>
      <c r="H10" s="75">
        <f t="shared" si="0"/>
        <v>1908</v>
      </c>
      <c r="I10" s="75">
        <v>53</v>
      </c>
      <c r="J10" s="76">
        <v>60</v>
      </c>
      <c r="K10" s="77">
        <v>4.6116000000000001</v>
      </c>
      <c r="L10" s="78">
        <v>1.4780769230769228</v>
      </c>
      <c r="M10" s="78">
        <v>1.0980000000000001</v>
      </c>
      <c r="N10" s="78">
        <v>1.2809999999999999</v>
      </c>
      <c r="O10" s="78">
        <v>2.5619999999999998</v>
      </c>
      <c r="P10" s="78">
        <v>4.6116000000000001</v>
      </c>
      <c r="Q10" s="79">
        <v>5.7645</v>
      </c>
      <c r="R10" s="80">
        <v>3.6974999999999998</v>
      </c>
      <c r="S10" s="81">
        <v>1.7065384615384616</v>
      </c>
      <c r="T10" s="81">
        <v>1.4790000000000001</v>
      </c>
      <c r="U10" s="81">
        <v>1.7747999999999999</v>
      </c>
      <c r="V10" s="81">
        <v>2.9580000000000002</v>
      </c>
      <c r="W10" s="81">
        <v>5.9160000000000004</v>
      </c>
      <c r="X10" s="82">
        <v>6.6555</v>
      </c>
      <c r="Y10" s="80">
        <v>5.6</v>
      </c>
      <c r="Z10" s="81">
        <v>3.4363636363636361</v>
      </c>
      <c r="AA10" s="81">
        <v>3.024</v>
      </c>
      <c r="AB10" s="81">
        <v>3.78</v>
      </c>
      <c r="AC10" s="81">
        <v>6.048</v>
      </c>
      <c r="AD10" s="83">
        <v>5.6</v>
      </c>
      <c r="AE10" s="84">
        <v>6.3</v>
      </c>
    </row>
    <row r="11" spans="1:31" ht="15">
      <c r="A11"/>
      <c r="B11" s="70">
        <v>1250</v>
      </c>
      <c r="C11" s="71">
        <v>37.788088001122723</v>
      </c>
      <c r="D11" s="71">
        <v>25.745711867206644</v>
      </c>
      <c r="E11" s="72" t="s">
        <v>179</v>
      </c>
      <c r="F11" s="73" t="s">
        <v>111</v>
      </c>
      <c r="G11" s="74">
        <v>1</v>
      </c>
      <c r="H11" s="75">
        <f t="shared" si="0"/>
        <v>1590</v>
      </c>
      <c r="I11" s="75">
        <v>53</v>
      </c>
      <c r="J11" s="76">
        <v>50</v>
      </c>
      <c r="K11" s="77">
        <v>6.1884000000000006</v>
      </c>
      <c r="L11" s="78">
        <v>1.9834615384615386</v>
      </c>
      <c r="M11" s="78">
        <v>1.4734285714285715</v>
      </c>
      <c r="N11" s="78">
        <v>1.7189999999999999</v>
      </c>
      <c r="O11" s="78">
        <v>3.4379999999999997</v>
      </c>
      <c r="P11" s="78">
        <v>6.1884000000000006</v>
      </c>
      <c r="Q11" s="79">
        <v>7.7355000000000009</v>
      </c>
      <c r="R11" s="80">
        <v>4.8</v>
      </c>
      <c r="S11" s="81">
        <v>2.2153846153846155</v>
      </c>
      <c r="T11" s="81">
        <v>1.92</v>
      </c>
      <c r="U11" s="81">
        <v>2.3040000000000003</v>
      </c>
      <c r="V11" s="81">
        <v>3.84</v>
      </c>
      <c r="W11" s="81">
        <v>7.68</v>
      </c>
      <c r="X11" s="82">
        <v>8.64</v>
      </c>
      <c r="Y11" s="80">
        <v>7.0666666666666664</v>
      </c>
      <c r="Z11" s="81">
        <v>4.336363636363636</v>
      </c>
      <c r="AA11" s="81">
        <v>3.8160000000000003</v>
      </c>
      <c r="AB11" s="81">
        <v>4.7699999999999996</v>
      </c>
      <c r="AC11" s="81">
        <v>7.6320000000000006</v>
      </c>
      <c r="AD11" s="83">
        <v>7.0666666666666664</v>
      </c>
      <c r="AE11" s="84">
        <v>7.95</v>
      </c>
    </row>
    <row r="12" spans="1:31" ht="15">
      <c r="A12" s="29" t="s">
        <v>96</v>
      </c>
      <c r="B12" s="70">
        <v>1300</v>
      </c>
      <c r="C12" s="71">
        <v>39.82952352073746</v>
      </c>
      <c r="D12" s="71">
        <v>27.442444289614269</v>
      </c>
      <c r="E12" s="72" t="s">
        <v>180</v>
      </c>
      <c r="F12" s="73" t="s">
        <v>111</v>
      </c>
      <c r="G12" s="74">
        <v>1.1000000000000001</v>
      </c>
      <c r="H12" s="75">
        <f t="shared" si="0"/>
        <v>1590</v>
      </c>
      <c r="I12" s="75">
        <v>53</v>
      </c>
      <c r="J12" s="76">
        <v>50</v>
      </c>
      <c r="K12" s="77">
        <v>7.7760000000000007</v>
      </c>
      <c r="L12" s="78">
        <v>2.4923076923076923</v>
      </c>
      <c r="M12" s="78">
        <v>1.8514285714285716</v>
      </c>
      <c r="N12" s="78">
        <v>2.16</v>
      </c>
      <c r="O12" s="78">
        <v>4.32</v>
      </c>
      <c r="P12" s="78">
        <v>7.7760000000000007</v>
      </c>
      <c r="Q12" s="79">
        <v>9.7200000000000006</v>
      </c>
      <c r="R12" s="80">
        <v>5.9024999999999999</v>
      </c>
      <c r="S12" s="81">
        <v>2.7242307692307692</v>
      </c>
      <c r="T12" s="81">
        <v>2.3610000000000002</v>
      </c>
      <c r="U12" s="81">
        <v>2.8332000000000002</v>
      </c>
      <c r="V12" s="81">
        <v>4.7220000000000004</v>
      </c>
      <c r="W12" s="81">
        <v>9.4440000000000008</v>
      </c>
      <c r="X12" s="82">
        <v>10.624499999999999</v>
      </c>
      <c r="Y12" s="80">
        <v>8.5333333333333332</v>
      </c>
      <c r="Z12" s="81">
        <v>5.2363636363636363</v>
      </c>
      <c r="AA12" s="81">
        <v>4.6080000000000005</v>
      </c>
      <c r="AB12" s="81">
        <v>5.76</v>
      </c>
      <c r="AC12" s="81">
        <v>9.2160000000000011</v>
      </c>
      <c r="AD12" s="83">
        <v>8.5333333333333332</v>
      </c>
      <c r="AE12" s="84">
        <v>9.6</v>
      </c>
    </row>
    <row r="13" spans="1:31" ht="15">
      <c r="A13" s="29" t="s">
        <v>97</v>
      </c>
      <c r="B13" s="70">
        <v>1400</v>
      </c>
      <c r="C13" s="71">
        <v>50.906865435576634</v>
      </c>
      <c r="D13" s="71">
        <v>35.281181331835306</v>
      </c>
      <c r="E13" s="72" t="s">
        <v>181</v>
      </c>
      <c r="F13" s="73" t="s">
        <v>111</v>
      </c>
      <c r="G13" s="74">
        <v>1.2</v>
      </c>
      <c r="H13" s="75">
        <f t="shared" si="0"/>
        <v>1050</v>
      </c>
      <c r="I13" s="75">
        <v>35</v>
      </c>
      <c r="J13" s="76">
        <v>50</v>
      </c>
      <c r="K13" s="77">
        <v>8.9315999999999995</v>
      </c>
      <c r="L13" s="78">
        <v>2.8626923076923076</v>
      </c>
      <c r="M13" s="78">
        <v>2.1265714285714283</v>
      </c>
      <c r="N13" s="78">
        <v>2.4809999999999999</v>
      </c>
      <c r="O13" s="78">
        <v>4.9619999999999997</v>
      </c>
      <c r="P13" s="78">
        <v>8.9315999999999995</v>
      </c>
      <c r="Q13" s="79">
        <v>11.1645</v>
      </c>
      <c r="R13" s="80">
        <v>6.6974999999999998</v>
      </c>
      <c r="S13" s="81">
        <v>3.0911538461538459</v>
      </c>
      <c r="T13" s="81">
        <v>2.6789999999999998</v>
      </c>
      <c r="U13" s="81">
        <v>3.2148000000000003</v>
      </c>
      <c r="V13" s="81">
        <v>5.3579999999999997</v>
      </c>
      <c r="W13" s="81">
        <v>10.715999999999999</v>
      </c>
      <c r="X13" s="82">
        <v>12.0555</v>
      </c>
      <c r="Y13" s="80">
        <v>9.6</v>
      </c>
      <c r="Z13" s="81">
        <v>5.8909090909090907</v>
      </c>
      <c r="AA13" s="81">
        <v>5.1840000000000002</v>
      </c>
      <c r="AB13" s="81">
        <v>6.48</v>
      </c>
      <c r="AC13" s="81">
        <v>10.368</v>
      </c>
      <c r="AD13" s="83">
        <v>9.6</v>
      </c>
      <c r="AE13" s="84">
        <v>10.8</v>
      </c>
    </row>
    <row r="14" spans="1:31" ht="15">
      <c r="A14" s="29" t="s">
        <v>98</v>
      </c>
      <c r="B14" s="85">
        <v>2060</v>
      </c>
      <c r="C14" s="86">
        <v>5.2054324837391261</v>
      </c>
      <c r="D14" s="86">
        <v>3.5267576792144135</v>
      </c>
      <c r="E14" s="87" t="s">
        <v>182</v>
      </c>
      <c r="F14" s="88" t="s">
        <v>112</v>
      </c>
      <c r="G14" s="89">
        <v>0.5</v>
      </c>
      <c r="H14" s="90">
        <f t="shared" si="0"/>
        <v>546</v>
      </c>
      <c r="I14" s="90">
        <v>13</v>
      </c>
      <c r="J14" s="91">
        <v>70</v>
      </c>
      <c r="K14" s="92">
        <v>1.6632</v>
      </c>
      <c r="L14" s="93">
        <v>0.53307692307692311</v>
      </c>
      <c r="M14" s="93">
        <v>0.39600000000000002</v>
      </c>
      <c r="N14" s="93">
        <v>0.46199999999999997</v>
      </c>
      <c r="O14" s="93">
        <v>0.92399999999999993</v>
      </c>
      <c r="P14" s="93">
        <v>1.6632</v>
      </c>
      <c r="Q14" s="94">
        <v>2.0790000000000002</v>
      </c>
      <c r="R14" s="95">
        <v>1.4313750000000003</v>
      </c>
      <c r="S14" s="96">
        <v>0.66063461538461543</v>
      </c>
      <c r="T14" s="96">
        <v>0.57255000000000011</v>
      </c>
      <c r="U14" s="96">
        <v>0.68706000000000012</v>
      </c>
      <c r="V14" s="96">
        <v>1.1451000000000002</v>
      </c>
      <c r="W14" s="96">
        <v>2.2902000000000005</v>
      </c>
      <c r="X14" s="97">
        <v>2.5764750000000003</v>
      </c>
      <c r="Y14" s="95">
        <v>2.2733333333333334</v>
      </c>
      <c r="Z14" s="96">
        <v>1.395</v>
      </c>
      <c r="AA14" s="96">
        <v>1.2276</v>
      </c>
      <c r="AB14" s="96">
        <v>1.5345000000000002</v>
      </c>
      <c r="AC14" s="96">
        <v>2.4552</v>
      </c>
      <c r="AD14" s="98">
        <v>2.2733333333333334</v>
      </c>
      <c r="AE14" s="99">
        <v>2.5575000000000001</v>
      </c>
    </row>
    <row r="15" spans="1:31" ht="15">
      <c r="A15" s="29" t="s">
        <v>99</v>
      </c>
      <c r="B15" s="85">
        <v>2110</v>
      </c>
      <c r="C15" s="86">
        <v>6.6381156931122272</v>
      </c>
      <c r="D15" s="86">
        <v>4.7034866524175225</v>
      </c>
      <c r="E15" s="87" t="s">
        <v>183</v>
      </c>
      <c r="F15" s="88" t="s">
        <v>112</v>
      </c>
      <c r="G15" s="89">
        <v>0.5</v>
      </c>
      <c r="H15" s="90">
        <f t="shared" si="0"/>
        <v>546</v>
      </c>
      <c r="I15" s="90">
        <v>13</v>
      </c>
      <c r="J15" s="91">
        <v>70</v>
      </c>
      <c r="K15" s="92">
        <v>2.2987800000000003</v>
      </c>
      <c r="L15" s="93">
        <v>0.73678846153846167</v>
      </c>
      <c r="M15" s="93">
        <v>0.5473285714285715</v>
      </c>
      <c r="N15" s="93">
        <v>0.63855000000000017</v>
      </c>
      <c r="O15" s="93">
        <v>1.2771000000000003</v>
      </c>
      <c r="P15" s="93">
        <v>2.2987800000000003</v>
      </c>
      <c r="Q15" s="94">
        <v>2.8734750000000004</v>
      </c>
      <c r="R15" s="95">
        <v>1.868625</v>
      </c>
      <c r="S15" s="96">
        <v>0.86244230769230779</v>
      </c>
      <c r="T15" s="96">
        <v>0.74745000000000017</v>
      </c>
      <c r="U15" s="96">
        <v>0.89694000000000018</v>
      </c>
      <c r="V15" s="96">
        <v>1.4949000000000003</v>
      </c>
      <c r="W15" s="96">
        <v>2.9898000000000007</v>
      </c>
      <c r="X15" s="97">
        <v>3.3635250000000005</v>
      </c>
      <c r="Y15" s="95">
        <v>2.86</v>
      </c>
      <c r="Z15" s="96">
        <v>1.7549999999999999</v>
      </c>
      <c r="AA15" s="96">
        <v>1.5444000000000002</v>
      </c>
      <c r="AB15" s="96">
        <v>1.9305000000000001</v>
      </c>
      <c r="AC15" s="96">
        <v>3.0888000000000004</v>
      </c>
      <c r="AD15" s="98">
        <v>2.86</v>
      </c>
      <c r="AE15" s="99">
        <v>3.2174999999999998</v>
      </c>
    </row>
    <row r="16" spans="1:31" ht="15">
      <c r="A16" s="29" t="s">
        <v>100</v>
      </c>
      <c r="B16" s="85">
        <v>2160</v>
      </c>
      <c r="C16" s="86">
        <v>7.9861190325766973</v>
      </c>
      <c r="D16" s="86">
        <v>5.7019221212437667</v>
      </c>
      <c r="E16" s="87" t="s">
        <v>184</v>
      </c>
      <c r="F16" s="88" t="s">
        <v>112</v>
      </c>
      <c r="G16" s="89">
        <v>0.6</v>
      </c>
      <c r="H16" s="90">
        <f t="shared" si="0"/>
        <v>420</v>
      </c>
      <c r="I16" s="90">
        <v>10</v>
      </c>
      <c r="J16" s="91">
        <v>70</v>
      </c>
      <c r="K16" s="92">
        <v>2.5363800000000003</v>
      </c>
      <c r="L16" s="93">
        <v>0.81294230769230769</v>
      </c>
      <c r="M16" s="93">
        <v>0.6039000000000001</v>
      </c>
      <c r="N16" s="93">
        <v>0.70455000000000001</v>
      </c>
      <c r="O16" s="93">
        <v>1.4091</v>
      </c>
      <c r="P16" s="93">
        <v>2.5363800000000003</v>
      </c>
      <c r="Q16" s="94">
        <v>3.1704749999999997</v>
      </c>
      <c r="R16" s="95">
        <v>2.0336250000000002</v>
      </c>
      <c r="S16" s="96">
        <v>0.93859615384615391</v>
      </c>
      <c r="T16" s="96">
        <v>0.81345000000000001</v>
      </c>
      <c r="U16" s="96">
        <v>0.97614000000000001</v>
      </c>
      <c r="V16" s="96">
        <v>1.6269</v>
      </c>
      <c r="W16" s="96">
        <v>3.2538</v>
      </c>
      <c r="X16" s="97">
        <v>3.6605250000000007</v>
      </c>
      <c r="Y16" s="95">
        <v>3.08</v>
      </c>
      <c r="Z16" s="96">
        <v>1.89</v>
      </c>
      <c r="AA16" s="96">
        <v>1.6632000000000002</v>
      </c>
      <c r="AB16" s="96">
        <v>2.0790000000000002</v>
      </c>
      <c r="AC16" s="96">
        <v>3.3264000000000005</v>
      </c>
      <c r="AD16" s="98">
        <v>3.08</v>
      </c>
      <c r="AE16" s="99">
        <v>3.4649999999999999</v>
      </c>
    </row>
    <row r="17" spans="1:31" ht="15">
      <c r="A17" s="29" t="s">
        <v>101</v>
      </c>
      <c r="B17" s="85">
        <v>2200</v>
      </c>
      <c r="C17" s="86">
        <v>12.154753480710353</v>
      </c>
      <c r="D17" s="86">
        <v>8.7019664419244922</v>
      </c>
      <c r="E17" s="87" t="s">
        <v>185</v>
      </c>
      <c r="F17" s="88" t="s">
        <v>112</v>
      </c>
      <c r="G17" s="89">
        <v>0.6</v>
      </c>
      <c r="H17" s="90">
        <f t="shared" si="0"/>
        <v>420</v>
      </c>
      <c r="I17" s="90">
        <v>10</v>
      </c>
      <c r="J17" s="91">
        <v>70</v>
      </c>
      <c r="K17" s="92">
        <v>3.4036200000000005</v>
      </c>
      <c r="L17" s="93">
        <v>1.0909038461538463</v>
      </c>
      <c r="M17" s="93">
        <v>0.81038571428571449</v>
      </c>
      <c r="N17" s="93">
        <v>0.94545000000000023</v>
      </c>
      <c r="O17" s="93">
        <v>1.8909000000000005</v>
      </c>
      <c r="P17" s="93">
        <v>3.4036200000000005</v>
      </c>
      <c r="Q17" s="94">
        <v>4.254525000000001</v>
      </c>
      <c r="R17" s="95">
        <v>2.64</v>
      </c>
      <c r="S17" s="96">
        <v>1.2184615384615385</v>
      </c>
      <c r="T17" s="96">
        <v>1.056</v>
      </c>
      <c r="U17" s="96">
        <v>1.2672000000000001</v>
      </c>
      <c r="V17" s="96">
        <v>2.1120000000000001</v>
      </c>
      <c r="W17" s="96">
        <v>4.2240000000000002</v>
      </c>
      <c r="X17" s="97">
        <v>4.7520000000000007</v>
      </c>
      <c r="Y17" s="95">
        <v>3.8866666666666672</v>
      </c>
      <c r="Z17" s="96">
        <v>2.3849999999999998</v>
      </c>
      <c r="AA17" s="96">
        <v>2.0988000000000002</v>
      </c>
      <c r="AB17" s="96">
        <v>2.6234999999999999</v>
      </c>
      <c r="AC17" s="96">
        <v>4.1976000000000004</v>
      </c>
      <c r="AD17" s="98">
        <v>3.8866666666666672</v>
      </c>
      <c r="AE17" s="99">
        <v>4.3724999999999996</v>
      </c>
    </row>
    <row r="18" spans="1:31" ht="15">
      <c r="A18" s="29" t="s">
        <v>102</v>
      </c>
      <c r="B18" s="85">
        <v>2300</v>
      </c>
      <c r="C18" s="86">
        <v>20.38527990906217</v>
      </c>
      <c r="D18" s="86">
        <v>14.207470487759586</v>
      </c>
      <c r="E18" s="87" t="s">
        <v>186</v>
      </c>
      <c r="F18" s="88" t="s">
        <v>112</v>
      </c>
      <c r="G18" s="89">
        <v>0.8</v>
      </c>
      <c r="H18" s="90">
        <f t="shared" si="0"/>
        <v>294</v>
      </c>
      <c r="I18" s="90">
        <v>7</v>
      </c>
      <c r="J18" s="91">
        <v>70</v>
      </c>
      <c r="K18" s="92">
        <v>3.4036200000000005</v>
      </c>
      <c r="L18" s="93">
        <v>1.0909038461538463</v>
      </c>
      <c r="M18" s="93">
        <v>0.81038571428571449</v>
      </c>
      <c r="N18" s="93">
        <v>0.94545000000000023</v>
      </c>
      <c r="O18" s="93">
        <v>1.8909000000000005</v>
      </c>
      <c r="P18" s="93">
        <v>3.4036200000000005</v>
      </c>
      <c r="Q18" s="94">
        <v>4.254525000000001</v>
      </c>
      <c r="R18" s="95">
        <v>2.64</v>
      </c>
      <c r="S18" s="96">
        <v>1.2184615384615385</v>
      </c>
      <c r="T18" s="96">
        <v>1.056</v>
      </c>
      <c r="U18" s="96">
        <v>1.2672000000000001</v>
      </c>
      <c r="V18" s="96">
        <v>2.1120000000000001</v>
      </c>
      <c r="W18" s="96">
        <v>4.2240000000000002</v>
      </c>
      <c r="X18" s="97">
        <v>4.7520000000000007</v>
      </c>
      <c r="Y18" s="95">
        <v>3.8866666666666672</v>
      </c>
      <c r="Z18" s="96">
        <v>2.3849999999999998</v>
      </c>
      <c r="AA18" s="96">
        <v>2.0988000000000002</v>
      </c>
      <c r="AB18" s="96">
        <v>2.6234999999999999</v>
      </c>
      <c r="AC18" s="96">
        <v>4.1976000000000004</v>
      </c>
      <c r="AD18" s="98">
        <v>3.8866666666666672</v>
      </c>
      <c r="AE18" s="99">
        <v>4.3724999999999996</v>
      </c>
    </row>
    <row r="19" spans="1:31" hidden="1">
      <c r="B19" s="100">
        <v>6010</v>
      </c>
      <c r="C19" s="101">
        <v>5</v>
      </c>
      <c r="D19" s="101">
        <v>5</v>
      </c>
      <c r="E19" s="102" t="s">
        <v>187</v>
      </c>
      <c r="F19" s="103" t="s">
        <v>188</v>
      </c>
      <c r="G19" s="104"/>
      <c r="H19" s="105"/>
      <c r="I19" s="105"/>
      <c r="J19" s="105"/>
      <c r="K19" s="106"/>
      <c r="L19" s="107"/>
      <c r="M19" s="107"/>
      <c r="N19" s="107"/>
      <c r="O19" s="107"/>
      <c r="P19" s="107"/>
      <c r="Q19" s="107"/>
      <c r="R19" s="107"/>
      <c r="S19" s="107"/>
      <c r="T19" s="107"/>
      <c r="U19" s="107"/>
      <c r="V19" s="107"/>
      <c r="W19" s="107"/>
      <c r="X19" s="107"/>
      <c r="Y19" s="107"/>
      <c r="Z19" s="107"/>
      <c r="AA19" s="107"/>
      <c r="AB19" s="107"/>
      <c r="AC19" s="107"/>
      <c r="AD19" s="108"/>
      <c r="AE19" s="109"/>
    </row>
    <row r="20" spans="1:31" hidden="1">
      <c r="B20" s="110">
        <v>6012</v>
      </c>
      <c r="C20" s="111" t="s">
        <v>189</v>
      </c>
      <c r="D20" s="112" t="s">
        <v>189</v>
      </c>
      <c r="E20" s="113" t="s">
        <v>190</v>
      </c>
      <c r="F20" s="114" t="s">
        <v>188</v>
      </c>
      <c r="G20" s="115"/>
      <c r="H20" s="116"/>
      <c r="I20" s="116"/>
      <c r="J20" s="116"/>
      <c r="K20" s="117"/>
      <c r="L20" s="118"/>
      <c r="M20" s="118"/>
      <c r="N20" s="118"/>
      <c r="O20" s="118"/>
      <c r="P20" s="118"/>
      <c r="Q20" s="118"/>
      <c r="R20" s="118"/>
      <c r="S20" s="118"/>
      <c r="T20" s="118"/>
      <c r="U20" s="118"/>
      <c r="V20" s="118"/>
      <c r="W20" s="118"/>
      <c r="X20" s="118"/>
      <c r="Y20" s="118"/>
      <c r="Z20" s="118"/>
      <c r="AA20" s="118"/>
      <c r="AB20" s="118"/>
      <c r="AC20" s="118"/>
      <c r="AD20" s="119"/>
      <c r="AE20" s="120"/>
    </row>
    <row r="21" spans="1:31" hidden="1">
      <c r="B21" s="110">
        <v>6013</v>
      </c>
      <c r="C21" s="111" t="s">
        <v>189</v>
      </c>
      <c r="D21" s="112" t="s">
        <v>189</v>
      </c>
      <c r="E21" s="113" t="s">
        <v>191</v>
      </c>
      <c r="F21" s="114" t="s">
        <v>188</v>
      </c>
      <c r="G21" s="115"/>
      <c r="H21" s="116"/>
      <c r="I21" s="116"/>
      <c r="J21" s="116"/>
      <c r="K21" s="117"/>
      <c r="L21" s="118"/>
      <c r="M21" s="118"/>
      <c r="N21" s="118"/>
      <c r="O21" s="118"/>
      <c r="P21" s="118"/>
      <c r="Q21" s="118"/>
      <c r="R21" s="118"/>
      <c r="S21" s="118"/>
      <c r="T21" s="118"/>
      <c r="U21" s="118"/>
      <c r="V21" s="118"/>
      <c r="W21" s="118"/>
      <c r="X21" s="118"/>
      <c r="Y21" s="118"/>
      <c r="Z21" s="118"/>
      <c r="AA21" s="118"/>
      <c r="AB21" s="118"/>
      <c r="AC21" s="118"/>
      <c r="AD21" s="119"/>
      <c r="AE21" s="120"/>
    </row>
    <row r="22" spans="1:31" hidden="1">
      <c r="B22" s="110">
        <v>6014</v>
      </c>
      <c r="C22" s="111" t="s">
        <v>189</v>
      </c>
      <c r="D22" s="112" t="s">
        <v>189</v>
      </c>
      <c r="E22" s="113" t="s">
        <v>192</v>
      </c>
      <c r="F22" s="114" t="s">
        <v>188</v>
      </c>
      <c r="G22" s="115"/>
      <c r="H22" s="116"/>
      <c r="I22" s="116"/>
      <c r="J22" s="116"/>
      <c r="K22" s="117"/>
      <c r="L22" s="118"/>
      <c r="M22" s="118"/>
      <c r="N22" s="118"/>
      <c r="O22" s="118"/>
      <c r="P22" s="118"/>
      <c r="Q22" s="118"/>
      <c r="R22" s="118"/>
      <c r="S22" s="118"/>
      <c r="T22" s="118"/>
      <c r="U22" s="118"/>
      <c r="V22" s="118"/>
      <c r="W22" s="118"/>
      <c r="X22" s="118"/>
      <c r="Y22" s="118"/>
      <c r="Z22" s="118"/>
      <c r="AA22" s="118"/>
      <c r="AB22" s="118"/>
      <c r="AC22" s="118"/>
      <c r="AD22" s="119"/>
      <c r="AE22" s="120"/>
    </row>
    <row r="23" spans="1:31" hidden="1">
      <c r="B23" s="110">
        <v>6015</v>
      </c>
      <c r="C23" s="111" t="s">
        <v>189</v>
      </c>
      <c r="D23" s="112" t="s">
        <v>189</v>
      </c>
      <c r="E23" s="113" t="s">
        <v>193</v>
      </c>
      <c r="F23" s="114" t="s">
        <v>188</v>
      </c>
      <c r="G23" s="115"/>
      <c r="H23" s="116"/>
      <c r="I23" s="116"/>
      <c r="J23" s="116"/>
      <c r="K23" s="117"/>
      <c r="L23" s="118"/>
      <c r="M23" s="118"/>
      <c r="N23" s="118"/>
      <c r="O23" s="118"/>
      <c r="P23" s="118"/>
      <c r="Q23" s="118"/>
      <c r="R23" s="118"/>
      <c r="S23" s="118"/>
      <c r="T23" s="118"/>
      <c r="U23" s="118"/>
      <c r="V23" s="118"/>
      <c r="W23" s="118"/>
      <c r="X23" s="118"/>
      <c r="Y23" s="118"/>
      <c r="Z23" s="118"/>
      <c r="AA23" s="118"/>
      <c r="AB23" s="118"/>
      <c r="AC23" s="118"/>
      <c r="AD23" s="119"/>
      <c r="AE23" s="120"/>
    </row>
    <row r="24" spans="1:31" hidden="1">
      <c r="B24" s="110">
        <v>6016</v>
      </c>
      <c r="C24" s="111" t="s">
        <v>189</v>
      </c>
      <c r="D24" s="112" t="s">
        <v>189</v>
      </c>
      <c r="E24" s="113" t="s">
        <v>194</v>
      </c>
      <c r="F24" s="114" t="s">
        <v>188</v>
      </c>
      <c r="G24" s="115"/>
      <c r="H24" s="116"/>
      <c r="I24" s="116"/>
      <c r="J24" s="116"/>
      <c r="K24" s="117"/>
      <c r="L24" s="118"/>
      <c r="M24" s="118"/>
      <c r="N24" s="118"/>
      <c r="O24" s="118"/>
      <c r="P24" s="118"/>
      <c r="Q24" s="118"/>
      <c r="R24" s="118"/>
      <c r="S24" s="118"/>
      <c r="T24" s="118"/>
      <c r="U24" s="118"/>
      <c r="V24" s="118"/>
      <c r="W24" s="118"/>
      <c r="X24" s="118"/>
      <c r="Y24" s="118"/>
      <c r="Z24" s="118"/>
      <c r="AA24" s="118"/>
      <c r="AB24" s="118"/>
      <c r="AC24" s="118"/>
      <c r="AD24" s="119"/>
      <c r="AE24" s="120"/>
    </row>
    <row r="25" spans="1:31" hidden="1">
      <c r="B25" s="110">
        <v>6017</v>
      </c>
      <c r="C25" s="111" t="s">
        <v>189</v>
      </c>
      <c r="D25" s="112" t="s">
        <v>189</v>
      </c>
      <c r="E25" s="113" t="s">
        <v>195</v>
      </c>
      <c r="F25" s="114" t="s">
        <v>188</v>
      </c>
      <c r="G25" s="115"/>
      <c r="H25" s="116"/>
      <c r="I25" s="116"/>
      <c r="J25" s="116"/>
      <c r="K25" s="117"/>
      <c r="L25" s="118"/>
      <c r="M25" s="118"/>
      <c r="N25" s="118"/>
      <c r="O25" s="118"/>
      <c r="P25" s="118"/>
      <c r="Q25" s="118"/>
      <c r="R25" s="118"/>
      <c r="S25" s="118"/>
      <c r="T25" s="118"/>
      <c r="U25" s="118"/>
      <c r="V25" s="118"/>
      <c r="W25" s="118"/>
      <c r="X25" s="118"/>
      <c r="Y25" s="118"/>
      <c r="Z25" s="118"/>
      <c r="AA25" s="118"/>
      <c r="AB25" s="118"/>
      <c r="AC25" s="118"/>
      <c r="AD25" s="119"/>
      <c r="AE25" s="120"/>
    </row>
    <row r="26" spans="1:31" hidden="1">
      <c r="B26" s="110">
        <v>6018</v>
      </c>
      <c r="C26" s="111" t="s">
        <v>189</v>
      </c>
      <c r="D26" s="112" t="s">
        <v>189</v>
      </c>
      <c r="E26" s="113" t="s">
        <v>196</v>
      </c>
      <c r="F26" s="114" t="s">
        <v>188</v>
      </c>
      <c r="G26" s="115"/>
      <c r="H26" s="116"/>
      <c r="I26" s="116"/>
      <c r="J26" s="116"/>
      <c r="K26" s="117"/>
      <c r="L26" s="118"/>
      <c r="M26" s="118"/>
      <c r="N26" s="118"/>
      <c r="O26" s="118"/>
      <c r="P26" s="118"/>
      <c r="Q26" s="118"/>
      <c r="R26" s="118"/>
      <c r="S26" s="118"/>
      <c r="T26" s="118"/>
      <c r="U26" s="118"/>
      <c r="V26" s="118"/>
      <c r="W26" s="118"/>
      <c r="X26" s="118"/>
      <c r="Y26" s="118"/>
      <c r="Z26" s="118"/>
      <c r="AA26" s="118"/>
      <c r="AB26" s="118"/>
      <c r="AC26" s="118"/>
      <c r="AD26" s="119"/>
      <c r="AE26" s="120"/>
    </row>
    <row r="27" spans="1:31" hidden="1">
      <c r="B27" s="110">
        <v>6019</v>
      </c>
      <c r="C27" s="111" t="s">
        <v>189</v>
      </c>
      <c r="D27" s="112" t="s">
        <v>189</v>
      </c>
      <c r="E27" s="113" t="s">
        <v>197</v>
      </c>
      <c r="F27" s="114" t="s">
        <v>188</v>
      </c>
      <c r="G27" s="115"/>
      <c r="H27" s="116"/>
      <c r="I27" s="116"/>
      <c r="J27" s="116"/>
      <c r="K27" s="117"/>
      <c r="L27" s="118"/>
      <c r="M27" s="118"/>
      <c r="N27" s="118"/>
      <c r="O27" s="118"/>
      <c r="P27" s="118"/>
      <c r="Q27" s="118"/>
      <c r="R27" s="118"/>
      <c r="S27" s="118"/>
      <c r="T27" s="118"/>
      <c r="U27" s="118"/>
      <c r="V27" s="118"/>
      <c r="W27" s="118"/>
      <c r="X27" s="118"/>
      <c r="Y27" s="118"/>
      <c r="Z27" s="118"/>
      <c r="AA27" s="118"/>
      <c r="AB27" s="118"/>
      <c r="AC27" s="118"/>
      <c r="AD27" s="119"/>
      <c r="AE27" s="120"/>
    </row>
    <row r="28" spans="1:31" hidden="1">
      <c r="B28" s="110">
        <v>6020</v>
      </c>
      <c r="C28" s="111" t="s">
        <v>189</v>
      </c>
      <c r="D28" s="112" t="s">
        <v>189</v>
      </c>
      <c r="E28" s="113" t="s">
        <v>198</v>
      </c>
      <c r="F28" s="114" t="s">
        <v>188</v>
      </c>
      <c r="G28" s="115"/>
      <c r="H28" s="116"/>
      <c r="I28" s="116"/>
      <c r="J28" s="116"/>
      <c r="K28" s="117"/>
      <c r="L28" s="118"/>
      <c r="M28" s="118"/>
      <c r="N28" s="118"/>
      <c r="O28" s="118"/>
      <c r="P28" s="118"/>
      <c r="Q28" s="118"/>
      <c r="R28" s="118"/>
      <c r="S28" s="118"/>
      <c r="T28" s="118"/>
      <c r="U28" s="118"/>
      <c r="V28" s="118"/>
      <c r="W28" s="118"/>
      <c r="X28" s="118"/>
      <c r="Y28" s="118"/>
      <c r="Z28" s="118"/>
      <c r="AA28" s="118"/>
      <c r="AB28" s="118"/>
      <c r="AC28" s="118"/>
      <c r="AD28" s="119"/>
      <c r="AE28" s="120"/>
    </row>
    <row r="29" spans="1:31" hidden="1">
      <c r="B29" s="110">
        <v>6100</v>
      </c>
      <c r="C29" s="111">
        <v>9.6</v>
      </c>
      <c r="D29" s="112">
        <v>9.6</v>
      </c>
      <c r="E29" s="113" t="s">
        <v>199</v>
      </c>
      <c r="F29" s="114" t="s">
        <v>188</v>
      </c>
      <c r="G29" s="115"/>
      <c r="H29" s="116"/>
      <c r="I29" s="116"/>
      <c r="J29" s="116"/>
      <c r="K29" s="117"/>
      <c r="L29" s="118"/>
      <c r="M29" s="118"/>
      <c r="N29" s="118"/>
      <c r="O29" s="118"/>
      <c r="P29" s="118"/>
      <c r="Q29" s="118"/>
      <c r="R29" s="118"/>
      <c r="S29" s="118"/>
      <c r="T29" s="118"/>
      <c r="U29" s="118"/>
      <c r="V29" s="118"/>
      <c r="W29" s="118"/>
      <c r="X29" s="118"/>
      <c r="Y29" s="118"/>
      <c r="Z29" s="118"/>
      <c r="AA29" s="118"/>
      <c r="AB29" s="118"/>
      <c r="AC29" s="118"/>
      <c r="AD29" s="119"/>
      <c r="AE29" s="120"/>
    </row>
    <row r="30" spans="1:31" hidden="1">
      <c r="B30" s="121">
        <v>6200</v>
      </c>
      <c r="C30" s="122" t="s">
        <v>189</v>
      </c>
      <c r="D30" s="123" t="s">
        <v>189</v>
      </c>
      <c r="E30" s="124" t="s">
        <v>200</v>
      </c>
      <c r="F30" s="125" t="s">
        <v>201</v>
      </c>
      <c r="G30" s="126"/>
      <c r="H30" s="127"/>
      <c r="I30" s="127"/>
      <c r="J30" s="127"/>
      <c r="K30" s="128"/>
      <c r="L30" s="129"/>
      <c r="M30" s="129"/>
      <c r="N30" s="129"/>
      <c r="O30" s="129"/>
      <c r="P30" s="129"/>
      <c r="Q30" s="129"/>
      <c r="R30" s="129"/>
      <c r="S30" s="129"/>
      <c r="T30" s="129"/>
      <c r="U30" s="129"/>
      <c r="V30" s="129"/>
      <c r="W30" s="129"/>
      <c r="X30" s="129"/>
      <c r="Y30" s="129"/>
      <c r="Z30" s="129"/>
      <c r="AA30" s="129"/>
      <c r="AB30" s="129"/>
      <c r="AC30" s="129"/>
      <c r="AD30" s="130"/>
      <c r="AE30" s="131"/>
    </row>
    <row r="31" spans="1:31" hidden="1">
      <c r="B31" s="132">
        <v>6300</v>
      </c>
      <c r="C31" s="133">
        <v>3.7</v>
      </c>
      <c r="D31" s="134">
        <v>3.7</v>
      </c>
      <c r="E31" s="135" t="s">
        <v>202</v>
      </c>
      <c r="F31" s="136" t="s">
        <v>203</v>
      </c>
      <c r="G31" s="137"/>
      <c r="H31" s="138"/>
      <c r="I31" s="139"/>
      <c r="J31" s="139"/>
      <c r="K31" s="140"/>
      <c r="L31" s="141"/>
      <c r="M31" s="141"/>
      <c r="N31" s="141"/>
      <c r="O31" s="141"/>
      <c r="P31" s="141"/>
      <c r="Q31" s="141"/>
      <c r="R31" s="141"/>
      <c r="S31" s="141"/>
      <c r="T31" s="141"/>
      <c r="U31" s="141"/>
      <c r="V31" s="141"/>
      <c r="W31" s="141"/>
      <c r="X31" s="141"/>
      <c r="Y31" s="141"/>
      <c r="Z31" s="141"/>
      <c r="AA31" s="141"/>
      <c r="AB31" s="141"/>
      <c r="AC31" s="141"/>
      <c r="AD31" s="142"/>
      <c r="AE31" s="143"/>
    </row>
    <row r="32" spans="1:31" hidden="1">
      <c r="B32" s="132">
        <v>6500</v>
      </c>
      <c r="C32" s="133">
        <v>6.4</v>
      </c>
      <c r="D32" s="134">
        <v>6.4</v>
      </c>
      <c r="E32" s="135" t="s">
        <v>204</v>
      </c>
      <c r="F32" s="136" t="s">
        <v>205</v>
      </c>
      <c r="G32" s="137"/>
      <c r="H32" s="138"/>
      <c r="I32" s="139"/>
      <c r="J32" s="139"/>
      <c r="K32" s="140"/>
      <c r="L32" s="141"/>
      <c r="M32" s="141"/>
      <c r="N32" s="141"/>
      <c r="O32" s="141"/>
      <c r="P32" s="141"/>
      <c r="Q32" s="141"/>
      <c r="R32" s="141"/>
      <c r="S32" s="141"/>
      <c r="T32" s="141"/>
      <c r="U32" s="141"/>
      <c r="V32" s="141"/>
      <c r="W32" s="141"/>
      <c r="X32" s="141"/>
      <c r="Y32" s="141"/>
      <c r="Z32" s="141"/>
      <c r="AA32" s="141"/>
      <c r="AB32" s="141"/>
      <c r="AC32" s="141"/>
      <c r="AD32" s="142"/>
      <c r="AE32" s="143"/>
    </row>
    <row r="33" spans="2:49" hidden="1">
      <c r="B33" s="132">
        <v>6600</v>
      </c>
      <c r="C33" s="133">
        <v>16</v>
      </c>
      <c r="D33" s="134">
        <v>16</v>
      </c>
      <c r="E33" s="135" t="s">
        <v>206</v>
      </c>
      <c r="F33" s="136" t="s">
        <v>207</v>
      </c>
      <c r="G33" s="137"/>
      <c r="H33" s="138"/>
      <c r="I33" s="139"/>
      <c r="J33" s="139"/>
      <c r="K33" s="140"/>
      <c r="L33" s="141"/>
      <c r="M33" s="141"/>
      <c r="N33" s="141"/>
      <c r="O33" s="141"/>
      <c r="P33" s="141"/>
      <c r="Q33" s="141"/>
      <c r="R33" s="141"/>
      <c r="S33" s="141"/>
      <c r="T33" s="141"/>
      <c r="U33" s="141"/>
      <c r="V33" s="141"/>
      <c r="W33" s="141"/>
      <c r="X33" s="141"/>
      <c r="Y33" s="141"/>
      <c r="Z33" s="141"/>
      <c r="AA33" s="141"/>
      <c r="AB33" s="141"/>
      <c r="AC33" s="141"/>
      <c r="AD33" s="142"/>
      <c r="AE33" s="143"/>
    </row>
    <row r="34" spans="2:49" hidden="1">
      <c r="B34" s="100">
        <v>7025</v>
      </c>
      <c r="C34" s="144">
        <v>6.9</v>
      </c>
      <c r="D34" s="101">
        <v>6.9</v>
      </c>
      <c r="E34" s="102" t="s">
        <v>208</v>
      </c>
      <c r="F34" s="103" t="s">
        <v>209</v>
      </c>
      <c r="G34" s="104">
        <v>0.5</v>
      </c>
      <c r="H34" s="105">
        <v>200</v>
      </c>
      <c r="I34" s="145"/>
      <c r="J34" s="145"/>
      <c r="K34" s="106"/>
      <c r="L34" s="107"/>
      <c r="M34" s="107"/>
      <c r="N34" s="107"/>
      <c r="O34" s="107"/>
      <c r="P34" s="107"/>
      <c r="Q34" s="107"/>
      <c r="R34" s="107"/>
      <c r="S34" s="107"/>
      <c r="T34" s="107"/>
      <c r="U34" s="107"/>
      <c r="V34" s="107"/>
      <c r="W34" s="107"/>
      <c r="X34" s="107"/>
      <c r="Y34" s="107"/>
      <c r="Z34" s="107"/>
      <c r="AA34" s="107"/>
      <c r="AB34" s="107"/>
      <c r="AC34" s="107"/>
      <c r="AD34" s="108"/>
      <c r="AE34" s="109"/>
    </row>
    <row r="35" spans="2:49" hidden="1">
      <c r="B35" s="146">
        <v>7035</v>
      </c>
      <c r="C35" s="147">
        <v>8.6999999999999993</v>
      </c>
      <c r="D35" s="148">
        <v>8.6999999999999993</v>
      </c>
      <c r="E35" s="149" t="s">
        <v>210</v>
      </c>
      <c r="F35" s="150" t="s">
        <v>209</v>
      </c>
      <c r="G35" s="151">
        <v>0.5</v>
      </c>
      <c r="H35" s="152">
        <v>200</v>
      </c>
      <c r="I35" s="152"/>
      <c r="J35" s="152"/>
      <c r="K35" s="153"/>
      <c r="L35" s="154"/>
      <c r="M35" s="154"/>
      <c r="N35" s="154"/>
      <c r="O35" s="154"/>
      <c r="P35" s="154"/>
      <c r="Q35" s="154"/>
      <c r="R35" s="154"/>
      <c r="S35" s="154"/>
      <c r="T35" s="154"/>
      <c r="U35" s="154"/>
      <c r="V35" s="154"/>
      <c r="W35" s="154"/>
      <c r="X35" s="154"/>
      <c r="Y35" s="154"/>
      <c r="Z35" s="154"/>
      <c r="AA35" s="154"/>
      <c r="AB35" s="154"/>
      <c r="AC35" s="154"/>
      <c r="AD35" s="155"/>
      <c r="AE35" s="156"/>
    </row>
    <row r="36" spans="2:49" hidden="1">
      <c r="B36" s="110">
        <v>7065</v>
      </c>
      <c r="C36" s="111">
        <v>16</v>
      </c>
      <c r="D36" s="112">
        <v>16</v>
      </c>
      <c r="E36" s="113" t="s">
        <v>211</v>
      </c>
      <c r="F36" s="114" t="s">
        <v>209</v>
      </c>
      <c r="G36" s="115">
        <v>0.5</v>
      </c>
      <c r="H36" s="116">
        <v>200</v>
      </c>
      <c r="I36" s="116"/>
      <c r="J36" s="116"/>
      <c r="K36" s="117"/>
      <c r="L36" s="118"/>
      <c r="M36" s="118"/>
      <c r="N36" s="118"/>
      <c r="O36" s="118"/>
      <c r="P36" s="118"/>
      <c r="Q36" s="118"/>
      <c r="R36" s="118"/>
      <c r="S36" s="118"/>
      <c r="T36" s="118"/>
      <c r="U36" s="118"/>
      <c r="V36" s="118"/>
      <c r="W36" s="118"/>
      <c r="X36" s="118"/>
      <c r="Y36" s="118"/>
      <c r="Z36" s="118"/>
      <c r="AA36" s="118"/>
      <c r="AB36" s="118"/>
      <c r="AC36" s="118"/>
      <c r="AD36" s="119"/>
      <c r="AE36" s="120"/>
    </row>
    <row r="37" spans="2:49" hidden="1">
      <c r="B37" s="110">
        <v>7360</v>
      </c>
      <c r="C37" s="111" t="s">
        <v>189</v>
      </c>
      <c r="D37" s="112" t="s">
        <v>189</v>
      </c>
      <c r="E37" s="113" t="s">
        <v>212</v>
      </c>
      <c r="F37" s="114" t="s">
        <v>209</v>
      </c>
      <c r="G37" s="115">
        <v>1</v>
      </c>
      <c r="H37" s="116">
        <v>200</v>
      </c>
      <c r="I37" s="116"/>
      <c r="J37" s="116"/>
      <c r="K37" s="117"/>
      <c r="L37" s="118"/>
      <c r="M37" s="118"/>
      <c r="N37" s="118"/>
      <c r="O37" s="118"/>
      <c r="P37" s="118"/>
      <c r="Q37" s="118"/>
      <c r="R37" s="118"/>
      <c r="S37" s="118"/>
      <c r="T37" s="118"/>
      <c r="U37" s="118"/>
      <c r="V37" s="118"/>
      <c r="W37" s="118"/>
      <c r="X37" s="118"/>
      <c r="Y37" s="118"/>
      <c r="Z37" s="118"/>
      <c r="AA37" s="118"/>
      <c r="AB37" s="118"/>
      <c r="AC37" s="118"/>
      <c r="AD37" s="119"/>
      <c r="AE37" s="120"/>
    </row>
    <row r="38" spans="2:49" hidden="1">
      <c r="B38" s="121">
        <v>7480</v>
      </c>
      <c r="C38" s="122" t="s">
        <v>189</v>
      </c>
      <c r="D38" s="123" t="s">
        <v>189</v>
      </c>
      <c r="E38" s="124" t="s">
        <v>213</v>
      </c>
      <c r="F38" s="125" t="s">
        <v>209</v>
      </c>
      <c r="G38" s="126">
        <v>1</v>
      </c>
      <c r="H38" s="127">
        <v>200</v>
      </c>
      <c r="I38" s="127"/>
      <c r="J38" s="127"/>
      <c r="K38" s="128"/>
      <c r="L38" s="129"/>
      <c r="M38" s="129"/>
      <c r="N38" s="129"/>
      <c r="O38" s="129"/>
      <c r="P38" s="129"/>
      <c r="Q38" s="129"/>
      <c r="R38" s="129"/>
      <c r="S38" s="129"/>
      <c r="T38" s="129"/>
      <c r="U38" s="129"/>
      <c r="V38" s="129"/>
      <c r="W38" s="129"/>
      <c r="X38" s="129"/>
      <c r="Y38" s="129"/>
      <c r="Z38" s="129"/>
      <c r="AA38" s="129"/>
      <c r="AB38" s="129"/>
      <c r="AC38" s="129"/>
      <c r="AD38" s="130"/>
      <c r="AE38" s="131"/>
    </row>
    <row r="39" spans="2:49">
      <c r="B39" s="157"/>
      <c r="C39" s="157"/>
      <c r="D39" s="157"/>
      <c r="F39" s="157"/>
      <c r="G39" s="157"/>
      <c r="H39" s="157"/>
      <c r="I39" s="157"/>
      <c r="J39" s="157"/>
      <c r="K39" s="157"/>
      <c r="L39" s="157"/>
      <c r="M39" s="157"/>
      <c r="N39" s="157"/>
      <c r="O39" s="157"/>
      <c r="P39" s="157"/>
      <c r="Q39" s="157"/>
      <c r="R39" s="157"/>
      <c r="S39" s="157"/>
      <c r="T39" s="157"/>
      <c r="U39" s="157"/>
      <c r="V39" s="157"/>
      <c r="W39" s="157"/>
      <c r="X39" s="157"/>
      <c r="Y39" s="157"/>
      <c r="Z39" s="157"/>
      <c r="AA39" s="157"/>
      <c r="AB39" s="157"/>
      <c r="AD39" s="157"/>
      <c r="AF39" s="158"/>
      <c r="AG39" s="158"/>
      <c r="AH39" s="158"/>
      <c r="AI39" s="158"/>
      <c r="AJ39" s="158"/>
      <c r="AK39" s="158"/>
      <c r="AL39" s="158"/>
      <c r="AM39" s="158"/>
      <c r="AN39" s="158"/>
      <c r="AO39" s="158"/>
      <c r="AP39" s="158"/>
      <c r="AQ39" s="158"/>
      <c r="AR39" s="158"/>
      <c r="AS39" s="158"/>
      <c r="AT39" s="158"/>
      <c r="AU39" s="158"/>
      <c r="AV39" s="158"/>
      <c r="AW39" s="158"/>
    </row>
    <row r="40" spans="2:49">
      <c r="B40" s="157"/>
      <c r="C40" s="157"/>
      <c r="D40" s="157"/>
      <c r="F40" s="157"/>
      <c r="G40" s="157"/>
      <c r="H40" s="157"/>
      <c r="I40" s="157"/>
      <c r="J40" s="157"/>
      <c r="K40" s="157"/>
      <c r="L40" s="157"/>
      <c r="M40" s="157"/>
      <c r="N40" s="157"/>
      <c r="O40" s="157"/>
      <c r="P40" s="157"/>
      <c r="Q40" s="157"/>
      <c r="R40" s="157"/>
      <c r="S40" s="157"/>
      <c r="T40" s="157"/>
      <c r="U40" s="157"/>
      <c r="V40" s="157"/>
      <c r="W40" s="157"/>
      <c r="X40" s="157"/>
      <c r="Y40" s="157"/>
      <c r="Z40" s="157"/>
      <c r="AA40" s="157"/>
      <c r="AB40" s="157"/>
      <c r="AD40" s="157"/>
      <c r="AF40" s="158"/>
      <c r="AG40" s="158"/>
      <c r="AH40" s="158"/>
      <c r="AI40" s="158"/>
      <c r="AJ40" s="158"/>
      <c r="AK40" s="158"/>
      <c r="AL40" s="158"/>
      <c r="AM40" s="158"/>
      <c r="AN40" s="158"/>
      <c r="AO40" s="158"/>
      <c r="AP40" s="158"/>
      <c r="AQ40" s="158"/>
      <c r="AR40" s="158"/>
      <c r="AS40" s="158"/>
      <c r="AT40" s="158"/>
      <c r="AU40" s="158"/>
      <c r="AV40" s="158"/>
      <c r="AW40" s="158"/>
    </row>
    <row r="41" spans="2:49" ht="15.75">
      <c r="B41" s="159" t="s">
        <v>214</v>
      </c>
      <c r="C41" s="160"/>
      <c r="D41" s="160"/>
      <c r="F41" s="157"/>
      <c r="G41" s="157"/>
      <c r="H41" s="157"/>
      <c r="I41" s="157"/>
      <c r="J41" s="157"/>
      <c r="K41" s="157"/>
      <c r="L41" s="157"/>
      <c r="M41" s="157"/>
      <c r="N41" s="157"/>
      <c r="O41" s="157"/>
      <c r="P41" s="157"/>
      <c r="Q41" s="157"/>
      <c r="R41" s="157"/>
      <c r="S41" s="157"/>
      <c r="T41" s="157"/>
      <c r="U41" s="157"/>
      <c r="V41" s="157"/>
      <c r="W41" s="157"/>
      <c r="X41" s="157"/>
      <c r="Y41" s="157"/>
      <c r="Z41" s="157"/>
      <c r="AA41" s="157"/>
      <c r="AB41" s="157"/>
      <c r="AD41" s="157"/>
      <c r="AF41" s="158"/>
      <c r="AG41" s="158"/>
      <c r="AH41" s="158"/>
      <c r="AI41" s="158"/>
      <c r="AJ41" s="158"/>
      <c r="AK41" s="158"/>
      <c r="AL41" s="158"/>
      <c r="AM41" s="158"/>
      <c r="AN41" s="158"/>
      <c r="AO41" s="158"/>
      <c r="AP41" s="158"/>
      <c r="AQ41" s="158"/>
      <c r="AR41" s="158"/>
      <c r="AS41" s="158"/>
      <c r="AT41" s="158"/>
      <c r="AU41" s="158"/>
      <c r="AV41" s="158"/>
      <c r="AW41" s="158"/>
    </row>
    <row r="42" spans="2:49" ht="15.75">
      <c r="B42" s="38" t="s">
        <v>215</v>
      </c>
      <c r="C42" s="160"/>
      <c r="D42" s="160"/>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F42" s="158"/>
      <c r="AG42" s="158"/>
      <c r="AH42" s="158"/>
      <c r="AI42" s="158"/>
      <c r="AJ42" s="158"/>
      <c r="AK42" s="158"/>
      <c r="AL42" s="158"/>
      <c r="AM42" s="158"/>
      <c r="AN42" s="158"/>
      <c r="AO42" s="158"/>
      <c r="AP42" s="158"/>
      <c r="AQ42" s="158"/>
      <c r="AR42" s="158"/>
      <c r="AS42" s="158"/>
      <c r="AT42" s="158"/>
      <c r="AU42" s="158"/>
      <c r="AV42" s="158"/>
      <c r="AW42" s="158"/>
    </row>
    <row r="43" spans="2:49" ht="15.75">
      <c r="B43" s="38" t="s">
        <v>216</v>
      </c>
      <c r="C43" s="160"/>
      <c r="D43" s="160"/>
      <c r="F43" s="157"/>
      <c r="G43" s="157"/>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7"/>
      <c r="AF43" s="158"/>
      <c r="AG43" s="158"/>
      <c r="AH43" s="158"/>
      <c r="AI43" s="158"/>
      <c r="AJ43" s="158"/>
      <c r="AK43" s="158"/>
      <c r="AL43" s="158"/>
      <c r="AM43" s="158"/>
      <c r="AN43" s="158"/>
      <c r="AO43" s="158"/>
      <c r="AP43" s="158"/>
      <c r="AQ43" s="158"/>
      <c r="AR43" s="158"/>
      <c r="AS43" s="158"/>
      <c r="AT43" s="158"/>
      <c r="AU43" s="158"/>
      <c r="AV43" s="158"/>
      <c r="AW43" s="158"/>
    </row>
    <row r="44" spans="2:49" ht="15.75">
      <c r="B44" s="38" t="s">
        <v>217</v>
      </c>
      <c r="C44" s="160"/>
      <c r="D44" s="160"/>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8"/>
      <c r="AG44" s="158"/>
      <c r="AH44" s="158"/>
      <c r="AI44" s="158"/>
      <c r="AJ44" s="158"/>
      <c r="AK44" s="158"/>
      <c r="AL44" s="158"/>
      <c r="AM44" s="158"/>
      <c r="AN44" s="158"/>
      <c r="AO44" s="158"/>
      <c r="AP44" s="158"/>
      <c r="AQ44" s="158"/>
      <c r="AR44" s="158"/>
      <c r="AS44" s="158"/>
      <c r="AT44" s="158"/>
      <c r="AU44" s="158"/>
      <c r="AV44" s="158"/>
      <c r="AW44" s="158"/>
    </row>
    <row r="45" spans="2:49" ht="15.75">
      <c r="C45" s="160"/>
      <c r="D45" s="160"/>
    </row>
    <row r="46" spans="2:49" ht="15.75">
      <c r="B46" s="38" t="s">
        <v>218</v>
      </c>
      <c r="C46" s="160"/>
      <c r="D46" s="160"/>
    </row>
    <row r="49" spans="2:8">
      <c r="B49" s="161"/>
      <c r="C49" s="161"/>
      <c r="G49" s="161"/>
      <c r="H49" s="161"/>
    </row>
    <row r="68" spans="2:10">
      <c r="B68" s="162" t="s">
        <v>219</v>
      </c>
      <c r="C68" s="163">
        <v>2710</v>
      </c>
      <c r="D68" s="164" t="s">
        <v>220</v>
      </c>
      <c r="G68" s="165"/>
      <c r="H68" s="166" t="s">
        <v>220</v>
      </c>
      <c r="I68" s="166" t="s">
        <v>221</v>
      </c>
      <c r="J68" s="165" t="s">
        <v>222</v>
      </c>
    </row>
    <row r="69" spans="2:10">
      <c r="B69" s="162" t="s">
        <v>223</v>
      </c>
      <c r="C69" s="163">
        <v>2720</v>
      </c>
      <c r="D69" s="164" t="s">
        <v>220</v>
      </c>
      <c r="G69" s="165">
        <v>0.05</v>
      </c>
      <c r="H69" s="165">
        <v>10</v>
      </c>
      <c r="I69" s="165">
        <f>H69+7</f>
        <v>17</v>
      </c>
      <c r="J69" s="165">
        <f>I69+7</f>
        <v>24</v>
      </c>
    </row>
    <row r="70" spans="2:10">
      <c r="B70" s="162" t="s">
        <v>224</v>
      </c>
      <c r="C70" s="163">
        <v>2720</v>
      </c>
      <c r="D70" s="164" t="s">
        <v>221</v>
      </c>
      <c r="G70" s="167">
        <v>0.25</v>
      </c>
      <c r="H70" s="165">
        <v>11</v>
      </c>
      <c r="I70" s="165">
        <f t="shared" ref="I70:J78" si="1">H70+7</f>
        <v>18</v>
      </c>
      <c r="J70" s="165">
        <f t="shared" si="1"/>
        <v>25</v>
      </c>
    </row>
    <row r="71" spans="2:10">
      <c r="B71" s="162" t="s">
        <v>225</v>
      </c>
      <c r="C71" s="163">
        <v>2695</v>
      </c>
      <c r="D71" s="164" t="s">
        <v>221</v>
      </c>
      <c r="G71" s="167">
        <v>0.5</v>
      </c>
      <c r="H71" s="165">
        <v>12</v>
      </c>
      <c r="I71" s="165">
        <f t="shared" si="1"/>
        <v>19</v>
      </c>
      <c r="J71" s="165">
        <f t="shared" si="1"/>
        <v>26</v>
      </c>
    </row>
    <row r="72" spans="2:10">
      <c r="B72" s="162" t="s">
        <v>226</v>
      </c>
      <c r="C72" s="163">
        <v>8981</v>
      </c>
      <c r="D72" s="164" t="s">
        <v>220</v>
      </c>
      <c r="G72" s="167">
        <v>1</v>
      </c>
      <c r="H72" s="165">
        <v>12</v>
      </c>
      <c r="I72" s="165">
        <f t="shared" si="1"/>
        <v>19</v>
      </c>
      <c r="J72" s="165">
        <f t="shared" si="1"/>
        <v>26</v>
      </c>
    </row>
    <row r="73" spans="2:10">
      <c r="B73" s="162" t="s">
        <v>227</v>
      </c>
      <c r="C73" s="163">
        <v>8981</v>
      </c>
      <c r="D73" s="164" t="s">
        <v>220</v>
      </c>
      <c r="G73" s="167">
        <v>1.1000000000000001</v>
      </c>
      <c r="H73" s="165">
        <v>13</v>
      </c>
      <c r="I73" s="165">
        <f t="shared" si="1"/>
        <v>20</v>
      </c>
      <c r="J73" s="165">
        <f t="shared" si="1"/>
        <v>27</v>
      </c>
    </row>
    <row r="74" spans="2:10">
      <c r="B74" s="162" t="s">
        <v>228</v>
      </c>
      <c r="C74" s="163">
        <v>8981</v>
      </c>
      <c r="D74" s="164" t="s">
        <v>220</v>
      </c>
      <c r="G74" s="167">
        <v>1.5</v>
      </c>
      <c r="H74" s="165">
        <v>13</v>
      </c>
      <c r="I74" s="165">
        <f t="shared" si="1"/>
        <v>20</v>
      </c>
      <c r="J74" s="165">
        <f t="shared" si="1"/>
        <v>27</v>
      </c>
    </row>
    <row r="75" spans="2:10">
      <c r="B75" s="162" t="s">
        <v>229</v>
      </c>
      <c r="C75" s="163">
        <v>8510</v>
      </c>
      <c r="D75" s="164" t="s">
        <v>220</v>
      </c>
      <c r="G75" s="167">
        <v>1.6</v>
      </c>
      <c r="H75" s="165">
        <v>14</v>
      </c>
      <c r="I75" s="165">
        <f t="shared" si="1"/>
        <v>21</v>
      </c>
      <c r="J75" s="165">
        <f t="shared" si="1"/>
        <v>28</v>
      </c>
    </row>
    <row r="76" spans="2:10">
      <c r="B76" s="162" t="s">
        <v>230</v>
      </c>
      <c r="C76" s="163">
        <v>8510</v>
      </c>
      <c r="D76" s="164" t="s">
        <v>220</v>
      </c>
      <c r="G76" s="167">
        <v>2</v>
      </c>
      <c r="H76" s="165">
        <v>15</v>
      </c>
      <c r="I76" s="165">
        <f t="shared" si="1"/>
        <v>22</v>
      </c>
      <c r="J76" s="165">
        <f t="shared" si="1"/>
        <v>29</v>
      </c>
    </row>
    <row r="77" spans="2:10">
      <c r="B77" s="162" t="s">
        <v>231</v>
      </c>
      <c r="C77" s="163">
        <v>8980</v>
      </c>
      <c r="D77" s="164" t="s">
        <v>220</v>
      </c>
      <c r="G77" s="167">
        <v>2.6</v>
      </c>
      <c r="H77" s="165">
        <v>16</v>
      </c>
      <c r="I77" s="165">
        <f t="shared" si="1"/>
        <v>23</v>
      </c>
      <c r="J77" s="165">
        <f t="shared" si="1"/>
        <v>30</v>
      </c>
    </row>
    <row r="78" spans="2:10">
      <c r="B78" s="162" t="s">
        <v>232</v>
      </c>
      <c r="C78" s="163">
        <v>8980</v>
      </c>
      <c r="D78" s="164" t="s">
        <v>220</v>
      </c>
      <c r="G78" s="167">
        <v>3.2</v>
      </c>
      <c r="H78" s="165">
        <v>16</v>
      </c>
      <c r="I78" s="165">
        <f t="shared" si="1"/>
        <v>23</v>
      </c>
      <c r="J78" s="165">
        <f t="shared" si="1"/>
        <v>30</v>
      </c>
    </row>
    <row r="79" spans="2:10">
      <c r="B79" s="162" t="s">
        <v>233</v>
      </c>
      <c r="C79" s="163">
        <v>7850</v>
      </c>
      <c r="D79" s="164" t="s">
        <v>221</v>
      </c>
    </row>
    <row r="80" spans="2:10">
      <c r="B80" s="162" t="s">
        <v>234</v>
      </c>
      <c r="C80" s="163">
        <v>7850</v>
      </c>
      <c r="D80" s="164" t="s">
        <v>221</v>
      </c>
    </row>
    <row r="81" spans="2:4">
      <c r="B81" s="162" t="s">
        <v>235</v>
      </c>
      <c r="C81" s="163">
        <v>7900</v>
      </c>
      <c r="D81" s="164" t="s">
        <v>221</v>
      </c>
    </row>
    <row r="82" spans="2:4">
      <c r="B82" s="162" t="s">
        <v>236</v>
      </c>
      <c r="C82" s="163">
        <v>7850</v>
      </c>
      <c r="D82" s="164" t="s">
        <v>220</v>
      </c>
    </row>
    <row r="83" spans="2:4">
      <c r="B83" s="162" t="s">
        <v>237</v>
      </c>
      <c r="C83" s="163">
        <v>7850</v>
      </c>
      <c r="D83" s="164" t="s">
        <v>221</v>
      </c>
    </row>
    <row r="84" spans="2:4">
      <c r="B84" s="168" t="s">
        <v>238</v>
      </c>
      <c r="C84" s="163">
        <v>7890</v>
      </c>
      <c r="D84" s="164" t="s">
        <v>221</v>
      </c>
    </row>
    <row r="85" spans="2:4">
      <c r="B85" s="168" t="s">
        <v>239</v>
      </c>
      <c r="C85" s="163">
        <v>7850</v>
      </c>
      <c r="D85" s="164" t="s">
        <v>221</v>
      </c>
    </row>
    <row r="86" spans="2:4">
      <c r="B86" s="169" t="s">
        <v>240</v>
      </c>
      <c r="C86" s="163">
        <v>7930</v>
      </c>
      <c r="D86" s="164" t="s">
        <v>222</v>
      </c>
    </row>
    <row r="87" spans="2:4">
      <c r="B87" s="169" t="s">
        <v>241</v>
      </c>
      <c r="C87" s="163">
        <v>7930</v>
      </c>
      <c r="D87" s="164" t="s">
        <v>222</v>
      </c>
    </row>
    <row r="88" spans="2:4">
      <c r="B88" s="169" t="s">
        <v>242</v>
      </c>
      <c r="C88" s="163">
        <v>7930</v>
      </c>
      <c r="D88" s="164" t="s">
        <v>222</v>
      </c>
    </row>
    <row r="89" spans="2:4">
      <c r="B89" s="169" t="s">
        <v>243</v>
      </c>
      <c r="C89" s="163">
        <v>7930</v>
      </c>
      <c r="D89" s="164" t="s">
        <v>222</v>
      </c>
    </row>
    <row r="90" spans="2:4">
      <c r="B90" s="169" t="s">
        <v>244</v>
      </c>
      <c r="C90" s="163">
        <v>7930</v>
      </c>
      <c r="D90" s="164" t="s">
        <v>222</v>
      </c>
    </row>
    <row r="91" spans="2:4">
      <c r="B91" s="169" t="s">
        <v>245</v>
      </c>
      <c r="C91" s="163">
        <v>7930</v>
      </c>
      <c r="D91" s="164" t="s">
        <v>222</v>
      </c>
    </row>
    <row r="92" spans="2:4">
      <c r="B92" s="169" t="s">
        <v>246</v>
      </c>
      <c r="C92" s="163">
        <v>7850</v>
      </c>
      <c r="D92" s="164" t="s">
        <v>222</v>
      </c>
    </row>
    <row r="93" spans="2:4">
      <c r="B93" s="169" t="s">
        <v>247</v>
      </c>
      <c r="C93" s="163">
        <v>7850</v>
      </c>
      <c r="D93" s="164" t="s">
        <v>222</v>
      </c>
    </row>
    <row r="94" spans="2:4">
      <c r="B94" s="169" t="s">
        <v>248</v>
      </c>
      <c r="C94" s="163">
        <v>7850</v>
      </c>
      <c r="D94" s="164" t="s">
        <v>222</v>
      </c>
    </row>
    <row r="95" spans="2:4">
      <c r="B95" s="169" t="s">
        <v>249</v>
      </c>
      <c r="C95" s="163">
        <v>7950</v>
      </c>
      <c r="D95" s="164" t="s">
        <v>221</v>
      </c>
    </row>
  </sheetData>
  <mergeCells count="4">
    <mergeCell ref="C3:D3"/>
    <mergeCell ref="K3:Q3"/>
    <mergeCell ref="R3:X3"/>
    <mergeCell ref="Y3:AE3"/>
  </mergeCells>
  <printOptions horizontalCentered="1"/>
  <pageMargins left="0.25" right="0.25" top="0.75" bottom="0.5" header="0.5" footer="0.5"/>
  <pageSetup paperSize="9" scale="48"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Secondary Process MC</vt:lpstr>
      <vt:lpstr>Stamping Process MC</vt:lpstr>
      <vt:lpstr>SoftTool Process MC</vt:lpstr>
      <vt:lpstr>ColdForging Process MC</vt:lpstr>
      <vt:lpstr>DieCasting Process MC</vt:lpstr>
      <vt:lpstr>Factory Labour and MasterData</vt:lpstr>
      <vt:lpstr>Reference--&gt;</vt:lpstr>
      <vt:lpstr>MC RATE</vt:lpstr>
      <vt:lpstr>EFFICIENCY</vt:lpstr>
      <vt:lpstr>MC_RATE_A</vt:lpstr>
      <vt:lpstr>MC_RATE_B</vt:lpstr>
      <vt:lpstr>SETUP_TIME</vt:lpstr>
      <vt:lpstr>SPM</vt:lpstr>
      <vt:lpstr>TM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dc:creator>
  <cp:lastModifiedBy>Meng Hui FONG</cp:lastModifiedBy>
  <dcterms:created xsi:type="dcterms:W3CDTF">2017-03-22T08:21:44Z</dcterms:created>
  <dcterms:modified xsi:type="dcterms:W3CDTF">2017-06-09T02:51:26Z</dcterms:modified>
</cp:coreProperties>
</file>