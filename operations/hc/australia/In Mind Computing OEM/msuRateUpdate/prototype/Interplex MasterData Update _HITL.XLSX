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80" yWindow="-165" windowWidth="20730" windowHeight="10290" tabRatio="785"/>
  </bookViews>
  <sheets>
    <sheet name="Secondary Process MC" sheetId="1" r:id="rId1"/>
    <sheet name="Stamping Process MC" sheetId="2" r:id="rId2"/>
    <sheet name="SoftTool Process MC" sheetId="3" state="hidden" r:id="rId3"/>
    <sheet name="ColdForging Process MC" sheetId="4" state="hidden" r:id="rId4"/>
    <sheet name="DieCasting Process MC" sheetId="5" state="hidden" r:id="rId5"/>
    <sheet name="Factory Labour and MasterData" sheetId="6" r:id="rId6"/>
    <sheet name="Sheet1" sheetId="7" state="hidden" r:id="rId7"/>
    <sheet name="Sheet2" sheetId="8" state="hidden" r:id="rId8"/>
    <sheet name="Reference--&gt;" sheetId="9" r:id="rId9"/>
    <sheet name="FY16 BG Labor hour" sheetId="10" r:id="rId10"/>
    <sheet name="汇总FY16 BG" sheetId="11"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a">#N/A</definedName>
    <definedName name="\b">#N/A</definedName>
    <definedName name="\c" localSheetId="9">#REF!</definedName>
    <definedName name="\c">#REF!</definedName>
    <definedName name="\CF1">#N/A</definedName>
    <definedName name="\CF2">#N/A</definedName>
    <definedName name="\CF3" localSheetId="9">#REF!</definedName>
    <definedName name="\CF3">#REF!</definedName>
    <definedName name="\CF4" localSheetId="9">#REF!</definedName>
    <definedName name="\CF4">#REF!</definedName>
    <definedName name="\e" localSheetId="9">#REF!</definedName>
    <definedName name="\e">#REF!</definedName>
    <definedName name="\h">#N/A</definedName>
    <definedName name="\HL1">#N/A</definedName>
    <definedName name="\HL2">#N/A</definedName>
    <definedName name="\HL3" localSheetId="9">#REF!</definedName>
    <definedName name="\HL3">#REF!</definedName>
    <definedName name="\HL4" localSheetId="9">#REF!</definedName>
    <definedName name="\HL4">#REF!</definedName>
    <definedName name="\l" localSheetId="9">#REF!</definedName>
    <definedName name="\l">#REF!</definedName>
    <definedName name="\m">#N/A</definedName>
    <definedName name="\NA1">#N/A</definedName>
    <definedName name="\NA2">#N/A</definedName>
    <definedName name="\NA3">#N/A</definedName>
    <definedName name="\NA4" localSheetId="9">#REF!</definedName>
    <definedName name="\NA4">#REF!</definedName>
    <definedName name="\p">#N/A</definedName>
    <definedName name="\PL1">#N/A</definedName>
    <definedName name="\PL2">#N/A</definedName>
    <definedName name="\PL3">#N/A</definedName>
    <definedName name="\PL4" localSheetId="9">#REF!</definedName>
    <definedName name="\PL4">#REF!</definedName>
    <definedName name="\q">#N/A</definedName>
    <definedName name="\s">#N/A</definedName>
    <definedName name="\u">#N/A</definedName>
    <definedName name="\x">#N/A</definedName>
    <definedName name="\y" localSheetId="9">#REF!</definedName>
    <definedName name="\y">#REF!</definedName>
    <definedName name="\z" localSheetId="9">#REF!</definedName>
    <definedName name="\z">#REF!</definedName>
    <definedName name="___tt2" localSheetId="9">#REF!</definedName>
    <definedName name="___tt2">#REF!</definedName>
    <definedName name="___tt3" localSheetId="9">#REF!</definedName>
    <definedName name="___tt3">#REF!</definedName>
    <definedName name="__CBS1">#N/A</definedName>
    <definedName name="__DAT1" localSheetId="9">[2]Sheet1!#REF!</definedName>
    <definedName name="__DAT1">[2]Sheet1!#REF!</definedName>
    <definedName name="__DAT10" localSheetId="9">#REF!</definedName>
    <definedName name="__DAT10">#REF!</definedName>
    <definedName name="__DAT11" localSheetId="9">#REF!</definedName>
    <definedName name="__DAT11">#REF!</definedName>
    <definedName name="__DAT12" localSheetId="9">#REF!</definedName>
    <definedName name="__DAT12">#REF!</definedName>
    <definedName name="__DAT13" localSheetId="9">#REF!</definedName>
    <definedName name="__DAT13">#REF!</definedName>
    <definedName name="__DAT14" localSheetId="9">#REF!</definedName>
    <definedName name="__DAT14">#REF!</definedName>
    <definedName name="__DAT15" localSheetId="9">#REF!</definedName>
    <definedName name="__DAT15">#REF!</definedName>
    <definedName name="__DAT16" localSheetId="9">#REF!</definedName>
    <definedName name="__DAT16">#REF!</definedName>
    <definedName name="__DAT17" localSheetId="9">#REF!</definedName>
    <definedName name="__DAT17">#REF!</definedName>
    <definedName name="__DAT2" localSheetId="9">#REF!</definedName>
    <definedName name="__DAT2">#REF!</definedName>
    <definedName name="__DAT3" localSheetId="9">#REF!</definedName>
    <definedName name="__DAT3">#REF!</definedName>
    <definedName name="__DAT4" localSheetId="9">[2]Sheet1!#REF!</definedName>
    <definedName name="__DAT4">[2]Sheet1!#REF!</definedName>
    <definedName name="__DAT5" localSheetId="9">#REF!</definedName>
    <definedName name="__DAT5">#REF!</definedName>
    <definedName name="__DAT6" localSheetId="9">[2]Sheet1!#REF!</definedName>
    <definedName name="__DAT6">[2]Sheet1!#REF!</definedName>
    <definedName name="__DAT7" localSheetId="9">#REF!</definedName>
    <definedName name="__DAT7">#REF!</definedName>
    <definedName name="__DAT8" localSheetId="9">#REF!</definedName>
    <definedName name="__DAT8">#REF!</definedName>
    <definedName name="__DAT9" localSheetId="9">#REF!</definedName>
    <definedName name="__DAT9">#REF!</definedName>
    <definedName name="__jun03" localSheetId="9" hidden="1">{#N/A,#N/A,FALSE,"Aging Summary";#N/A,#N/A,FALSE,"Ratio Analysis";#N/A,#N/A,FALSE,"Test 120 Day Accts";#N/A,#N/A,FALSE,"Tickmarks"}</definedName>
    <definedName name="__jun03" hidden="1">{#N/A,#N/A,FALSE,"Aging Summary";#N/A,#N/A,FALSE,"Ratio Analysis";#N/A,#N/A,FALSE,"Test 120 Day Accts";#N/A,#N/A,FALSE,"Tickmarks"}</definedName>
    <definedName name="__ok1" localSheetId="9">'[3]Options-2000'!#REF!</definedName>
    <definedName name="__ok1">'[3]Options-2000'!#REF!</definedName>
    <definedName name="__ok2" localSheetId="9">'[3]Options-2000'!#REF!</definedName>
    <definedName name="__ok2">'[3]Options-2000'!#REF!</definedName>
    <definedName name="__ok3" localSheetId="9">'[3]Options-2000'!#REF!</definedName>
    <definedName name="__ok3">'[3]Options-2000'!#REF!</definedName>
    <definedName name="__ok4" hidden="1">[4]Plbyhalf!$L$134</definedName>
    <definedName name="__ok5" localSheetId="9" hidden="1">#REF!</definedName>
    <definedName name="__ok5" hidden="1">#REF!</definedName>
    <definedName name="__TC1">#N/A</definedName>
    <definedName name="__TC2">#N/A</definedName>
    <definedName name="__TC3">#N/A</definedName>
    <definedName name="__tt2" localSheetId="9">#REF!</definedName>
    <definedName name="__tt2">#REF!</definedName>
    <definedName name="__tt3" localSheetId="9">#REF!</definedName>
    <definedName name="__tt3">#REF!</definedName>
    <definedName name="__uv3000">[5]Sheet2!$A$81:$D$122</definedName>
    <definedName name="_1m150_" localSheetId="9">OFFSET(#REF!,0,0,COUNTA(OFFSET(#REF!,0,0,999,1)),1)</definedName>
    <definedName name="_1m150_">OFFSET(#REF!,0,0,COUNTA(OFFSET(#REF!,0,0,999,1)),1)</definedName>
    <definedName name="_CBS1">#N/A</definedName>
    <definedName name="_CUA1" localSheetId="9">#REF!</definedName>
    <definedName name="_CUA1">#REF!</definedName>
    <definedName name="_DAT1" localSheetId="9">[2]Sheet1!#REF!</definedName>
    <definedName name="_DAT1">[2]Sheet1!#REF!</definedName>
    <definedName name="_DAT10" localSheetId="9">#REF!</definedName>
    <definedName name="_DAT10">#REF!</definedName>
    <definedName name="_DAT11" localSheetId="9">#REF!</definedName>
    <definedName name="_DAT11">#REF!</definedName>
    <definedName name="_DAT12" localSheetId="9">#REF!</definedName>
    <definedName name="_DAT12">#REF!</definedName>
    <definedName name="_DAT13" localSheetId="9">#REF!</definedName>
    <definedName name="_DAT13">#REF!</definedName>
    <definedName name="_DAT14" localSheetId="9">#REF!</definedName>
    <definedName name="_DAT14">#REF!</definedName>
    <definedName name="_DAT15" localSheetId="9">#REF!</definedName>
    <definedName name="_DAT15">#REF!</definedName>
    <definedName name="_DAT16" localSheetId="9">#REF!</definedName>
    <definedName name="_DAT16">#REF!</definedName>
    <definedName name="_DAT17" localSheetId="9">#REF!</definedName>
    <definedName name="_DAT17">#REF!</definedName>
    <definedName name="_DAT2" localSheetId="9">#REF!</definedName>
    <definedName name="_DAT2">#REF!</definedName>
    <definedName name="_DAT3" localSheetId="9">#REF!</definedName>
    <definedName name="_DAT3">#REF!</definedName>
    <definedName name="_DAT4" localSheetId="9">[2]Sheet1!#REF!</definedName>
    <definedName name="_DAT4">[2]Sheet1!#REF!</definedName>
    <definedName name="_DAT5" localSheetId="9">#REF!</definedName>
    <definedName name="_DAT5">#REF!</definedName>
    <definedName name="_DAT6" localSheetId="9">[2]Sheet1!#REF!</definedName>
    <definedName name="_DAT6">[2]Sheet1!#REF!</definedName>
    <definedName name="_DAT7" localSheetId="9">#REF!</definedName>
    <definedName name="_DAT7">#REF!</definedName>
    <definedName name="_DAT8" localSheetId="9">#REF!</definedName>
    <definedName name="_DAT8">#REF!</definedName>
    <definedName name="_DAT9" localSheetId="9">#REF!</definedName>
    <definedName name="_DAT9">#REF!</definedName>
    <definedName name="_Fill" localSheetId="9" hidden="1">[6]BS2002!#REF!</definedName>
    <definedName name="_Fill" hidden="1">[6]BS2002!#REF!</definedName>
    <definedName name="_xlnm._FilterDatabase" localSheetId="6" hidden="1">Sheet1!$A$2:$C$2</definedName>
    <definedName name="_xlnm._FilterDatabase" localSheetId="7" hidden="1">Sheet2!$A$2:$C$2</definedName>
    <definedName name="_jun03" localSheetId="9" hidden="1">{#N/A,#N/A,FALSE,"Aging Summary";#N/A,#N/A,FALSE,"Ratio Analysis";#N/A,#N/A,FALSE,"Test 120 Day Accts";#N/A,#N/A,FALSE,"Tickmarks"}</definedName>
    <definedName name="_jun03" hidden="1">{#N/A,#N/A,FALSE,"Aging Summary";#N/A,#N/A,FALSE,"Ratio Analysis";#N/A,#N/A,FALSE,"Test 120 Day Accts";#N/A,#N/A,FALSE,"Tickmarks"}</definedName>
    <definedName name="_Key1" localSheetId="9" hidden="1">#REF!</definedName>
    <definedName name="_Key1" hidden="1">#REF!</definedName>
    <definedName name="_mth2001" localSheetId="9">#REF!</definedName>
    <definedName name="_mth2001">#REF!</definedName>
    <definedName name="_mth2004" localSheetId="9">#REF!</definedName>
    <definedName name="_mth2004">#REF!</definedName>
    <definedName name="_mth2007" localSheetId="9">#REF!</definedName>
    <definedName name="_mth2007">#REF!</definedName>
    <definedName name="_mth2010" localSheetId="9">#REF!</definedName>
    <definedName name="_mth2010">#REF!</definedName>
    <definedName name="_mth9801" localSheetId="9">#REF!</definedName>
    <definedName name="_mth9801">#REF!</definedName>
    <definedName name="_mth9804" localSheetId="9">#REF!</definedName>
    <definedName name="_mth9804">#REF!</definedName>
    <definedName name="_mth9807" localSheetId="9">#REF!</definedName>
    <definedName name="_mth9807">#REF!</definedName>
    <definedName name="_mth9810" localSheetId="9">#REF!</definedName>
    <definedName name="_mth9810">#REF!</definedName>
    <definedName name="_mth9901" localSheetId="9">#REF!</definedName>
    <definedName name="_mth9901">#REF!</definedName>
    <definedName name="_mth9904" localSheetId="9">#REF!</definedName>
    <definedName name="_mth9904">#REF!</definedName>
    <definedName name="_mth9907" localSheetId="9">#REF!</definedName>
    <definedName name="_mth9907">#REF!</definedName>
    <definedName name="_mth9910" localSheetId="9">#REF!</definedName>
    <definedName name="_mth9910">#REF!</definedName>
    <definedName name="_ok1" localSheetId="9">'[3]Options-2000'!#REF!</definedName>
    <definedName name="_ok1">'[3]Options-2000'!#REF!</definedName>
    <definedName name="_ok2" localSheetId="9">'[3]Options-2000'!#REF!</definedName>
    <definedName name="_ok2">'[3]Options-2000'!#REF!</definedName>
    <definedName name="_ok3" localSheetId="9">'[3]Options-2000'!#REF!</definedName>
    <definedName name="_ok3">'[3]Options-2000'!#REF!</definedName>
    <definedName name="_ok4" hidden="1">[4]Plbyhalf!$L$134</definedName>
    <definedName name="_ok5" localSheetId="9" hidden="1">#REF!</definedName>
    <definedName name="_ok5" hidden="1">#REF!</definedName>
    <definedName name="_Order1" hidden="1">255</definedName>
    <definedName name="_Order2" hidden="1">0</definedName>
    <definedName name="_Sort" localSheetId="9" hidden="1">#REF!</definedName>
    <definedName name="_Sort" hidden="1">#REF!</definedName>
    <definedName name="_TAB2" localSheetId="9">#REF!</definedName>
    <definedName name="_TAB2">#REF!</definedName>
    <definedName name="_TAB3" localSheetId="9">#REF!</definedName>
    <definedName name="_TAB3">#REF!</definedName>
    <definedName name="_TAB4" localSheetId="9">#REF!</definedName>
    <definedName name="_TAB4">#REF!</definedName>
    <definedName name="_TAB7" localSheetId="9">#REF!</definedName>
    <definedName name="_TAB7">#REF!</definedName>
    <definedName name="_TC1">#N/A</definedName>
    <definedName name="_TC2">#N/A</definedName>
    <definedName name="_TC3">#N/A</definedName>
    <definedName name="_tt2" localSheetId="9">#REF!</definedName>
    <definedName name="_tt2">#REF!</definedName>
    <definedName name="_tt3" localSheetId="9">#REF!</definedName>
    <definedName name="_tt3">#REF!</definedName>
    <definedName name="_uv3000">[5]Sheet2!$A$81:$D$122</definedName>
    <definedName name="A" localSheetId="9">#REF!</definedName>
    <definedName name="A">#REF!</definedName>
    <definedName name="a110t" localSheetId="9">OFFSET(#REF!,0,0,COUNTA(OFFSET(#REF!,0,0,999,1)),1)</definedName>
    <definedName name="a110t">OFFSET(#REF!,0,0,COUNTA(OFFSET(#REF!,0,0,999,1)),1)</definedName>
    <definedName name="a160t" localSheetId="9">OFFSET(#REF!,0,0,COUNTA(OFFSET(#REF!,0,0,999,1)),1)</definedName>
    <definedName name="a160t">OFFSET(#REF!,0,0,COUNTA(OFFSET(#REF!,0,0,999,1)),1)</definedName>
    <definedName name="a200t" localSheetId="9">OFFSET(#REF!,0,0,COUNTA(OFFSET(#REF!,0,0,999,1)),1)</definedName>
    <definedName name="a200t">OFFSET(#REF!,0,0,COUNTA(OFFSET(#REF!,0,0,999,1)),1)</definedName>
    <definedName name="a250t" localSheetId="9">OFFSET(#REF!,0,0,COUNTA(OFFSET(#REF!,0,0,999,1)),1)</definedName>
    <definedName name="a250t">OFFSET(#REF!,0,0,COUNTA(OFFSET(#REF!,0,0,999,1)),1)</definedName>
    <definedName name="a300t" localSheetId="9">OFFSET(#REF!,0,0,COUNTA(OFFSET(#REF!,0,0,999,1)),1)</definedName>
    <definedName name="a300t">OFFSET(#REF!,0,0,COUNTA(OFFSET(#REF!,0,0,999,1)),1)</definedName>
    <definedName name="a60t">OFFSET('[7]Sales Forecast'!$AD$1,0,0,COUNTA(OFFSET('[7]Sales Forecast'!$B$1,0,0,999,1)),1)</definedName>
    <definedName name="AAA" localSheetId="9">#REF!</definedName>
    <definedName name="AAA">#REF!</definedName>
    <definedName name="aaaa" localSheetId="9">#REF!</definedName>
    <definedName name="aaaa">#REF!</definedName>
    <definedName name="aaln" localSheetId="9">[8]Forcast2006!#REF!</definedName>
    <definedName name="aaln">[8]Forcast2006!#REF!</definedName>
    <definedName name="AC" localSheetId="9">#REF!</definedName>
    <definedName name="AC">#REF!</definedName>
    <definedName name="ace">[9]Sheet1!$A$9:$C$43</definedName>
    <definedName name="ACIER" localSheetId="9">#REF!</definedName>
    <definedName name="ACIER">#REF!</definedName>
    <definedName name="ADMIN___TRAVEL" localSheetId="9">#REF!</definedName>
    <definedName name="ADMIN___TRAVEL">#REF!</definedName>
    <definedName name="AE" localSheetId="9">#REF!</definedName>
    <definedName name="AE">#REF!</definedName>
    <definedName name="AMTEK" localSheetId="9">#REF!</definedName>
    <definedName name="AMTEK">#REF!</definedName>
    <definedName name="Anthony" localSheetId="9">#REF!,#REF!,#REF!,#REF!,#REF!,#REF!,#REF!,#REF!,#REF!,#REF!</definedName>
    <definedName name="Anthony">#REF!,#REF!,#REF!,#REF!,#REF!,#REF!,#REF!,#REF!,#REF!,#REF!</definedName>
    <definedName name="Apr_qty" localSheetId="9">OFFSET(#REF!,0,0,COUNTA(OFFSET(#REF!,0,0,999,1)),1)</definedName>
    <definedName name="Apr_qty">OFFSET(#REF!,0,0,COUNTA(OFFSET(#REF!,0,0,999,1)),1)</definedName>
    <definedName name="ar" localSheetId="9">#REF!</definedName>
    <definedName name="ar">#REF!</definedName>
    <definedName name="AS2DocOpenMode" hidden="1">"AS2DocumentEdit"</definedName>
    <definedName name="Assign" localSheetId="9">#REF!,#REF!,#REF!,#REF!</definedName>
    <definedName name="Assign">#REF!,#REF!,#REF!,#REF!</definedName>
    <definedName name="Aug_qty">OFFSET('[7]Sales Forecast'!$K$1,0,0,COUNTA(OFFSET('[7]Sales Forecast'!$B$1,0,0,999,1)),1)</definedName>
    <definedName name="BALSHT" localSheetId="9">#REF!</definedName>
    <definedName name="BALSHT">#REF!</definedName>
    <definedName name="BB">[10]固定资产总清单!$B$1:$L$16</definedName>
    <definedName name="before" localSheetId="9">[11]over!#REF!</definedName>
    <definedName name="before">[11]over!#REF!</definedName>
    <definedName name="BS" localSheetId="9">#REF!</definedName>
    <definedName name="BS">#REF!</definedName>
    <definedName name="BSHT" localSheetId="9">#REF!</definedName>
    <definedName name="BSHT">#REF!</definedName>
    <definedName name="BUD_BS" localSheetId="9">[12]固定资产总清单!#REF!</definedName>
    <definedName name="BUD_BS">[12]固定资产总清单!#REF!</definedName>
    <definedName name="BUD_MFG" localSheetId="9">#REF!</definedName>
    <definedName name="BUD_MFG">#REF!</definedName>
    <definedName name="BUD_P_L" localSheetId="9">#REF!</definedName>
    <definedName name="BUD_P_L">#REF!</definedName>
    <definedName name="BUDGET" localSheetId="9">#REF!</definedName>
    <definedName name="BUDGET">#REF!</definedName>
    <definedName name="CAJE">#N/A</definedName>
    <definedName name="caln" localSheetId="9">[8]Forcast2006!#REF!</definedName>
    <definedName name="caln">[8]Forcast2006!#REF!</definedName>
    <definedName name="CASH" localSheetId="9">#REF!</definedName>
    <definedName name="CASH">#REF!</definedName>
    <definedName name="CASHFLOW" localSheetId="9">#REF!</definedName>
    <definedName name="CASHFLOW">#REF!</definedName>
    <definedName name="cavity">OFFSET('[7]Sales Forecast'!$AC$1,0,0,COUNTA(OFFSET('[7]Sales Forecast'!$B$1,0,0,999,1)),1)</definedName>
    <definedName name="CBS">#N/A</definedName>
    <definedName name="CF" localSheetId="9">#REF!</definedName>
    <definedName name="CF">#REF!</definedName>
    <definedName name="cg" localSheetId="9">#REF!</definedName>
    <definedName name="cg">#REF!</definedName>
    <definedName name="CJE" localSheetId="9">#REF!</definedName>
    <definedName name="CJE">#REF!</definedName>
    <definedName name="Consolidation" localSheetId="9">[13]Consol!#REF!</definedName>
    <definedName name="Consolidation">[13]Consol!#REF!</definedName>
    <definedName name="CPL">#N/A</definedName>
    <definedName name="CRECOVERABLE" localSheetId="9">#REF!</definedName>
    <definedName name="CRECOVERABLE">#REF!</definedName>
    <definedName name="cREDITOR" localSheetId="9">#REF!</definedName>
    <definedName name="cREDITOR">#REF!</definedName>
    <definedName name="CU" localSheetId="9">#REF!</definedName>
    <definedName name="CU">#REF!</definedName>
    <definedName name="D">[10]固定资产总清单!$B$1:$R$16</definedName>
    <definedName name="_xlnm.Database" localSheetId="9">#REF!</definedName>
    <definedName name="_xlnm.Database">#REF!</definedName>
    <definedName name="date">'[14]Cover Sheet'!$A$13</definedName>
    <definedName name="DAYS" localSheetId="9">#REF!</definedName>
    <definedName name="DAYS">#REF!</definedName>
    <definedName name="Dec" localSheetId="9">OFFSET(#REF!,0,0,COUNTA(OFFSET(#REF!,0,0,999,1)),1)</definedName>
    <definedName name="Dec">OFFSET(#REF!,0,0,COUNTA(OFFSET(#REF!,0,0,999,1)),1)</definedName>
    <definedName name="Dec_qty">OFFSET('[7]Sales Forecast'!$O$1,0,0,COUNTA(OFFSET('[7]Sales Forecast'!$B$1,0,0,999,1)),1)</definedName>
    <definedName name="dep" localSheetId="9">'[3]Options-2000'!#REF!</definedName>
    <definedName name="dep">'[3]Options-2000'!#REF!</definedName>
    <definedName name="DEPOSIT" localSheetId="9">#REF!</definedName>
    <definedName name="DEPOSIT">#REF!</definedName>
    <definedName name="DEPRECIATION" localSheetId="9">#REF!</definedName>
    <definedName name="DEPRECIATION">#REF!</definedName>
    <definedName name="deps" localSheetId="9">'[3]Options-2000'!#REF!</definedName>
    <definedName name="deps">'[3]Options-2000'!#REF!</definedName>
    <definedName name="echge" localSheetId="9">#REF!</definedName>
    <definedName name="echge">#REF!</definedName>
    <definedName name="eps" localSheetId="9" hidden="1">#REF!</definedName>
    <definedName name="eps" hidden="1">#REF!</definedName>
    <definedName name="Euro" localSheetId="9">#REF!</definedName>
    <definedName name="Euro">#REF!</definedName>
    <definedName name="Excel_3_pic">"Picture 1"</definedName>
    <definedName name="exchge" localSheetId="9">#REF!</definedName>
    <definedName name="exchge">#REF!</definedName>
    <definedName name="f" localSheetId="9">[15]SD!#REF!</definedName>
    <definedName name="f">[15]SD!#REF!</definedName>
    <definedName name="Feb_qty" localSheetId="9">OFFSET(#REF!,0,0,COUNTA(OFFSET(#REF!,0,0,999,1)),1)</definedName>
    <definedName name="Feb_qty">OFFSET(#REF!,0,0,COUNTA(OFFSET(#REF!,0,0,999,1)),1)</definedName>
    <definedName name="fin" localSheetId="9" hidden="1">#REF!</definedName>
    <definedName name="fin" hidden="1">#REF!</definedName>
    <definedName name="forex" localSheetId="9">#REF!</definedName>
    <definedName name="forex">#REF!</definedName>
    <definedName name="FR" localSheetId="9">#REF!</definedName>
    <definedName name="FR">#REF!</definedName>
    <definedName name="GanTB" localSheetId="9">#REF!,#REF!,#REF!,#REF!,#REF!,#REF!,#REF!,#REF!,#REF!,#REF!,#REF!</definedName>
    <definedName name="GanTB">#REF!,#REF!,#REF!,#REF!,#REF!,#REF!,#REF!,#REF!,#REF!,#REF!,#REF!</definedName>
    <definedName name="GROUPSUMMARY" localSheetId="9">[16]GR_Summary!#REF!</definedName>
    <definedName name="GROUPSUMMARY">[16]GR_Summary!#REF!</definedName>
    <definedName name="h" localSheetId="9">[15]SD!#REF!</definedName>
    <definedName name="h">[15]SD!#REF!</definedName>
    <definedName name="hc" localSheetId="9" hidden="1">#REF!</definedName>
    <definedName name="hc" hidden="1">#REF!</definedName>
    <definedName name="hi" localSheetId="9">[15]SD!#REF!</definedName>
    <definedName name="hi">[15]SD!#REF!</definedName>
    <definedName name="HK_BS" localSheetId="9">#REF!</definedName>
    <definedName name="HK_BS">#REF!</definedName>
    <definedName name="HK_PL" localSheetId="9">#REF!</definedName>
    <definedName name="HK_PL">#REF!</definedName>
    <definedName name="HTML_CodePage" hidden="1">1252</definedName>
    <definedName name="HTML_Control" localSheetId="9" hidden="1">{"'Individual Tooling Cost'!$B$3:$O$6"}</definedName>
    <definedName name="HTML_Control" hidden="1">{"'Individual Tooling Cost'!$B$3:$O$6"}</definedName>
    <definedName name="HTML_Description" hidden="1">""</definedName>
    <definedName name="HTML_Email" hidden="1">""</definedName>
    <definedName name="HTML_Header" hidden="1">"Individual Tooling Cost"</definedName>
    <definedName name="HTML_LastUpdate" hidden="1">"25/06/99"</definedName>
    <definedName name="HTML_LineAfter" hidden="1">FALSE</definedName>
    <definedName name="HTML_LineBefore" hidden="1">FALSE</definedName>
    <definedName name="HTML_Name" hidden="1">"Amtek Mega Engineering P/L"</definedName>
    <definedName name="HTML_OBDlg2" hidden="1">TRUE</definedName>
    <definedName name="HTML_OBDlg4" hidden="1">TRUE</definedName>
    <definedName name="HTML_OS" hidden="1">0</definedName>
    <definedName name="HTML_PathFile" hidden="1">"C:\GEChua\Cost\Tool&amp;Part Cost Summary\MyHTML.htm"</definedName>
    <definedName name="HTML_Title" hidden="1">"Cost Summary"</definedName>
    <definedName name="HZ_BS" localSheetId="9">'[17]HZAT BS'!#REF!</definedName>
    <definedName name="HZ_BS">'[17]HZAT BS'!#REF!</definedName>
    <definedName name="HZ_MFG">'[18]ATHZ PL Mfg 0604'!$B$75:$B$123</definedName>
    <definedName name="ICR">#N/A</definedName>
    <definedName name="inv" hidden="1">[19]Plbyhalf!$L$134</definedName>
    <definedName name="Jan_qty" localSheetId="9">OFFSET(#REF!,0,0,COUNTA(OFFSET(#REF!,0,0,999,1)),1)</definedName>
    <definedName name="Jan_qty">OFFSET(#REF!,0,0,COUNTA(OFFSET(#REF!,0,0,999,1)),1)</definedName>
    <definedName name="Jul_qty">OFFSET('[7]Sales Forecast'!$J$1,0,0,COUNTA(OFFSET('[7]Sales Forecast'!$B$1,0,0,999,1)),1)</definedName>
    <definedName name="Jun_qty" localSheetId="9">OFFSET(#REF!,0,0,COUNTA(OFFSET(#REF!,0,0,999,1)),1)</definedName>
    <definedName name="Jun_qty">OFFSET(#REF!,0,0,COUNTA(OFFSET(#REF!,0,0,999,1)),1)</definedName>
    <definedName name="KwokKH" localSheetId="9">#REF!,#REF!,#REF!,#REF!,#REF!,#REF!,#REF!,#REF!,#REF!,#REF!,#REF!</definedName>
    <definedName name="KwokKH">#REF!,#REF!,#REF!,#REF!,#REF!,#REF!,#REF!,#REF!,#REF!,#REF!,#REF!</definedName>
    <definedName name="L" localSheetId="9">#REF!</definedName>
    <definedName name="L">#REF!</definedName>
    <definedName name="LA" localSheetId="9">#REF!</definedName>
    <definedName name="LA">#REF!</definedName>
    <definedName name="LEARN" localSheetId="9">#REF!</definedName>
    <definedName name="LEARN">#REF!</definedName>
    <definedName name="LimMW" localSheetId="9">#REF!,#REF!,#REF!,#REF!,#REF!,#REF!,#REF!,#REF!,#REF!,#REF!</definedName>
    <definedName name="LimMW">#REF!,#REF!,#REF!,#REF!,#REF!,#REF!,#REF!,#REF!,#REF!,#REF!</definedName>
    <definedName name="LINE" localSheetId="9">#REF!</definedName>
    <definedName name="LINE">#REF!</definedName>
    <definedName name="m110t" localSheetId="9">OFFSET(#REF!,0,0,COUNTA(OFFSET(#REF!,0,0,999,1)),1)</definedName>
    <definedName name="m110t">OFFSET(#REF!,0,0,COUNTA(OFFSET(#REF!,0,0,999,1)),1)</definedName>
    <definedName name="m150t" localSheetId="9">OFFSET(#REF!,0,0,COUNTA(OFFSET(#REF!,0,0,999,1)),1)</definedName>
    <definedName name="m150t">OFFSET(#REF!,0,0,COUNTA(OFFSET(#REF!,0,0,999,1)),1)</definedName>
    <definedName name="m160t" localSheetId="9">OFFSET(#REF!,0,0,COUNTA(OFFSET(#REF!,0,0,999,1)),1)</definedName>
    <definedName name="m160t">OFFSET(#REF!,0,0,COUNTA(OFFSET(#REF!,0,0,999,1)),1)</definedName>
    <definedName name="m200t" localSheetId="9">OFFSET(#REF!,0,0,COUNTA(OFFSET(#REF!,0,0,999,1)),1)</definedName>
    <definedName name="m200t">OFFSET(#REF!,0,0,COUNTA(OFFSET(#REF!,0,0,999,1)),1)</definedName>
    <definedName name="m60t" localSheetId="9">OFFSET(#REF!,0,0,COUNTA(OFFSET(#REF!,0,0,999,1)),1)</definedName>
    <definedName name="m60t">OFFSET(#REF!,0,0,COUNTA(OFFSET(#REF!,0,0,999,1)),1)</definedName>
    <definedName name="MACRO">#N/A</definedName>
    <definedName name="MaMT" localSheetId="9">#REF!,#REF!,#REF!,#REF!,#REF!,#REF!,#REF!,#REF!,#REF!,#REF!</definedName>
    <definedName name="MaMT">#REF!,#REF!,#REF!,#REF!,#REF!,#REF!,#REF!,#REF!,#REF!,#REF!</definedName>
    <definedName name="Mar_qty" localSheetId="9">OFFSET(#REF!,0,0,COUNTA(OFFSET(#REF!,0,0,999,1)),1)</definedName>
    <definedName name="Mar_qty">OFFSET(#REF!,0,0,COUNTA(OFFSET(#REF!,0,0,999,1)),1)</definedName>
    <definedName name="May_qty" localSheetId="9">OFFSET(#REF!,0,0,COUNTA(OFFSET(#REF!,0,0,999,1)),1)</definedName>
    <definedName name="May_qty">OFFSET(#REF!,0,0,COUNTA(OFFSET(#REF!,0,0,999,1)),1)</definedName>
    <definedName name="metnote" localSheetId="9">#REF!</definedName>
    <definedName name="metnote">#REF!</definedName>
    <definedName name="metrow" localSheetId="9">#REF!</definedName>
    <definedName name="metrow">#REF!</definedName>
    <definedName name="MFG" localSheetId="9">#REF!</definedName>
    <definedName name="MFG">#REF!</definedName>
    <definedName name="MIP">#N/A</definedName>
    <definedName name="MU" localSheetId="9">#REF!</definedName>
    <definedName name="MU">#REF!</definedName>
    <definedName name="NAME">'[20]TR0-7 31072003 (3)'!$A$13:$B$163</definedName>
    <definedName name="NOUVEAU" localSheetId="9">#REF!</definedName>
    <definedName name="NOUVEAU">#REF!</definedName>
    <definedName name="Nov_qty">OFFSET('[7]Sales Forecast'!$N$1,0,0,COUNTA(OFFSET('[7]Sales Forecast'!$B$1,0,0,999,1)),1)</definedName>
    <definedName name="OCREDITOR" localSheetId="9">#REF!</definedName>
    <definedName name="OCREDITOR">#REF!</definedName>
    <definedName name="Oct_qty">OFFSET('[7]Sales Forecast'!$M$1,0,0,COUNTA(OFFSET('[7]Sales Forecast'!$B$1,0,0,999,1)),1)</definedName>
    <definedName name="ODTR" localSheetId="9">#REF!</definedName>
    <definedName name="ODTR">#REF!</definedName>
    <definedName name="OFFFIN" localSheetId="9">#REF!</definedName>
    <definedName name="OFFFIN">#REF!</definedName>
    <definedName name="ok" hidden="1">[19]Plbyhalf!$L$134</definedName>
    <definedName name="opop" localSheetId="9">#REF!</definedName>
    <definedName name="opop">#REF!</definedName>
    <definedName name="overheads">[21]Overhead!$D$18</definedName>
    <definedName name="P" localSheetId="9">#REF!</definedName>
    <definedName name="P">#REF!</definedName>
    <definedName name="PanYong" localSheetId="9">#REF!,#REF!,#REF!,#REF!,#REF!,#REF!,#REF!,#REF!,#REF!,#REF!</definedName>
    <definedName name="PanYong">#REF!,#REF!,#REF!,#REF!,#REF!,#REF!,#REF!,#REF!,#REF!,#REF!</definedName>
    <definedName name="percent" localSheetId="9">#REF!</definedName>
    <definedName name="percent">#REF!</definedName>
    <definedName name="PL" localSheetId="9">#REF!</definedName>
    <definedName name="PL">#REF!</definedName>
    <definedName name="Plan" localSheetId="9">#REF!,#REF!,#REF!,#REF!</definedName>
    <definedName name="Plan">#REF!,#REF!,#REF!,#REF!</definedName>
    <definedName name="plhalf" localSheetId="9" hidden="1">#REF!</definedName>
    <definedName name="plhalf" hidden="1">#REF!</definedName>
    <definedName name="PLOSS" localSheetId="9">#REF!</definedName>
    <definedName name="PLOSS">#REF!</definedName>
    <definedName name="PM_LIST" localSheetId="9">[12]固定资产总清单!#REF!</definedName>
    <definedName name="PM_LIST">[12]固定资产总清单!#REF!</definedName>
    <definedName name="_xlnm.Print_Area">'[18]ATHZ PL Mfg 0604'!$B$1:$DB$67</definedName>
    <definedName name="PRINT_AREA_MI">#N/A</definedName>
    <definedName name="_xlnm.Print_Titles">#N/A</definedName>
    <definedName name="PRINT_TITLES_MI" localSheetId="9">#REF!</definedName>
    <definedName name="PRINT_TITLES_MI">#REF!</definedName>
    <definedName name="q" localSheetId="9">'[3]Options-2000'!#REF!</definedName>
    <definedName name="q">'[3]Options-2000'!#REF!</definedName>
    <definedName name="QUOTEDINV" localSheetId="9">#REF!</definedName>
    <definedName name="QUOTEDINV">#REF!</definedName>
    <definedName name="rate">[22]Sheet1!$B$5</definedName>
    <definedName name="RATE10">[23]Sheet1!$K$4</definedName>
    <definedName name="RECOVERABLE" localSheetId="9">#REF!</definedName>
    <definedName name="RECOVERABLE">#REF!</definedName>
    <definedName name="Ref_30" localSheetId="9">'[3]Options-2000'!#REF!</definedName>
    <definedName name="Ref_30">'[3]Options-2000'!#REF!</definedName>
    <definedName name="Ref_32" localSheetId="9">'[3]Options-2000'!#REF!</definedName>
    <definedName name="Ref_32">'[3]Options-2000'!#REF!</definedName>
    <definedName name="Ref_91">'[24]7132-1 Options'!$D$192</definedName>
    <definedName name="Rene" localSheetId="9">#REF!,#REF!,#REF!,#REF!,#REF!,#REF!,#REF!,#REF!,#REF!,#REF!,#REF!</definedName>
    <definedName name="Rene">#REF!,#REF!,#REF!,#REF!,#REF!,#REF!,#REF!,#REF!,#REF!,#REF!,#REF!</definedName>
    <definedName name="RORE">#N/A</definedName>
    <definedName name="S_CY_End_GT" localSheetId="9">#REF!</definedName>
    <definedName name="S_CY_End_GT">#REF!</definedName>
    <definedName name="saln" localSheetId="9">[8]Forcast2006!#REF!</definedName>
    <definedName name="saln">[8]Forcast2006!#REF!</definedName>
    <definedName name="Sep_qty">OFFSET('[7]Sales Forecast'!$L$1,0,0,COUNTA(OFFSET('[7]Sales Forecast'!$B$1,0,0,999,1)),1)</definedName>
    <definedName name="SGDUSD" localSheetId="9">#REF!</definedName>
    <definedName name="SGDUSD">#REF!</definedName>
    <definedName name="SHARE_CAPITAL" localSheetId="9">[12]固定资产总清单!#REF!</definedName>
    <definedName name="SHARE_CAPITAL">[12]固定资产总清单!#REF!</definedName>
    <definedName name="space" localSheetId="9" hidden="1">#REF!</definedName>
    <definedName name="space" hidden="1">#REF!</definedName>
    <definedName name="STK" localSheetId="9">#REF!</definedName>
    <definedName name="STK">#REF!</definedName>
    <definedName name="sztot" localSheetId="9">#REF!</definedName>
    <definedName name="sztot">#REF!</definedName>
    <definedName name="TAB" localSheetId="9">#REF!</definedName>
    <definedName name="TAB">#REF!</definedName>
    <definedName name="taln" localSheetId="9">[8]Forcast2006!#REF!</definedName>
    <definedName name="taln">[8]Forcast2006!#REF!</definedName>
    <definedName name="tapb" localSheetId="9">#REF!</definedName>
    <definedName name="tapb">#REF!</definedName>
    <definedName name="tax" hidden="1">[4]Plbyhalf!$L$134</definedName>
    <definedName name="tbat" localSheetId="9">#REF!</definedName>
    <definedName name="tbat">#REF!</definedName>
    <definedName name="tbtm" localSheetId="9">#REF!</definedName>
    <definedName name="tbtm">#REF!</definedName>
    <definedName name="tcc" localSheetId="9">#REF!</definedName>
    <definedName name="tcc">#REF!</definedName>
    <definedName name="tcz" localSheetId="9">#REF!</definedName>
    <definedName name="tcz">#REF!</definedName>
    <definedName name="TEST1" localSheetId="9">#REF!</definedName>
    <definedName name="TEST1">#REF!</definedName>
    <definedName name="TESTHKEY" localSheetId="9">#REF!</definedName>
    <definedName name="TESTHKEY">#REF!</definedName>
    <definedName name="TESTKEYS" localSheetId="9">#REF!</definedName>
    <definedName name="TESTKEYS">#REF!</definedName>
    <definedName name="TESTVKEY" localSheetId="9">#REF!</definedName>
    <definedName name="TESTVKEY">#REF!</definedName>
    <definedName name="TextRefCopy1" localSheetId="9">#REF!</definedName>
    <definedName name="TextRefCopy1">#REF!</definedName>
    <definedName name="TextRefCopy17" localSheetId="9">#REF!</definedName>
    <definedName name="TextRefCopy17">#REF!</definedName>
    <definedName name="TextRefCopy2" localSheetId="9">#REF!</definedName>
    <definedName name="TextRefCopy2">#REF!</definedName>
    <definedName name="TextRefCopyRangeCount" hidden="1">3</definedName>
    <definedName name="thui" localSheetId="9">#REF!</definedName>
    <definedName name="thui">#REF!</definedName>
    <definedName name="thuz" localSheetId="9">#REF!</definedName>
    <definedName name="thuz">#REF!</definedName>
    <definedName name="ti" localSheetId="9">#REF!</definedName>
    <definedName name="ti">#REF!</definedName>
    <definedName name="tjak" localSheetId="9">#REF!</definedName>
    <definedName name="tjak">#REF!</definedName>
    <definedName name="tjk" localSheetId="9">#REF!</definedName>
    <definedName name="tjk">#REF!</definedName>
    <definedName name="tkl" localSheetId="9">#REF!</definedName>
    <definedName name="tkl">#REF!</definedName>
    <definedName name="tmex" localSheetId="9">#REF!</definedName>
    <definedName name="tmex">#REF!</definedName>
    <definedName name="Tot" localSheetId="9">[25]CostAlloc!#REF!</definedName>
    <definedName name="Tot">[25]CostAlloc!#REF!</definedName>
    <definedName name="total" localSheetId="9">'[26]CA payroll'!#REF!</definedName>
    <definedName name="total">'[26]CA payroll'!#REF!</definedName>
    <definedName name="total1" localSheetId="9">#REF!</definedName>
    <definedName name="total1">#REF!</definedName>
    <definedName name="tpb" localSheetId="9">#REF!</definedName>
    <definedName name="tpb">#REF!</definedName>
    <definedName name="tsgp" localSheetId="9">#REF!</definedName>
    <definedName name="tsgp">#REF!</definedName>
    <definedName name="tsha" localSheetId="9">#REF!</definedName>
    <definedName name="tsha">#REF!</definedName>
    <definedName name="tshaca" localSheetId="9">#REF!</definedName>
    <definedName name="tshaca">#REF!</definedName>
    <definedName name="tsuz" localSheetId="9">#REF!</definedName>
    <definedName name="tsuz">#REF!</definedName>
    <definedName name="tsz" localSheetId="9">#REF!</definedName>
    <definedName name="tsz">#REF!</definedName>
    <definedName name="TTLCOST" localSheetId="9">#REF!</definedName>
    <definedName name="TTLCOST">#REF!</definedName>
    <definedName name="tts" localSheetId="9">#REF!</definedName>
    <definedName name="tts">#REF!</definedName>
    <definedName name="US" localSheetId="9">#REF!</definedName>
    <definedName name="US">#REF!</definedName>
    <definedName name="v" localSheetId="9">'[3]Options-2000'!#REF!</definedName>
    <definedName name="v">'[3]Options-2000'!#REF!</definedName>
    <definedName name="Vacant" localSheetId="9">#REF!,#REF!,#REF!,#REF!,#REF!,#REF!,#REF!,#REF!,#REF!,#REF!</definedName>
    <definedName name="Vacant">#REF!,#REF!,#REF!,#REF!,#REF!,#REF!,#REF!,#REF!,#REF!,#REF!</definedName>
    <definedName name="Victor" localSheetId="9">#REF!,#REF!,#REF!,#REF!,#REF!,#REF!,#REF!,#REF!,#REF!,#REF!,#REF!</definedName>
    <definedName name="Victor">#REF!,#REF!,#REF!,#REF!,#REF!,#REF!,#REF!,#REF!,#REF!,#REF!,#REF!</definedName>
    <definedName name="WAGES" localSheetId="9">#REF!</definedName>
    <definedName name="WAGES">#REF!</definedName>
    <definedName name="WenJian" localSheetId="9">#REF!,#REF!,#REF!,#REF!,#REF!,#REF!,#REF!,#REF!,#REF!,#REF!</definedName>
    <definedName name="WenJian">#REF!,#REF!,#REF!,#REF!,#REF!,#REF!,#REF!,#REF!,#REF!,#REF!</definedName>
    <definedName name="wrn.Aging._.and._.Trend._.Analysis." localSheetId="9" hidden="1">{#N/A,#N/A,FALSE,"Aging Summary";#N/A,#N/A,FALSE,"Ratio Analysis";#N/A,#N/A,FALSE,"Test 120 Day Accts";#N/A,#N/A,FALSE,"Tickmarks"}</definedName>
    <definedName name="wrn.Aging._.and._.Trend._.Analysis." hidden="1">{#N/A,#N/A,FALSE,"Aging Summary";#N/A,#N/A,FALSE,"Ratio Analysis";#N/A,#N/A,FALSE,"Test 120 Day Accts";#N/A,#N/A,FALSE,"Tickmarks"}</definedName>
    <definedName name="x" localSheetId="9">'[3]Options-2000'!#REF!</definedName>
    <definedName name="x">'[3]Options-2000'!#REF!</definedName>
    <definedName name="ZhangQing" localSheetId="9">#REF!,#REF!,#REF!,#REF!,#REF!,#REF!,#REF!,#REF!,#REF!,#REF!</definedName>
    <definedName name="ZhangQing">#REF!,#REF!,#REF!,#REF!,#REF!,#REF!,#REF!,#REF!,#REF!,#REF!</definedName>
    <definedName name="单价" localSheetId="9">#REF!</definedName>
    <definedName name="单价">#REF!</definedName>
    <definedName name="单价1" localSheetId="9">#REF!</definedName>
    <definedName name="单价1">#REF!</definedName>
    <definedName name="单价2" localSheetId="9">#REF!</definedName>
    <definedName name="单价2">#REF!</definedName>
  </definedNames>
  <calcPr calcId="144525"/>
</workbook>
</file>

<file path=xl/calcChain.xml><?xml version="1.0" encoding="utf-8"?>
<calcChain xmlns="http://schemas.openxmlformats.org/spreadsheetml/2006/main">
  <c r="E8" i="2" l="1"/>
  <c r="E16" i="2"/>
  <c r="E15" i="2"/>
  <c r="E14" i="2"/>
  <c r="E13" i="2"/>
  <c r="E12" i="2"/>
  <c r="E11" i="2"/>
  <c r="E10" i="2"/>
  <c r="E9" i="2"/>
  <c r="E8" i="1" l="1"/>
  <c r="E9" i="1"/>
  <c r="E10" i="1"/>
  <c r="E11" i="1"/>
  <c r="E12" i="1"/>
  <c r="E13" i="1"/>
  <c r="E14" i="1"/>
  <c r="E15" i="1"/>
  <c r="E16" i="1"/>
  <c r="E17" i="1"/>
  <c r="E18" i="1"/>
  <c r="E19" i="1"/>
  <c r="E20" i="1"/>
  <c r="E21" i="1"/>
  <c r="F21" i="1"/>
  <c r="F20" i="1"/>
  <c r="F19" i="1"/>
  <c r="F18" i="1"/>
  <c r="F17" i="1"/>
  <c r="F16" i="1"/>
  <c r="F15" i="1"/>
  <c r="F14" i="1"/>
  <c r="F13" i="1"/>
  <c r="F12" i="1"/>
  <c r="F11" i="1"/>
  <c r="F10" i="1"/>
  <c r="F9" i="1"/>
  <c r="F8" i="1"/>
  <c r="F16" i="2"/>
  <c r="F15" i="2"/>
  <c r="F14" i="2"/>
  <c r="F13" i="2"/>
  <c r="F12" i="2"/>
  <c r="F11" i="2"/>
  <c r="F10" i="2"/>
  <c r="F9" i="2"/>
  <c r="F8" i="2"/>
  <c r="H7" i="10"/>
  <c r="L28" i="11"/>
  <c r="J28" i="11"/>
  <c r="H28" i="11"/>
  <c r="F28" i="11"/>
  <c r="L27" i="11"/>
  <c r="J27" i="11"/>
  <c r="H27" i="11"/>
  <c r="F27" i="11"/>
  <c r="L25" i="11"/>
  <c r="J25" i="11"/>
  <c r="H25" i="11"/>
  <c r="F25" i="11"/>
  <c r="L24" i="11"/>
  <c r="J24" i="11"/>
  <c r="H24" i="11"/>
  <c r="F24" i="11"/>
  <c r="L23" i="11"/>
  <c r="J23" i="11"/>
  <c r="H23" i="11"/>
  <c r="F23" i="11"/>
  <c r="L22" i="11"/>
  <c r="J22" i="11"/>
  <c r="H22" i="11"/>
  <c r="F22" i="11"/>
  <c r="L21" i="11"/>
  <c r="J21" i="11"/>
  <c r="H21" i="11"/>
  <c r="F21" i="11"/>
  <c r="L20" i="11"/>
  <c r="J20" i="11"/>
  <c r="H20" i="11"/>
  <c r="F20" i="11"/>
  <c r="L19" i="11"/>
  <c r="J19" i="11"/>
  <c r="H19" i="11"/>
  <c r="F19" i="11"/>
  <c r="L18" i="11"/>
  <c r="J18" i="11"/>
  <c r="H18" i="11"/>
  <c r="F18" i="11"/>
  <c r="L17" i="11"/>
  <c r="J17" i="11"/>
  <c r="H17" i="11"/>
  <c r="F17" i="11"/>
  <c r="L16" i="11"/>
  <c r="J16" i="11"/>
  <c r="H16" i="11"/>
  <c r="F16" i="11"/>
  <c r="L15" i="11"/>
  <c r="J15" i="11"/>
  <c r="H15" i="11"/>
  <c r="F15" i="11"/>
  <c r="L14" i="11"/>
  <c r="J14" i="11"/>
  <c r="H14" i="11"/>
  <c r="F14" i="11"/>
  <c r="L13" i="11"/>
  <c r="J13" i="11"/>
  <c r="H13" i="11"/>
  <c r="F13" i="11"/>
  <c r="L12" i="11"/>
  <c r="J12" i="11"/>
  <c r="H12" i="11"/>
  <c r="F12" i="11"/>
  <c r="L11" i="11"/>
  <c r="J11" i="11"/>
  <c r="H11" i="11"/>
  <c r="F11" i="11"/>
  <c r="L10" i="11"/>
  <c r="J10" i="11"/>
  <c r="H10" i="11"/>
  <c r="F10" i="11"/>
  <c r="L9" i="11"/>
  <c r="J9" i="11"/>
  <c r="H9" i="11"/>
  <c r="F9" i="11"/>
  <c r="L8" i="11"/>
  <c r="J8" i="11"/>
  <c r="H8" i="11"/>
  <c r="F8" i="11"/>
  <c r="L7" i="11"/>
  <c r="J7" i="11"/>
  <c r="H7" i="11"/>
  <c r="F7" i="11"/>
  <c r="L6" i="11"/>
  <c r="J6" i="11"/>
  <c r="H6" i="11"/>
  <c r="F6" i="11"/>
  <c r="L5" i="11"/>
  <c r="J5" i="11"/>
  <c r="H5" i="11"/>
  <c r="F5" i="11"/>
</calcChain>
</file>

<file path=xl/comments1.xml><?xml version="1.0" encoding="utf-8"?>
<comments xmlns="http://schemas.openxmlformats.org/spreadsheetml/2006/main">
  <authors>
    <author>TC</author>
  </authors>
  <commentList>
    <comment ref="L6" authorId="0">
      <text>
        <r>
          <rPr>
            <b/>
            <sz val="9"/>
            <color indexed="81"/>
            <rFont val="Tahoma"/>
            <family val="2"/>
          </rPr>
          <t>Yu Yu San: Can input manual in CPQ</t>
        </r>
      </text>
    </comment>
  </commentList>
</comments>
</file>

<file path=xl/comments2.xml><?xml version="1.0" encoding="utf-8"?>
<comments xmlns="http://schemas.openxmlformats.org/spreadsheetml/2006/main">
  <authors>
    <author>TC</author>
  </authors>
  <commentList>
    <comment ref="L6" authorId="0">
      <text>
        <r>
          <rPr>
            <b/>
            <sz val="9"/>
            <color indexed="81"/>
            <rFont val="Tahoma"/>
            <family val="2"/>
          </rPr>
          <t xml:space="preserve">Yu Yu San: Can input manual in CPQ
</t>
        </r>
        <r>
          <rPr>
            <sz val="9"/>
            <color indexed="81"/>
            <rFont val="Tahoma"/>
            <family val="2"/>
          </rPr>
          <t xml:space="preserve">
</t>
        </r>
      </text>
    </comment>
    <comment ref="N6" authorId="0">
      <text>
        <r>
          <rPr>
            <b/>
            <sz val="9"/>
            <color indexed="81"/>
            <rFont val="Tahoma"/>
            <family val="2"/>
          </rPr>
          <t>Yu Yu San: Can input manual in CPQ</t>
        </r>
        <r>
          <rPr>
            <sz val="9"/>
            <color indexed="81"/>
            <rFont val="Tahoma"/>
            <family val="2"/>
          </rPr>
          <t xml:space="preserve">
</t>
        </r>
      </text>
    </comment>
  </commentList>
</comments>
</file>

<file path=xl/comments3.xml><?xml version="1.0" encoding="utf-8"?>
<comments xmlns="http://schemas.openxmlformats.org/spreadsheetml/2006/main">
  <authors>
    <author>TC</author>
  </authors>
  <commentList>
    <comment ref="L2" authorId="0">
      <text>
        <r>
          <rPr>
            <b/>
            <sz val="9"/>
            <color indexed="81"/>
            <rFont val="Tahoma"/>
            <family val="2"/>
          </rPr>
          <t xml:space="preserve">Yu Yu San: Can input manual in CPQ
</t>
        </r>
        <r>
          <rPr>
            <sz val="9"/>
            <color indexed="81"/>
            <rFont val="Tahoma"/>
            <family val="2"/>
          </rPr>
          <t xml:space="preserve">
</t>
        </r>
      </text>
    </comment>
    <comment ref="N2" authorId="0">
      <text>
        <r>
          <rPr>
            <b/>
            <sz val="9"/>
            <color indexed="81"/>
            <rFont val="Tahoma"/>
            <family val="2"/>
          </rPr>
          <t>Yu Yu San: Can input manual in CPQ</t>
        </r>
        <r>
          <rPr>
            <sz val="9"/>
            <color indexed="81"/>
            <rFont val="Tahoma"/>
            <family val="2"/>
          </rPr>
          <t xml:space="preserve">
</t>
        </r>
      </text>
    </comment>
  </commentList>
</comments>
</file>

<file path=xl/sharedStrings.xml><?xml version="1.0" encoding="utf-8"?>
<sst xmlns="http://schemas.openxmlformats.org/spreadsheetml/2006/main" count="661" uniqueCount="367">
  <si>
    <t>Machine</t>
  </si>
  <si>
    <t>Machine Description</t>
  </si>
  <si>
    <t>Process Type</t>
  </si>
  <si>
    <t>MSU RATE A
 [US$/hr]</t>
  </si>
  <si>
    <t>MSU RATE B
 [US$/hr]</t>
  </si>
  <si>
    <t>MSU RATE C
 [US$/hr]</t>
  </si>
  <si>
    <t>MSU RATE D
 [US$/hr]</t>
  </si>
  <si>
    <t>MSU RATE E 
[US$/hr]</t>
  </si>
  <si>
    <t>MSU RATE Z
[US$ / hr]</t>
  </si>
  <si>
    <t xml:space="preserve"> Labour
[US$ / hr]</t>
  </si>
  <si>
    <t>Labour Head Count / Hr
[Man Power]</t>
  </si>
  <si>
    <t>Setup 
[US$ / hr]</t>
  </si>
  <si>
    <t>Qc
[US$ / hr]</t>
  </si>
  <si>
    <t>Setup Time
(Hr)</t>
  </si>
  <si>
    <t>Profit Cube Rate
 (No depriciation)</t>
  </si>
  <si>
    <t>Process Labour Cost per Hour</t>
  </si>
  <si>
    <t>Total Labour to operate a Machine for one hour in hours</t>
  </si>
  <si>
    <t>SU Cost per Hour</t>
  </si>
  <si>
    <t>SU Time in Hours</t>
  </si>
  <si>
    <t>Machine Cost / pc</t>
  </si>
  <si>
    <t>We check how many loads are required. If MOQ is lesser than the Qty / load, we will still use one full load. The full time per MOQ is calculated and the costs are divided by the MOQ</t>
  </si>
  <si>
    <t>Setup Cost / pc</t>
  </si>
  <si>
    <t>We first calculate how many setups are required for the MOQ. Number of Setups is multiplied with the Setup time and Rate and divided by MOQ</t>
  </si>
  <si>
    <t>Labour Cost / pc</t>
  </si>
  <si>
    <t>Labour cost depend on the Head count assigned to the process and the number per run. Then divided by the MOQ. No inline Packaging is assigned, only the operator. Inline packaging will be another process.</t>
  </si>
  <si>
    <t>Additional Cost / pc</t>
  </si>
  <si>
    <t>Fix items that are not in the MSU can be added inside additional costs. E.g. special tooling like expensive drills that need to be replaced after producing a certain amount</t>
  </si>
  <si>
    <t>Quality Cost / pc</t>
  </si>
  <si>
    <t>Quality work with the time required for quality. This inspection needs to be done when each run starts.</t>
  </si>
  <si>
    <t>Setup Time (hr)</t>
  </si>
  <si>
    <t>Qty per Hr first calculate with 3600 divided by Cycle Time. If there is Effiency and cavity , Qty per Hr is mutipled with cavity and effiency%. Machine Cost/Pc is calculated MSU Rate divided by Qty per Hr.</t>
  </si>
  <si>
    <t>Qty per Hr first calculate with Strokes Per Minute is multipled with 60. Machine Cost/Pc is calculated MSU Rate divided by Qty per Hr.</t>
  </si>
  <si>
    <t>US$</t>
  </si>
  <si>
    <t>selfEvaporatingOilFinishingRate [US$]</t>
  </si>
  <si>
    <t>Self Evaporating Oil Finshing Rate</t>
  </si>
  <si>
    <t>degreasingFinishingRate  [US$]</t>
  </si>
  <si>
    <t>Degreasing Finishing Rate</t>
  </si>
  <si>
    <t>labourCostAssembly  [US$]</t>
  </si>
  <si>
    <t>Labour Cost (Assembly) for Assembly Process</t>
  </si>
  <si>
    <t>labourCostEngineering  [US$]</t>
  </si>
  <si>
    <t>Labour Cost (Engineering)</t>
  </si>
  <si>
    <t>labourCostFloorArea  [US$]</t>
  </si>
  <si>
    <t xml:space="preserve">Floor Area Cost per sq meter </t>
  </si>
  <si>
    <t>New Investment</t>
  </si>
  <si>
    <t>factoryElectricalPower [US$]</t>
  </si>
  <si>
    <t>Electrical Cost / kwh</t>
  </si>
  <si>
    <t>factoryWaterCuM [US$]</t>
  </si>
  <si>
    <t>Water/ Coolant Rate per Cu.m</t>
  </si>
  <si>
    <t>factoryAllowancePercent [%]</t>
  </si>
  <si>
    <t>Allowance Percent for Direct Labour ( the data is needed to calculate Allowance / Month)</t>
  </si>
  <si>
    <t>factoryEmpContrPercent [%]</t>
  </si>
  <si>
    <t>Emp Contr Percent for Direct Labour (the data is needed to calculate Emp Contr/Month)</t>
  </si>
  <si>
    <t>mcOperatorBasicSalaryPerMth  [US$]</t>
  </si>
  <si>
    <t>M/C Operators Basic Salary Per Month</t>
  </si>
  <si>
    <t>packerBasicSalaryPerMth  [US$]</t>
  </si>
  <si>
    <t>Packer  Basic Salary Per Month</t>
  </si>
  <si>
    <t>materialHandlerBasicSalaryPerMth  [US$]</t>
  </si>
  <si>
    <t>Material Handler Basic Salary Per Month</t>
  </si>
  <si>
    <t>qcInspectorBasicSalaryPerMth  [US$]</t>
  </si>
  <si>
    <t>QC Inspector  Basic Salary Per Month</t>
  </si>
  <si>
    <t>clerkBasicSalaryPerMth  [US$]</t>
  </si>
  <si>
    <t>Clerk  Basic Salary Per Month</t>
  </si>
  <si>
    <t>storeKeeperBasicSalaryPerMth  [US$]</t>
  </si>
  <si>
    <t>Store Keeper Basic Salary Per Month</t>
  </si>
  <si>
    <t>driverBasicSalaryPerMth  [US$]</t>
  </si>
  <si>
    <t>Driver Basic Salary Per Month</t>
  </si>
  <si>
    <t>leaderBasicSalaryPerMth  [US$]</t>
  </si>
  <si>
    <t>Leader Basic Salary Per Month</t>
  </si>
  <si>
    <t>technicianBasicSalaryPerMth  [US$]</t>
  </si>
  <si>
    <t>Techinician / set up Basic Salary Per Month</t>
  </si>
  <si>
    <t>buyerBasicSalaryPerMth  [US$]</t>
  </si>
  <si>
    <t>Buyer Basic Salary Per Month</t>
  </si>
  <si>
    <t>supervisorBasicSalaryPerMth  [US$]</t>
  </si>
  <si>
    <t>Supervisor Basic Salary Per Month</t>
  </si>
  <si>
    <t>processEngineerBasicSalaryPerMth  [US$]</t>
  </si>
  <si>
    <t>Process Engineer Basic Salary Per Month</t>
  </si>
  <si>
    <t>Labour Operation (LO)</t>
  </si>
  <si>
    <t>Labour Packaging (LP)</t>
  </si>
  <si>
    <t>Labour Quality (LQ)</t>
  </si>
  <si>
    <t>DIR. LABOR-STAMP</t>
  </si>
  <si>
    <t>DIR. LABOR-PACKING</t>
  </si>
  <si>
    <t>QA / LOAD-STAMP</t>
  </si>
  <si>
    <t>Capacity
[SPM,Surface Area]</t>
  </si>
  <si>
    <t>Process Rate per Capacity</t>
  </si>
  <si>
    <t>Cost/Stroke or Mins or SurfaceArea</t>
  </si>
  <si>
    <t>A200T1</t>
  </si>
  <si>
    <t>A200T2</t>
  </si>
  <si>
    <t>A300T</t>
  </si>
  <si>
    <t>A500T</t>
  </si>
  <si>
    <t>M160T</t>
  </si>
  <si>
    <t>S110T</t>
  </si>
  <si>
    <t>S60T</t>
  </si>
  <si>
    <t>C75300T</t>
  </si>
  <si>
    <t>C75400T</t>
  </si>
  <si>
    <t>P200T 工作中心（小台面）</t>
  </si>
  <si>
    <t>P200T 工作中心（大台面）</t>
  </si>
  <si>
    <t>P300T 工作中心</t>
  </si>
  <si>
    <t>M160T 工作中心(单动)</t>
  </si>
  <si>
    <t>110T高速冲压</t>
  </si>
  <si>
    <t>60T高速冲压</t>
  </si>
  <si>
    <t>Progressive</t>
  </si>
  <si>
    <t>Manual</t>
  </si>
  <si>
    <t>P500T 工作中心</t>
  </si>
  <si>
    <t>TNX-300T冲床 （Haier）</t>
  </si>
  <si>
    <t>TNX-400T冲床 （Haier）</t>
  </si>
  <si>
    <t>ZM1</t>
  </si>
  <si>
    <t>ZM2</t>
  </si>
  <si>
    <t>ZM3</t>
  </si>
  <si>
    <t>ZM4</t>
  </si>
  <si>
    <t>SR1</t>
  </si>
  <si>
    <t>SR2</t>
  </si>
  <si>
    <t>CH1</t>
  </si>
  <si>
    <t>XS1</t>
  </si>
  <si>
    <t>TM</t>
  </si>
  <si>
    <t>TP1</t>
  </si>
  <si>
    <t>TP2</t>
  </si>
  <si>
    <t>JM</t>
  </si>
  <si>
    <t>PT1</t>
  </si>
  <si>
    <t>PT2</t>
  </si>
  <si>
    <t>螺旋振磨100L</t>
  </si>
  <si>
    <t>螺旋振磨300L</t>
  </si>
  <si>
    <t>涡流振磨</t>
  </si>
  <si>
    <t>滚桶振磨</t>
  </si>
  <si>
    <t>旋铆 BTO-161</t>
  </si>
  <si>
    <t>旋铆 BR1-103</t>
  </si>
  <si>
    <t>高速冷镦机</t>
  </si>
  <si>
    <t>吸塑成型机</t>
  </si>
  <si>
    <t>单轴攻丝</t>
  </si>
  <si>
    <t>6轴攻丝</t>
  </si>
  <si>
    <t>10轴攻丝</t>
  </si>
  <si>
    <t>砂带机</t>
  </si>
  <si>
    <t>内部电镀</t>
  </si>
  <si>
    <t>Tapping</t>
  </si>
  <si>
    <t>TBA</t>
  </si>
  <si>
    <t>Cold Forging</t>
  </si>
  <si>
    <t>Plastic Forming</t>
  </si>
  <si>
    <t>Thunbling</t>
  </si>
  <si>
    <t>Plating</t>
  </si>
  <si>
    <t>Cost Components excluded in MSU Calculation:</t>
  </si>
  <si>
    <t>EXCL:</t>
  </si>
  <si>
    <t>none</t>
  </si>
  <si>
    <t>-------------------</t>
  </si>
  <si>
    <t>-----------------------------</t>
  </si>
  <si>
    <t>---------------------</t>
  </si>
  <si>
    <t>workstation</t>
  </si>
  <si>
    <t>MSU</t>
  </si>
  <si>
    <t>cost</t>
  </si>
  <si>
    <t>pci:WS_A300T_HITL</t>
  </si>
  <si>
    <t>pcs-kb:WS_A300T_HITL_COST_D</t>
  </si>
  <si>
    <t>pcs-kb:WS_A300T_HITL_COST_C</t>
  </si>
  <si>
    <t>pcs-kb:WS_A300T_HITL_COST_B</t>
  </si>
  <si>
    <t>pcs-kb:WS_A300T_HITL_COST_A</t>
  </si>
  <si>
    <t>pci:WS_S110T</t>
  </si>
  <si>
    <t>pcs-kb:WS_S110T_COST_A</t>
  </si>
  <si>
    <t>pcs-kb:WS_S110T_COST_D</t>
  </si>
  <si>
    <t>pcs-kb:WS_S110T_COST_C</t>
  </si>
  <si>
    <t>pcs-kb:WS_S110T_COST_B</t>
  </si>
  <si>
    <t>pci:WS_C75400T</t>
  </si>
  <si>
    <t>pcs-kb:WS_C75400T_COST_A</t>
  </si>
  <si>
    <t>pcs-kb:WS_C75400T_COST_D</t>
  </si>
  <si>
    <t>pcs-kb:WS_C75400T_COST_C</t>
  </si>
  <si>
    <t>pcs-kb:WS_C75400T_COST_B</t>
  </si>
  <si>
    <t>pci:WS_S60T</t>
  </si>
  <si>
    <t>pcs-kb:WS_S60T_COST_D</t>
  </si>
  <si>
    <t>pcs-kb:WS_S60T_COST_A</t>
  </si>
  <si>
    <t>pcs-kb:WS_S60T_COST_C</t>
  </si>
  <si>
    <t>pcs-kb:WS_S60T_COST_B</t>
  </si>
  <si>
    <t>pci:WS_C75300T</t>
  </si>
  <si>
    <t>pcs-kb:WS_C75300T_COST_D</t>
  </si>
  <si>
    <t>pcs-kb:WS_C75300T_COST_B</t>
  </si>
  <si>
    <t>pcs-kb:WS_C75300T_COST_A</t>
  </si>
  <si>
    <t>pcs-kb:WS_C75300T_COST_C</t>
  </si>
  <si>
    <t>pci:WS_A200T2</t>
  </si>
  <si>
    <t>pcs-kb:WS_A200T2_COST_D</t>
  </si>
  <si>
    <t>pcs-kb:WS_A200T2_COST_A</t>
  </si>
  <si>
    <t>pcs-kb:WS_A200T2_COST_C</t>
  </si>
  <si>
    <t>pcs-kb:WS_A200T2_COST_B</t>
  </si>
  <si>
    <t>pci:WS_M160T</t>
  </si>
  <si>
    <t>pcs-kb:WS_M160T_COST_D</t>
  </si>
  <si>
    <t>pcs-kb:WS_M160T_COST_C</t>
  </si>
  <si>
    <t>pcs-kb:WS_M160T_COST_B</t>
  </si>
  <si>
    <t>pcs-kb:WS_M160T_COST_A</t>
  </si>
  <si>
    <t>pci:WS_A200T1</t>
  </si>
  <si>
    <t>pcs-kb:WS_A200T1_COST_B</t>
  </si>
  <si>
    <t>pcs-kb:WS_A200T1_COST_D</t>
  </si>
  <si>
    <t>pcs-kb:WS_A200T1_COST_A</t>
  </si>
  <si>
    <t>pcs-kb:WS_A200T1_COST_C</t>
  </si>
  <si>
    <t>pci:WS_A500T</t>
  </si>
  <si>
    <t>pcs-kb:WS_A500T_COST_B</t>
  </si>
  <si>
    <t>pcs-kb:WS_A500T_COST_C</t>
  </si>
  <si>
    <t>pcs-kb:WS_A500T_COST_A</t>
  </si>
  <si>
    <t>pcs-kb:WS_A500T_COST_D</t>
  </si>
  <si>
    <t>-------------</t>
  </si>
  <si>
    <t>pci:WS_TP2</t>
  </si>
  <si>
    <t>pcs-kb:WS_TP2_COST_C</t>
  </si>
  <si>
    <t>pcs-kb:WS_TP2_COST_D</t>
  </si>
  <si>
    <t>pcs-kb:WS_TP2_COST_B</t>
  </si>
  <si>
    <t>pcs-kb:WS_TP2_COST_A</t>
  </si>
  <si>
    <t>pci:WS_ZM2</t>
  </si>
  <si>
    <t>pcs-kb:WS_ZM2_COST_B</t>
  </si>
  <si>
    <t>pcs-kb:WS_ZM2_COST_A</t>
  </si>
  <si>
    <t>pcs-kb:WS_ZM2_COST_D</t>
  </si>
  <si>
    <t>pcs-kb:WS_ZM2_COST_C</t>
  </si>
  <si>
    <t>pci:WS_SR2</t>
  </si>
  <si>
    <t>pcs-kb:WS_SR2_COST_C</t>
  </si>
  <si>
    <t>pcs-kb:WS_SR2_COST_A</t>
  </si>
  <si>
    <t>pcs-kb:WS_SR2_COST_D</t>
  </si>
  <si>
    <t>pcs-kb:WS_SR2_COST_B</t>
  </si>
  <si>
    <t>pci:WS_ZM4</t>
  </si>
  <si>
    <t>pcs-kb:WS_ZM4_COST_D</t>
  </si>
  <si>
    <t>pcs-kb:WS_ZM4_COST_B</t>
  </si>
  <si>
    <t>pcs-kb:WS_ZM4_COST_C</t>
  </si>
  <si>
    <t>pcs-kb:WS_ZM4_COST_A</t>
  </si>
  <si>
    <t>pci:WS_ZM1</t>
  </si>
  <si>
    <t>pcs-kb:WS_ZM1_COST_D</t>
  </si>
  <si>
    <t>pcs-kb:WS_ZM1_COST_B</t>
  </si>
  <si>
    <t>pcs-kb:WS_ZM1_COST_A</t>
  </si>
  <si>
    <t>pcs-kb:WS_ZM1_COST_C</t>
  </si>
  <si>
    <t>pci:WS_XS1</t>
  </si>
  <si>
    <t>pcs-kb:WS_XS1_COST_B</t>
  </si>
  <si>
    <t>pcs-kb:WS_XS1_COST_D</t>
  </si>
  <si>
    <t>pcs-kb:WS_XS1_COST_A</t>
  </si>
  <si>
    <t>pcs-kb:WS_XS1_COST_C</t>
  </si>
  <si>
    <t>pci:WS_PT2</t>
  </si>
  <si>
    <t>pcs-kb:WS_PT2_COST_B</t>
  </si>
  <si>
    <t>pcs-kb:WS_PT2_COST_C</t>
  </si>
  <si>
    <t>pcs-kb:WS_PT2_COST_D</t>
  </si>
  <si>
    <t>pcs-kb:WS_PT2_COST_A</t>
  </si>
  <si>
    <t>pci:WS_SR1</t>
  </si>
  <si>
    <t>pcs-kb:WS_SR1_COST_D</t>
  </si>
  <si>
    <t>pcs-kb:WS_SR1_COST_A</t>
  </si>
  <si>
    <t>pcs-kb:WS_SR1_COST_B</t>
  </si>
  <si>
    <t>pcs-kb:WS_SR1_COST_C</t>
  </si>
  <si>
    <t>pci:WS_ZM3</t>
  </si>
  <si>
    <t>pcs-kb:WS_ZM3_COST_A</t>
  </si>
  <si>
    <t>pcs-kb:WS_ZM3_COST_B</t>
  </si>
  <si>
    <t>pcs-kb:WS_ZM3_COST_D</t>
  </si>
  <si>
    <t>pcs-kb:WS_ZM3_COST_C</t>
  </si>
  <si>
    <t>pci:WS_PT1</t>
  </si>
  <si>
    <t>pcs-kb:WS_PT1_COST_D</t>
  </si>
  <si>
    <t>pcs-kb:WS_PT1_COST_B</t>
  </si>
  <si>
    <t>pcs-kb:WS_PT1_COST_C</t>
  </si>
  <si>
    <t>pcs-kb:WS_PT1_COST_A</t>
  </si>
  <si>
    <t>pci:WS_JM</t>
  </si>
  <si>
    <t>pcs-kb:WS_JM_COST_C</t>
  </si>
  <si>
    <t>pcs-kb:WS_JM_COST_D</t>
  </si>
  <si>
    <t>pcs-kb:WS_JM_COST_A</t>
  </si>
  <si>
    <t>pcs-kb:WS_JM_COST_B</t>
  </si>
  <si>
    <t>pci:WS_TM</t>
  </si>
  <si>
    <t>pcs-kb:WS_TM_COST_A</t>
  </si>
  <si>
    <t>pcs-kb:WS_TM_COST_C</t>
  </si>
  <si>
    <t>pcs-kb:WS_TM_COST_B</t>
  </si>
  <si>
    <t>pcs-kb:WS_TM_COST_D</t>
  </si>
  <si>
    <t>pci:WS_TP1</t>
  </si>
  <si>
    <t>pcs-kb:WS_TP1_COST_C</t>
  </si>
  <si>
    <t>pcs-kb:WS_TP1_COST_D</t>
  </si>
  <si>
    <t>pcs-kb:WS_TP1_COST_A</t>
  </si>
  <si>
    <t>pcs-kb:WS_TP1_COST_B</t>
  </si>
  <si>
    <t>pci:WS_CH1</t>
  </si>
  <si>
    <t>pcs-kb:WS_CH1_COST_B</t>
  </si>
  <si>
    <t>pcs-kb:WS_CH1_COST_A</t>
  </si>
  <si>
    <t>pcs-kb:WS_CH1_COST_C</t>
  </si>
  <si>
    <t>pcs-kb:WS_CH1_COST_D</t>
  </si>
  <si>
    <t>Labour Cost (Packaging)</t>
  </si>
  <si>
    <t>labourCostPackaging [US$]</t>
  </si>
  <si>
    <t>Cost Center</t>
  </si>
  <si>
    <t>ActTyp</t>
  </si>
  <si>
    <t>Act. type short text</t>
  </si>
  <si>
    <t>Act. type short text</t>
    <phoneticPr fontId="3" type="noConversion"/>
  </si>
  <si>
    <t>备注</t>
    <phoneticPr fontId="3" type="noConversion"/>
  </si>
  <si>
    <t xml:space="preserve">FY16 Budget </t>
  </si>
  <si>
    <t>3031P3200</t>
  </si>
  <si>
    <t>C4A001</t>
  </si>
  <si>
    <t>Production</t>
  </si>
  <si>
    <t>ADJ. TOOL-STAMP 调模</t>
  </si>
  <si>
    <t>模具直接人员</t>
    <phoneticPr fontId="3" type="noConversion"/>
  </si>
  <si>
    <t>3031P3105</t>
  </si>
  <si>
    <t>C4A101</t>
  </si>
  <si>
    <t>HATL Haier Project</t>
  </si>
  <si>
    <t>3031M1200</t>
  </si>
  <si>
    <t>C4A002</t>
  </si>
  <si>
    <t>Prod Plastic Molding</t>
  </si>
  <si>
    <t>ADJ. TOOL-PLASTIC</t>
  </si>
  <si>
    <t>吸塑人员</t>
    <phoneticPr fontId="3" type="noConversion"/>
  </si>
  <si>
    <t>C4L001</t>
  </si>
  <si>
    <t>DIR. LABOR-STAMP人工</t>
  </si>
  <si>
    <t>冲压直接人员</t>
    <phoneticPr fontId="3" type="noConversion"/>
  </si>
  <si>
    <t>C4L101</t>
  </si>
  <si>
    <t>3031P3201</t>
  </si>
  <si>
    <t>C4L002</t>
  </si>
  <si>
    <t>Plating &amp; Cleaning</t>
  </si>
  <si>
    <t>DIRLABOR-PLATING人工</t>
  </si>
  <si>
    <t>表面处理部直接人员</t>
    <phoneticPr fontId="3" type="noConversion"/>
  </si>
  <si>
    <t>C4L003</t>
  </si>
  <si>
    <t>DIR. LABOR-TAPPING人</t>
  </si>
  <si>
    <t>攻丝、振磨直接人员</t>
    <phoneticPr fontId="3" type="noConversion"/>
  </si>
  <si>
    <t>C4L005</t>
  </si>
  <si>
    <t>DIR. LABOR-ASSEMBLY</t>
    <phoneticPr fontId="3" type="noConversion"/>
  </si>
  <si>
    <t>组装（ 攻丝直接人员）</t>
    <phoneticPr fontId="3" type="noConversion"/>
  </si>
  <si>
    <t>C4L004</t>
  </si>
  <si>
    <t>DIR. LABOR-PACKING人</t>
  </si>
  <si>
    <t>包装直接人员</t>
    <phoneticPr fontId="3" type="noConversion"/>
  </si>
  <si>
    <t>C4L006</t>
  </si>
  <si>
    <t>DIR. LABOR-PLASTIC</t>
    <phoneticPr fontId="3" type="noConversion"/>
  </si>
  <si>
    <t>吸塑直接人员</t>
    <phoneticPr fontId="3" type="noConversion"/>
  </si>
  <si>
    <t>C4Q001</t>
  </si>
  <si>
    <t>QA / LOAD-STAMP 检查</t>
  </si>
  <si>
    <t>品管部直接人员</t>
    <phoneticPr fontId="3" type="noConversion"/>
  </si>
  <si>
    <t>C4Q002</t>
  </si>
  <si>
    <t>QA / LOAD-PLANT 检查</t>
  </si>
  <si>
    <t>C4Q101</t>
  </si>
  <si>
    <t>C4S001</t>
  </si>
  <si>
    <t>SETUP TIME-STAMP上模</t>
  </si>
  <si>
    <t>C4S002</t>
  </si>
  <si>
    <t>SETUP TIME-PLANT上模</t>
  </si>
  <si>
    <t>C4S101</t>
  </si>
  <si>
    <t>模具人员直接人员</t>
    <phoneticPr fontId="3" type="noConversion"/>
  </si>
  <si>
    <t>C4S003</t>
  </si>
  <si>
    <t>SETUP TIME-PLASTIC</t>
  </si>
  <si>
    <r>
      <rPr>
        <b/>
        <sz val="10"/>
        <rFont val="Arial"/>
        <family val="2"/>
      </rPr>
      <t>15.06.08
Activity rate</t>
    </r>
    <r>
      <rPr>
        <sz val="10"/>
        <rFont val="宋体"/>
        <family val="3"/>
        <charset val="134"/>
      </rPr>
      <t/>
    </r>
  </si>
  <si>
    <t>Work center</t>
    <phoneticPr fontId="3" type="noConversion"/>
  </si>
  <si>
    <t>Cost center</t>
    <phoneticPr fontId="3" type="noConversion"/>
  </si>
  <si>
    <t>ActTyp</t>
    <phoneticPr fontId="3" type="noConversion"/>
  </si>
  <si>
    <t>Description</t>
    <phoneticPr fontId="3" type="noConversion"/>
  </si>
  <si>
    <t>Shift</t>
  </si>
  <si>
    <t>Machine direct hour</t>
    <phoneticPr fontId="11" type="noConversion"/>
  </si>
  <si>
    <t>Machine cost per hour</t>
    <phoneticPr fontId="11" type="noConversion"/>
  </si>
  <si>
    <t>Total Marketing cost</t>
  </si>
  <si>
    <t>( USD/H )</t>
    <phoneticPr fontId="3" type="noConversion"/>
  </si>
  <si>
    <t>3031P3200</t>
    <phoneticPr fontId="3" type="noConversion"/>
  </si>
  <si>
    <t>C4M002</t>
  </si>
  <si>
    <t>C4M003</t>
  </si>
  <si>
    <t>C4M004</t>
  </si>
  <si>
    <t>A500T</t>
    <phoneticPr fontId="3" type="noConversion"/>
  </si>
  <si>
    <t>C4M023</t>
  </si>
  <si>
    <r>
      <t xml:space="preserve">P500T </t>
    </r>
    <r>
      <rPr>
        <b/>
        <sz val="9"/>
        <rFont val="宋体"/>
        <family val="3"/>
        <charset val="134"/>
      </rPr>
      <t>工作中心</t>
    </r>
  </si>
  <si>
    <t>C4M001</t>
  </si>
  <si>
    <t>C4M006</t>
  </si>
  <si>
    <t>C4M005</t>
  </si>
  <si>
    <t>3031P3105</t>
    <phoneticPr fontId="3" type="noConversion"/>
  </si>
  <si>
    <t>C4M101</t>
  </si>
  <si>
    <r>
      <t>TNX-300T</t>
    </r>
    <r>
      <rPr>
        <b/>
        <sz val="9"/>
        <rFont val="宋体"/>
        <family val="3"/>
        <charset val="134"/>
      </rPr>
      <t>冲床</t>
    </r>
    <r>
      <rPr>
        <b/>
        <sz val="9"/>
        <rFont val="Arial"/>
        <family val="2"/>
      </rPr>
      <t xml:space="preserve"> </t>
    </r>
    <r>
      <rPr>
        <b/>
        <sz val="9"/>
        <rFont val="宋体"/>
        <family val="3"/>
        <charset val="134"/>
      </rPr>
      <t>（</t>
    </r>
    <r>
      <rPr>
        <b/>
        <sz val="9"/>
        <rFont val="Arial"/>
        <family val="2"/>
      </rPr>
      <t>Haier</t>
    </r>
    <r>
      <rPr>
        <b/>
        <sz val="9"/>
        <rFont val="宋体"/>
        <family val="3"/>
        <charset val="134"/>
      </rPr>
      <t>）</t>
    </r>
  </si>
  <si>
    <t>C4M102</t>
  </si>
  <si>
    <r>
      <t>TNX-400T</t>
    </r>
    <r>
      <rPr>
        <b/>
        <sz val="9"/>
        <rFont val="宋体"/>
        <family val="3"/>
        <charset val="134"/>
      </rPr>
      <t>冲床</t>
    </r>
    <r>
      <rPr>
        <b/>
        <sz val="9"/>
        <rFont val="Arial"/>
        <family val="2"/>
      </rPr>
      <t xml:space="preserve"> </t>
    </r>
    <r>
      <rPr>
        <b/>
        <sz val="9"/>
        <rFont val="宋体"/>
        <family val="3"/>
        <charset val="134"/>
      </rPr>
      <t>（</t>
    </r>
    <r>
      <rPr>
        <b/>
        <sz val="9"/>
        <rFont val="Arial"/>
        <family val="2"/>
      </rPr>
      <t>Haier</t>
    </r>
    <r>
      <rPr>
        <b/>
        <sz val="9"/>
        <rFont val="宋体"/>
        <family val="3"/>
        <charset val="134"/>
      </rPr>
      <t>）</t>
    </r>
  </si>
  <si>
    <t>C4M007</t>
  </si>
  <si>
    <t>C4M008</t>
  </si>
  <si>
    <t>C4M009</t>
  </si>
  <si>
    <t>C4M010</t>
  </si>
  <si>
    <t>C4M011</t>
  </si>
  <si>
    <t>C4M012</t>
  </si>
  <si>
    <t>CH1</t>
    <phoneticPr fontId="3" type="noConversion"/>
  </si>
  <si>
    <t>C4M021</t>
  </si>
  <si>
    <t>高速冷镦机</t>
    <phoneticPr fontId="3" type="noConversion"/>
  </si>
  <si>
    <t>XS1</t>
    <phoneticPr fontId="3" type="noConversion"/>
  </si>
  <si>
    <t>3031M1200</t>
    <phoneticPr fontId="3" type="noConversion"/>
  </si>
  <si>
    <t>C4M022</t>
  </si>
  <si>
    <t>吸塑成型机</t>
    <phoneticPr fontId="3" type="noConversion"/>
  </si>
  <si>
    <t>C4M014</t>
  </si>
  <si>
    <t>C4M015</t>
  </si>
  <si>
    <t>C4M016</t>
  </si>
  <si>
    <t>C4M018</t>
  </si>
  <si>
    <t>PT1</t>
    <phoneticPr fontId="3" type="noConversion"/>
  </si>
  <si>
    <t>3031P3201</t>
    <phoneticPr fontId="3" type="noConversion"/>
  </si>
  <si>
    <t>C4M019</t>
  </si>
  <si>
    <t>内部电镀</t>
    <phoneticPr fontId="3" type="noConversion"/>
  </si>
  <si>
    <t>C4M020</t>
  </si>
  <si>
    <t>Average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</si>
</sst>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_(* \(#,##0.00\);_(* &quot;-&quot;??_);_(@_)"/>
    <numFmt numFmtId="164" formatCode="[$-409]mmm\-yy;@"/>
    <numFmt numFmtId="165" formatCode="#,##0.00_ ;[Red]\-#,##0.00\ "/>
    <numFmt numFmtId="166" formatCode="#,##0.00_ "/>
    <numFmt numFmtId="167" formatCode="_(* #,##0_);_(* \(#,##0\);_(* &quot;-&quot;??_);_(@_)"/>
    <numFmt numFmtId="168" formatCode="_ &quot;¥&quot;* #,##0.00_ ;_ &quot;¥&quot;* \-#,##0.00_ ;_ &quot;¥&quot;* &quot;-&quot;??_ ;_ @_ "/>
  </numFmts>
  <fonts count="22">
    <font>
      <sz val="11"/>
      <color theme="1"/>
      <name val="Calibri"/>
      <family val="2"/>
      <scheme val="minor"/>
    </font>
    <font>
      <sz val="8"/>
      <color theme="1"/>
      <name val="Arial Narrow"/>
      <family val="2"/>
    </font>
    <font>
      <b/>
      <sz val="8"/>
      <color theme="1"/>
      <name val="Arial Narrow"/>
      <family val="2"/>
    </font>
    <font>
      <b/>
      <sz val="9"/>
      <color indexed="81"/>
      <name val="Tahoma"/>
      <family val="2"/>
    </font>
    <font>
      <sz val="9"/>
      <color indexed="81"/>
      <name val="Tahoma"/>
      <family val="2"/>
    </font>
    <font>
      <sz val="11"/>
      <color theme="1"/>
      <name val="Calibri"/>
      <family val="2"/>
      <scheme val="minor"/>
    </font>
    <font>
      <b/>
      <sz val="11"/>
      <color theme="1"/>
      <name val="Calibri"/>
      <family val="2"/>
      <scheme val="minor"/>
    </font>
    <font>
      <sz val="9"/>
      <name val="Arial"/>
      <family val="2"/>
    </font>
    <font>
      <strike/>
      <sz val="11"/>
      <color theme="1"/>
      <name val="Calibri"/>
      <family val="2"/>
      <scheme val="minor"/>
    </font>
    <font>
      <sz val="8"/>
      <color theme="1"/>
      <name val="宋体"/>
      <family val="3"/>
      <charset val="134"/>
    </font>
    <font>
      <sz val="8"/>
      <color rgb="FFFF0000"/>
      <name val="Arial Narrow"/>
      <family val="2"/>
    </font>
    <font>
      <sz val="11"/>
      <color rgb="FF9C6500"/>
      <name val="Calibri"/>
      <family val="2"/>
      <scheme val="minor"/>
    </font>
    <font>
      <sz val="11"/>
      <color theme="1"/>
      <name val="Calibri"/>
      <family val="2"/>
      <charset val="134"/>
      <scheme val="minor"/>
    </font>
    <font>
      <b/>
      <sz val="10"/>
      <name val="Calibri"/>
      <family val="2"/>
    </font>
    <font>
      <b/>
      <sz val="10"/>
      <name val="宋体"/>
      <family val="3"/>
      <charset val="134"/>
    </font>
    <font>
      <sz val="10"/>
      <name val="Arial"/>
      <family val="2"/>
    </font>
    <font>
      <b/>
      <sz val="10"/>
      <name val="Arial"/>
      <family val="2"/>
    </font>
    <font>
      <sz val="10"/>
      <name val="宋体"/>
      <family val="3"/>
      <charset val="134"/>
    </font>
    <font>
      <b/>
      <sz val="9"/>
      <color indexed="22"/>
      <name val="Arial"/>
      <family val="2"/>
    </font>
    <font>
      <b/>
      <sz val="9"/>
      <name val="Arial"/>
      <family val="2"/>
    </font>
    <font>
      <b/>
      <sz val="9"/>
      <name val="宋体"/>
      <family val="3"/>
      <charset val="134"/>
    </font>
    <font>
      <b/>
      <sz val="11"/>
      <color rgb="FF0000FF"/>
      <name val="Calibri"/>
      <family val="2"/>
      <scheme val="minor"/>
    </font>
  </fonts>
  <fills count="11">
    <fill>
      <patternFill patternType="none"/>
    </fill>
    <fill>
      <patternFill patternType="gray125"/>
    </fill>
    <fill>
      <patternFill patternType="solid">
        <fgColor rgb="FF00B050"/>
        <bgColor indexed="64"/>
      </patternFill>
    </fill>
    <fill>
      <patternFill patternType="solid">
        <fgColor rgb="FFFFC00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indexed="11"/>
        <bgColor indexed="64"/>
      </patternFill>
    </fill>
    <fill>
      <patternFill patternType="solid">
        <fgColor indexed="41"/>
        <bgColor indexed="64"/>
      </patternFill>
    </fill>
    <fill>
      <patternFill patternType="solid">
        <fgColor indexed="42"/>
        <bgColor indexed="64"/>
      </patternFill>
    </fill>
    <fill>
      <patternFill patternType="solid">
        <fgColor indexed="51"/>
        <bgColor indexed="64"/>
      </patternFill>
    </fill>
    <fill>
      <patternFill patternType="solid">
        <fgColor rgb="FFFFFF00"/>
        <bgColor indexed="64"/>
      </patternFill>
    </fill>
  </fills>
  <borders count="18">
    <border>
      <left/>
      <right/>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bottom/>
      <diagonal/>
    </border>
    <border>
      <left style="thin">
        <color indexed="64"/>
      </left>
      <right style="thin">
        <color indexed="64"/>
      </right>
      <top/>
      <bottom/>
      <diagonal/>
    </border>
    <border>
      <left style="hair">
        <color indexed="64"/>
      </left>
      <right style="thin">
        <color indexed="64"/>
      </right>
      <top style="thin">
        <color indexed="64"/>
      </top>
      <bottom style="medium">
        <color indexed="64"/>
      </bottom>
      <diagonal/>
    </border>
    <border>
      <left style="hair">
        <color indexed="64"/>
      </left>
      <right/>
      <top style="thin">
        <color indexed="64"/>
      </top>
      <bottom style="medium">
        <color indexed="64"/>
      </bottom>
      <diagonal/>
    </border>
    <border>
      <left style="hair">
        <color indexed="64"/>
      </left>
      <right style="hair">
        <color indexed="64"/>
      </right>
      <top/>
      <bottom/>
      <diagonal/>
    </border>
  </borders>
  <cellStyleXfs count="9">
    <xf numFmtId="0" fontId="0" fillId="0" borderId="0"/>
    <xf numFmtId="0" fontId="1" fillId="0" borderId="0"/>
    <xf numFmtId="43" fontId="5" fillId="0" borderId="0" applyFont="0" applyFill="0" applyBorder="0" applyAlignment="0" applyProtection="0"/>
    <xf numFmtId="164" fontId="12" fillId="0" borderId="0">
      <alignment vertical="center"/>
    </xf>
    <xf numFmtId="164" fontId="15" fillId="0" borderId="0"/>
    <xf numFmtId="43" fontId="15" fillId="0" borderId="0" applyFont="0" applyFill="0" applyBorder="0" applyAlignment="0" applyProtection="0"/>
    <xf numFmtId="43" fontId="15" fillId="0" borderId="0" applyFont="0" applyFill="0" applyBorder="0" applyAlignment="0" applyProtection="0"/>
    <xf numFmtId="164" fontId="5" fillId="0" borderId="0"/>
    <xf numFmtId="9" fontId="15" fillId="0" borderId="0" applyFont="0" applyFill="0" applyBorder="0" applyAlignment="0" applyProtection="0"/>
  </cellStyleXfs>
  <cellXfs count="111">
    <xf numFmtId="0" fontId="0" fillId="0" borderId="0" xfId="0"/>
    <xf numFmtId="0" fontId="0" fillId="0" borderId="1" xfId="0" applyBorder="1"/>
    <xf numFmtId="0" fontId="0" fillId="0" borderId="2" xfId="0" applyBorder="1"/>
    <xf numFmtId="0" fontId="0" fillId="0" borderId="3" xfId="0" applyBorder="1"/>
    <xf numFmtId="0" fontId="0" fillId="0" borderId="3" xfId="0" applyBorder="1" applyAlignment="1">
      <alignment wrapText="1"/>
    </xf>
    <xf numFmtId="0" fontId="0" fillId="0" borderId="4" xfId="0" applyBorder="1" applyAlignment="1">
      <alignment wrapText="1"/>
    </xf>
    <xf numFmtId="0" fontId="0" fillId="0" borderId="5" xfId="0" applyBorder="1"/>
    <xf numFmtId="0" fontId="0" fillId="0" borderId="6" xfId="0" applyBorder="1"/>
    <xf numFmtId="0" fontId="0" fillId="0" borderId="7" xfId="0" applyBorder="1"/>
    <xf numFmtId="0" fontId="2" fillId="2" borderId="7" xfId="1" applyFont="1" applyFill="1" applyBorder="1" applyAlignment="1">
      <alignment wrapText="1"/>
    </xf>
    <xf numFmtId="0" fontId="2" fillId="2" borderId="8" xfId="1" applyFont="1" applyFill="1" applyBorder="1" applyAlignment="1">
      <alignment wrapText="1"/>
    </xf>
    <xf numFmtId="0" fontId="0" fillId="0" borderId="9" xfId="0" applyBorder="1"/>
    <xf numFmtId="0" fontId="0" fillId="0" borderId="10" xfId="0" applyBorder="1"/>
    <xf numFmtId="0" fontId="0" fillId="3" borderId="3" xfId="0" applyFill="1" applyBorder="1" applyAlignment="1">
      <alignment wrapText="1"/>
    </xf>
    <xf numFmtId="0" fontId="2" fillId="2" borderId="11" xfId="1" applyFont="1" applyFill="1" applyBorder="1" applyAlignment="1">
      <alignment wrapText="1"/>
    </xf>
    <xf numFmtId="0" fontId="2" fillId="0" borderId="8" xfId="1" applyFont="1" applyFill="1" applyBorder="1" applyAlignment="1">
      <alignment wrapText="1"/>
    </xf>
    <xf numFmtId="0" fontId="0" fillId="0" borderId="0" xfId="0" applyBorder="1"/>
    <xf numFmtId="0" fontId="0" fillId="0" borderId="12" xfId="0" applyBorder="1"/>
    <xf numFmtId="0" fontId="2" fillId="0" borderId="7" xfId="1" applyFont="1" applyFill="1" applyBorder="1" applyAlignment="1">
      <alignment wrapText="1"/>
    </xf>
    <xf numFmtId="0" fontId="0" fillId="4" borderId="10" xfId="0" applyFill="1" applyBorder="1"/>
    <xf numFmtId="0" fontId="0" fillId="0" borderId="0" xfId="0" applyFont="1"/>
    <xf numFmtId="0" fontId="0" fillId="0" borderId="1" xfId="0" applyFont="1" applyBorder="1"/>
    <xf numFmtId="0" fontId="0" fillId="0" borderId="2" xfId="0" applyFont="1" applyBorder="1"/>
    <xf numFmtId="0" fontId="0" fillId="0" borderId="3" xfId="0" applyFont="1" applyBorder="1"/>
    <xf numFmtId="0" fontId="0" fillId="0" borderId="3" xfId="0" applyFont="1" applyBorder="1" applyAlignment="1">
      <alignment wrapText="1"/>
    </xf>
    <xf numFmtId="0" fontId="0" fillId="3" borderId="3" xfId="0" applyFont="1" applyFill="1" applyBorder="1" applyAlignment="1">
      <alignment wrapText="1"/>
    </xf>
    <xf numFmtId="0" fontId="0" fillId="3" borderId="4" xfId="0" applyFont="1" applyFill="1" applyBorder="1" applyAlignment="1">
      <alignment wrapText="1"/>
    </xf>
    <xf numFmtId="0" fontId="8" fillId="0" borderId="0" xfId="1" applyFont="1" applyAlignment="1">
      <alignment horizontal="center" wrapText="1"/>
    </xf>
    <xf numFmtId="0" fontId="0" fillId="0" borderId="5" xfId="0" applyFont="1" applyBorder="1"/>
    <xf numFmtId="0" fontId="0" fillId="0" borderId="6" xfId="0" applyFont="1" applyBorder="1"/>
    <xf numFmtId="0" fontId="0" fillId="0" borderId="7" xfId="0" applyFont="1" applyBorder="1"/>
    <xf numFmtId="0" fontId="6" fillId="2" borderId="7" xfId="1" applyFont="1" applyFill="1" applyBorder="1" applyAlignment="1">
      <alignment wrapText="1"/>
    </xf>
    <xf numFmtId="0" fontId="6" fillId="2" borderId="8" xfId="1" applyFont="1" applyFill="1" applyBorder="1" applyAlignment="1">
      <alignment wrapText="1"/>
    </xf>
    <xf numFmtId="0" fontId="6" fillId="2" borderId="11" xfId="1" applyFont="1" applyFill="1" applyBorder="1" applyAlignment="1">
      <alignment wrapText="1"/>
    </xf>
    <xf numFmtId="0" fontId="0" fillId="0" borderId="0" xfId="1" applyFont="1" applyFill="1"/>
    <xf numFmtId="43" fontId="8" fillId="0" borderId="13" xfId="2" applyFont="1" applyFill="1" applyBorder="1" applyAlignment="1">
      <alignment horizontal="center"/>
    </xf>
    <xf numFmtId="43" fontId="8" fillId="0" borderId="0" xfId="2" applyFont="1" applyFill="1" applyBorder="1" applyAlignment="1">
      <alignment horizontal="center"/>
    </xf>
    <xf numFmtId="0" fontId="0" fillId="0" borderId="0" xfId="0" applyBorder="1" applyAlignment="1">
      <alignment horizontal="right"/>
    </xf>
    <xf numFmtId="0" fontId="0" fillId="0" borderId="0" xfId="0" applyBorder="1" applyAlignment="1">
      <alignment horizontal="center"/>
    </xf>
    <xf numFmtId="0" fontId="10" fillId="0" borderId="0" xfId="0" applyFont="1" applyBorder="1" applyAlignment="1">
      <alignment horizontal="center"/>
    </xf>
    <xf numFmtId="0" fontId="10" fillId="0" borderId="8" xfId="0" applyFont="1" applyBorder="1" applyAlignment="1">
      <alignment horizontal="center"/>
    </xf>
    <xf numFmtId="0" fontId="0" fillId="0" borderId="3" xfId="0" applyFill="1" applyBorder="1"/>
    <xf numFmtId="0" fontId="7" fillId="0" borderId="3" xfId="0" applyFont="1" applyFill="1" applyBorder="1" applyAlignment="1">
      <alignment vertical="center"/>
    </xf>
    <xf numFmtId="0" fontId="0" fillId="5" borderId="3" xfId="0" applyFont="1" applyFill="1" applyBorder="1"/>
    <xf numFmtId="2" fontId="0" fillId="0" borderId="3" xfId="0" applyNumberFormat="1" applyFill="1" applyBorder="1"/>
    <xf numFmtId="0" fontId="0" fillId="0" borderId="10" xfId="0" applyFill="1" applyBorder="1"/>
    <xf numFmtId="0" fontId="0" fillId="0" borderId="10" xfId="0" applyFont="1" applyFill="1" applyBorder="1"/>
    <xf numFmtId="0" fontId="0" fillId="5" borderId="10" xfId="0" applyFont="1" applyFill="1" applyBorder="1"/>
    <xf numFmtId="2" fontId="0" fillId="0" borderId="10" xfId="0" applyNumberFormat="1" applyFill="1" applyBorder="1"/>
    <xf numFmtId="0" fontId="9" fillId="0" borderId="10" xfId="0" applyFont="1" applyFill="1" applyBorder="1"/>
    <xf numFmtId="0" fontId="0" fillId="5" borderId="10" xfId="0" applyFill="1" applyBorder="1"/>
    <xf numFmtId="43" fontId="0" fillId="0" borderId="3" xfId="2" applyFont="1" applyFill="1" applyBorder="1" applyAlignment="1">
      <alignment horizontal="center"/>
    </xf>
    <xf numFmtId="43" fontId="0" fillId="0" borderId="10" xfId="2" applyFont="1" applyFill="1" applyBorder="1" applyAlignment="1">
      <alignment horizontal="center"/>
    </xf>
    <xf numFmtId="0" fontId="0" fillId="0" borderId="3" xfId="0" applyFont="1" applyFill="1" applyBorder="1"/>
    <xf numFmtId="0" fontId="8" fillId="0" borderId="0" xfId="1" applyFont="1" applyFill="1" applyAlignment="1">
      <alignment horizontal="center" wrapText="1"/>
    </xf>
    <xf numFmtId="0" fontId="0" fillId="0" borderId="0" xfId="0" applyFont="1" applyFill="1"/>
    <xf numFmtId="0" fontId="0" fillId="3" borderId="0" xfId="0" applyFill="1"/>
    <xf numFmtId="0" fontId="6" fillId="0" borderId="0" xfId="0" applyFont="1"/>
    <xf numFmtId="0" fontId="0" fillId="0" borderId="14" xfId="0" applyFill="1" applyBorder="1"/>
    <xf numFmtId="0" fontId="0" fillId="0" borderId="3" xfId="0" applyFill="1" applyBorder="1" applyAlignment="1">
      <alignment wrapText="1"/>
    </xf>
    <xf numFmtId="164" fontId="13" fillId="0" borderId="0" xfId="3" applyFont="1" applyFill="1" applyAlignment="1">
      <alignment vertical="center"/>
    </xf>
    <xf numFmtId="164" fontId="13" fillId="0" borderId="0" xfId="3" applyFont="1" applyFill="1" applyAlignment="1">
      <alignment horizontal="center" vertical="center"/>
    </xf>
    <xf numFmtId="164" fontId="13" fillId="0" borderId="0" xfId="3" applyFont="1" applyFill="1" applyAlignment="1">
      <alignment horizontal="left" vertical="center"/>
    </xf>
    <xf numFmtId="164" fontId="14" fillId="0" borderId="0" xfId="3" applyFont="1" applyFill="1" applyAlignment="1">
      <alignment horizontal="left" vertical="center"/>
    </xf>
    <xf numFmtId="165" fontId="13" fillId="0" borderId="0" xfId="3" applyNumberFormat="1" applyFont="1" applyFill="1" applyAlignment="1">
      <alignment horizontal="center" vertical="center"/>
    </xf>
    <xf numFmtId="164" fontId="16" fillId="0" borderId="0" xfId="4" applyFont="1" applyFill="1"/>
    <xf numFmtId="164" fontId="15" fillId="0" borderId="0" xfId="4" applyFill="1" applyAlignment="1">
      <alignment vertical="center"/>
    </xf>
    <xf numFmtId="164" fontId="15" fillId="0" borderId="0" xfId="4" applyFill="1" applyAlignment="1">
      <alignment horizontal="center" vertical="center"/>
    </xf>
    <xf numFmtId="164" fontId="17" fillId="0" borderId="0" xfId="4" applyFont="1" applyFill="1" applyAlignment="1">
      <alignment horizontal="left" vertical="center"/>
    </xf>
    <xf numFmtId="165" fontId="15" fillId="0" borderId="0" xfId="4" applyNumberFormat="1" applyFont="1" applyFill="1" applyAlignment="1">
      <alignment horizontal="center"/>
    </xf>
    <xf numFmtId="164" fontId="15" fillId="0" borderId="0" xfId="4" applyFont="1" applyFill="1"/>
    <xf numFmtId="164" fontId="15" fillId="0" borderId="0" xfId="4" applyFont="1" applyFill="1" applyAlignment="1">
      <alignment horizontal="center"/>
    </xf>
    <xf numFmtId="166" fontId="15" fillId="0" borderId="0" xfId="4" applyNumberFormat="1" applyFont="1" applyFill="1" applyAlignment="1">
      <alignment horizontal="center"/>
    </xf>
    <xf numFmtId="166" fontId="17" fillId="0" borderId="0" xfId="4" applyNumberFormat="1" applyFont="1" applyFill="1" applyAlignment="1">
      <alignment horizontal="left"/>
    </xf>
    <xf numFmtId="165" fontId="17" fillId="0" borderId="0" xfId="4" applyNumberFormat="1" applyFont="1" applyFill="1" applyAlignment="1">
      <alignment horizontal="left"/>
    </xf>
    <xf numFmtId="164" fontId="15" fillId="0" borderId="0" xfId="4" applyFont="1" applyFill="1" applyAlignment="1">
      <alignment horizontal="left"/>
    </xf>
    <xf numFmtId="164" fontId="15" fillId="0" borderId="0" xfId="4"/>
    <xf numFmtId="164" fontId="15" fillId="0" borderId="0" xfId="4" applyAlignment="1"/>
    <xf numFmtId="164" fontId="14" fillId="6" borderId="0" xfId="4" applyFont="1" applyFill="1" applyAlignment="1">
      <alignment horizontal="center" wrapText="1"/>
    </xf>
    <xf numFmtId="167" fontId="0" fillId="0" borderId="0" xfId="5" applyNumberFormat="1" applyFont="1" applyAlignment="1">
      <alignment vertical="center"/>
    </xf>
    <xf numFmtId="164" fontId="15" fillId="0" borderId="0" xfId="4" applyAlignment="1">
      <alignment vertical="center"/>
    </xf>
    <xf numFmtId="38" fontId="18" fillId="7" borderId="15" xfId="5" applyNumberFormat="1" applyFont="1" applyFill="1" applyBorder="1" applyAlignment="1">
      <alignment horizontal="center" vertical="center" wrapText="1"/>
    </xf>
    <xf numFmtId="164" fontId="19" fillId="0" borderId="0" xfId="4" applyFont="1" applyBorder="1" applyAlignment="1">
      <alignment horizontal="center" vertical="center" wrapText="1"/>
    </xf>
    <xf numFmtId="43" fontId="19" fillId="8" borderId="16" xfId="5" applyFont="1" applyFill="1" applyBorder="1" applyAlignment="1">
      <alignment horizontal="center" vertical="center" wrapText="1"/>
    </xf>
    <xf numFmtId="167" fontId="19" fillId="8" borderId="16" xfId="5" applyNumberFormat="1" applyFont="1" applyFill="1" applyBorder="1" applyAlignment="1">
      <alignment horizontal="center" vertical="center" wrapText="1"/>
    </xf>
    <xf numFmtId="38" fontId="18" fillId="7" borderId="0" xfId="5" applyNumberFormat="1" applyFont="1" applyFill="1" applyBorder="1" applyAlignment="1">
      <alignment horizontal="center" vertical="center" wrapText="1"/>
    </xf>
    <xf numFmtId="38" fontId="19" fillId="7" borderId="0" xfId="5" applyNumberFormat="1" applyFont="1" applyFill="1" applyBorder="1" applyAlignment="1">
      <alignment horizontal="center" vertical="center" wrapText="1"/>
    </xf>
    <xf numFmtId="164" fontId="15" fillId="0" borderId="0" xfId="4" applyAlignment="1">
      <alignment horizontal="center" vertical="center"/>
    </xf>
    <xf numFmtId="164" fontId="19" fillId="0" borderId="17" xfId="4" applyFont="1" applyBorder="1" applyAlignment="1">
      <alignment vertical="center"/>
    </xf>
    <xf numFmtId="167" fontId="19" fillId="0" borderId="17" xfId="5" applyNumberFormat="1" applyFont="1" applyBorder="1" applyAlignment="1">
      <alignment horizontal="center" vertical="center"/>
    </xf>
    <xf numFmtId="43" fontId="19" fillId="0" borderId="17" xfId="5" applyFont="1" applyBorder="1" applyAlignment="1">
      <alignment horizontal="center" vertical="center"/>
    </xf>
    <xf numFmtId="43" fontId="0" fillId="0" borderId="0" xfId="5" applyFont="1" applyAlignment="1">
      <alignment horizontal="center" vertical="center"/>
    </xf>
    <xf numFmtId="167" fontId="0" fillId="0" borderId="0" xfId="5" applyNumberFormat="1" applyFont="1" applyFill="1" applyAlignment="1">
      <alignment vertical="center"/>
    </xf>
    <xf numFmtId="164" fontId="19" fillId="0" borderId="17" xfId="4" applyFont="1" applyFill="1" applyBorder="1" applyAlignment="1">
      <alignment vertical="center"/>
    </xf>
    <xf numFmtId="167" fontId="19" fillId="0" borderId="17" xfId="5" applyNumberFormat="1" applyFont="1" applyFill="1" applyBorder="1" applyAlignment="1">
      <alignment horizontal="center" vertical="center"/>
    </xf>
    <xf numFmtId="43" fontId="19" fillId="0" borderId="17" xfId="5" applyFont="1" applyFill="1" applyBorder="1" applyAlignment="1">
      <alignment horizontal="center" vertical="center"/>
    </xf>
    <xf numFmtId="43" fontId="0" fillId="0" borderId="0" xfId="5" applyFont="1" applyFill="1" applyAlignment="1">
      <alignment horizontal="center" vertical="center"/>
    </xf>
    <xf numFmtId="164" fontId="15" fillId="0" borderId="0" xfId="4" applyFill="1"/>
    <xf numFmtId="164" fontId="19" fillId="9" borderId="17" xfId="4" applyFont="1" applyFill="1" applyBorder="1" applyAlignment="1">
      <alignment vertical="center"/>
    </xf>
    <xf numFmtId="164" fontId="20" fillId="9" borderId="17" xfId="4" applyFont="1" applyFill="1" applyBorder="1" applyAlignment="1">
      <alignment vertical="center"/>
    </xf>
    <xf numFmtId="43" fontId="19" fillId="0" borderId="17" xfId="5" applyNumberFormat="1" applyFont="1" applyBorder="1" applyAlignment="1">
      <alignment horizontal="center" vertical="center"/>
    </xf>
    <xf numFmtId="167" fontId="19" fillId="0" borderId="0" xfId="5" applyNumberFormat="1" applyFont="1" applyBorder="1" applyAlignment="1">
      <alignment vertical="center"/>
    </xf>
    <xf numFmtId="164" fontId="19" fillId="0" borderId="0" xfId="4" applyFont="1" applyBorder="1" applyAlignment="1">
      <alignment vertical="center"/>
    </xf>
    <xf numFmtId="168" fontId="15" fillId="0" borderId="0" xfId="4" applyNumberFormat="1" applyAlignment="1">
      <alignment horizontal="center" vertical="center"/>
    </xf>
    <xf numFmtId="165" fontId="15" fillId="10" borderId="0" xfId="4" applyNumberFormat="1" applyFont="1" applyFill="1" applyAlignment="1">
      <alignment horizontal="center"/>
    </xf>
    <xf numFmtId="43" fontId="15" fillId="0" borderId="0" xfId="2" applyFont="1" applyFill="1"/>
    <xf numFmtId="43" fontId="0" fillId="0" borderId="3" xfId="2" applyFont="1" applyBorder="1"/>
    <xf numFmtId="43" fontId="0" fillId="0" borderId="10" xfId="2" applyFont="1" applyBorder="1"/>
    <xf numFmtId="43" fontId="0" fillId="0" borderId="10" xfId="2" applyFont="1" applyFill="1" applyBorder="1"/>
    <xf numFmtId="0" fontId="21" fillId="0" borderId="0" xfId="0" applyFont="1"/>
    <xf numFmtId="43" fontId="21" fillId="0" borderId="0" xfId="0" applyNumberFormat="1" applyFont="1"/>
  </cellXfs>
  <cellStyles count="9">
    <cellStyle name="Comma" xfId="2" builtinId="3"/>
    <cellStyle name="Comma 2" xfId="5"/>
    <cellStyle name="Normal" xfId="0" builtinId="0"/>
    <cellStyle name="Normal 2" xfId="1"/>
    <cellStyle name="Normal 3" xfId="4"/>
    <cellStyle name="千位分隔 2" xfId="6"/>
    <cellStyle name="常规 10 2" xfId="3"/>
    <cellStyle name="常规 12" xfId="7"/>
    <cellStyle name="百分比 2" xfId="8"/>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0.xml"/><Relationship Id="rId34" Type="http://schemas.openxmlformats.org/officeDocument/2006/relationships/externalLink" Target="externalLinks/externalLink2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externalLink" Target="externalLinks/externalLink22.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externalLink" Target="externalLinks/externalLink18.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externalLink" Target="externalLinks/externalLink26.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externalLink" Target="externalLinks/externalLink25.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ptm258.INTERPLEX/AppData/Local/Microsoft/Windows/Temporary%20Internet%20Files/Content.Outlook/HI6W7XSU/FY16%20machine%20hours%20&#65288;HITL&#65289;%20-%20FY16%20BG%20s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ocuments%20and%20Settings\Gong%20Hai%20ying\Local%20Settings\Temporary%20Internet%20Files\OLK7\Aged%20A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My%20Documents\Conso\2001\full%20year\diluted%20ep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8.1.1.73\finance\My%20Documents\Conso\2003\1stQtr2003\MY-Announce%201Q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Documents%20and%20Settings\irene\Local%20Settings\Temporary%20Internet%20Files\OLK5\Schedule%20Q%20Workings%20-%20Jul%20200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8.1.1.73\finance\Venture%20Corporation\Consolidation\FY%202002\Consolidation\Dec%202002\Consolidated%20BS%20and%20PL%202002-rev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ales-cp06\report\Year%20End\Forecasts\Others\Lanncy\AHTL\Sales\Report\99%20Sales%20Report\Forecast%2099011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52.6\atsales\DOCUME~1\YWChan\LOCALS~1\Temp\Sales%20Forecast%202005-2006A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iles_server\finance\Monthly%20Folders\Year%202003\122003\Schedule%20Q%20-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22266;&#23450;&#36164;&#20135;\2005\GDZC05-0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U:\REPORTS\TIC99.(Ju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1\3\GDZC02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Zaksrv\acct\WINNT\TEMP\c.lotus.notes.data\WAP_Consolidation%202000(revisedoct2001draftcashflow).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Files_server\finance\Documents%20and%20Settings\catherine.lau\Local%20Settings\Temporary%20Internet%20Files\OLK11\Amtek%20Mgmt%20Accounts%20Template%20v4(CL%2026071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G:\Documents%20and%20Settings\Gong%20Hai%20ying\Local%20Settings\Temporary%20Internet%20Files\OLK7\Sales\Sales\Sales\Jan'06%20sa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finance2\Group%20Reports\cashbalances\Banking%20Facilities%20TL%20and%20Cash-SL-%2008%2001%200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061030\0609_ATHZHK_Monthly0609adj88b.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Documents%20and%20Settings\ataccount\&#26700;&#38754;\&#21464;&#21160;&#27979;&#35797;.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198.1.1.73\Finance\My%20Documents\Conso\2004\3rdQtr2004\announce3Q200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c-irene-tan\MK-YEDEC03\Margaret\Univac\Creditor\12%202003\07%202003\TR0-7%203107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COST-SZ\Costinfo.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Documents%20and%20Settings\gracelok\My%20Documents\Kingsley\South%20Asia%20Monthly%20Report\Amlab_OperationsPerformanceIndex-220408(USD).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Documents%20and%20Settings\gracelok\Local%20Settings\Temporary%20Internet%20Files\OLK184\OperationsPerformanceIndex-280508(USD).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Worksheet%20in%207133%20Options%20&amp;%20Warrants%20(1999)"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98.1.1.62\userbackup\costing\2007\2007%20SBU%20Accounts\SBU%20Accounts%20FEB0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98.1.1.62\userbackup\costing\2007\Costing%20rates%20FY07\DL\ca\DL_CA_FY07(R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Y16 BG Labor hour"/>
      <sheetName val="汇总FY16 BG"/>
      <sheetName val="Summary"/>
      <sheetName val="Stamping - 3 shift"/>
      <sheetName val="Plating - 3 shift"/>
      <sheetName val="hours"/>
      <sheetName val="Area"/>
      <sheetName val="成本费用FY15 BUDGET"/>
    </sheetNames>
    <sheetDataSet>
      <sheetData sheetId="0" refreshError="1"/>
      <sheetData sheetId="1" refreshError="1"/>
      <sheetData sheetId="2" refreshError="1"/>
      <sheetData sheetId="3">
        <row r="1">
          <cell r="S1" t="str">
            <v>power unit cost</v>
          </cell>
          <cell r="T1">
            <v>0.12704000000000001</v>
          </cell>
        </row>
        <row r="2">
          <cell r="S2" t="str">
            <v>area cost</v>
          </cell>
          <cell r="T2">
            <v>12.972008083584228</v>
          </cell>
        </row>
        <row r="3">
          <cell r="S3" t="str">
            <v>machine hrs</v>
          </cell>
          <cell r="T3">
            <v>3848.666666666667</v>
          </cell>
          <cell r="U3" t="str">
            <v>(2 shifts)</v>
          </cell>
          <cell r="V3">
            <v>2</v>
          </cell>
        </row>
        <row r="4">
          <cell r="S4" t="str">
            <v>machine hrs</v>
          </cell>
          <cell r="T4">
            <v>5773</v>
          </cell>
          <cell r="U4" t="str">
            <v>(3 shifts)</v>
          </cell>
          <cell r="V4">
            <v>3</v>
          </cell>
        </row>
        <row r="5">
          <cell r="AC5">
            <v>0.06</v>
          </cell>
        </row>
        <row r="9">
          <cell r="C9" t="str">
            <v xml:space="preserve">Cost cntr </v>
          </cell>
          <cell r="E9" t="str">
            <v>work center</v>
          </cell>
          <cell r="F9" t="str">
            <v>ActTyp</v>
          </cell>
          <cell r="G9" t="str">
            <v>Description</v>
          </cell>
          <cell r="H9" t="str">
            <v xml:space="preserve">Asset name                                        </v>
          </cell>
          <cell r="I9" t="str">
            <v xml:space="preserve">Main no     </v>
          </cell>
          <cell r="J9" t="str">
            <v xml:space="preserve">Sub </v>
          </cell>
          <cell r="K9" t="str">
            <v>Qty</v>
          </cell>
          <cell r="L9" t="str">
            <v>Machine no</v>
          </cell>
          <cell r="M9" t="str">
            <v>TON</v>
          </cell>
          <cell r="N9" t="str">
            <v>Power (kw)</v>
          </cell>
          <cell r="O9" t="str">
            <v>Area (sq m)</v>
          </cell>
          <cell r="P9" t="str">
            <v>Machine cost</v>
          </cell>
          <cell r="Q9" t="str">
            <v xml:space="preserve">Yr </v>
          </cell>
          <cell r="R9" t="str">
            <v>Shift</v>
          </cell>
          <cell r="S9" t="str">
            <v>Depreciation</v>
          </cell>
          <cell r="T9" t="str">
            <v>Area cost</v>
          </cell>
          <cell r="U9" t="str">
            <v>Power cost</v>
          </cell>
          <cell r="V9" t="str">
            <v>Machine direct</v>
          </cell>
          <cell r="W9" t="str">
            <v>Allocated direct overhead</v>
          </cell>
          <cell r="X9" t="str">
            <v>Total Production cost</v>
          </cell>
          <cell r="Y9" t="str">
            <v>Machine cost per hour</v>
          </cell>
          <cell r="AB9" t="str">
            <v>Indirect overhead</v>
          </cell>
          <cell r="AC9" t="str">
            <v>Interest on machine</v>
          </cell>
          <cell r="AD9" t="str">
            <v>Total Marketing cost</v>
          </cell>
          <cell r="AE9" t="str">
            <v>FY14 Mktg cost</v>
          </cell>
          <cell r="AK9" t="str">
            <v>Machine direct hour</v>
          </cell>
          <cell r="AM9" t="str">
            <v>Machine cost per hour</v>
          </cell>
          <cell r="AO9" t="str">
            <v>Total Marketing cost</v>
          </cell>
        </row>
        <row r="11">
          <cell r="C11" t="str">
            <v>***</v>
          </cell>
          <cell r="E11" t="str">
            <v>A200T1</v>
          </cell>
          <cell r="F11" t="str">
            <v>C4M002</v>
          </cell>
          <cell r="G11" t="str">
            <v>P200T 冲床（小台面）</v>
          </cell>
          <cell r="H11" t="str">
            <v>200T冲床-ATPL</v>
          </cell>
          <cell r="I11" t="str">
            <v>TP201</v>
          </cell>
          <cell r="K11">
            <v>1</v>
          </cell>
          <cell r="L11" t="str">
            <v>PSL200</v>
          </cell>
          <cell r="M11" t="str">
            <v>200T</v>
          </cell>
          <cell r="N11">
            <v>22.91</v>
          </cell>
          <cell r="O11">
            <v>15.75</v>
          </cell>
          <cell r="P11">
            <v>260367.5</v>
          </cell>
          <cell r="Q11">
            <v>10</v>
          </cell>
          <cell r="R11">
            <v>3</v>
          </cell>
          <cell r="T11">
            <v>204.30912731645159</v>
          </cell>
          <cell r="U11">
            <v>5040.6713961600008</v>
          </cell>
          <cell r="V11">
            <v>5244.9805234764526</v>
          </cell>
          <cell r="W11">
            <v>55386.804948802164</v>
          </cell>
          <cell r="X11">
            <v>60631.785472278614</v>
          </cell>
          <cell r="Y11">
            <v>10.502647751996989</v>
          </cell>
          <cell r="AB11">
            <v>54852.366551426399</v>
          </cell>
          <cell r="AC11">
            <v>15622.05</v>
          </cell>
          <cell r="AD11">
            <v>131106.202023705</v>
          </cell>
          <cell r="AE11">
            <v>22.710237662169583</v>
          </cell>
          <cell r="AK11">
            <v>0.90853638030078865</v>
          </cell>
          <cell r="AM11">
            <v>10.502647751996989</v>
          </cell>
          <cell r="AO11">
            <v>22.710237662169583</v>
          </cell>
        </row>
        <row r="12">
          <cell r="C12" t="str">
            <v>***</v>
          </cell>
          <cell r="E12" t="str">
            <v>A200T1</v>
          </cell>
          <cell r="F12" t="str">
            <v>C4M002</v>
          </cell>
          <cell r="G12" t="str">
            <v>P200T 冲床（小台面）</v>
          </cell>
          <cell r="H12" t="str">
            <v>200T冲床-ATPL</v>
          </cell>
          <cell r="I12" t="str">
            <v>TP202</v>
          </cell>
          <cell r="K12">
            <v>1</v>
          </cell>
          <cell r="L12" t="str">
            <v>PSL200</v>
          </cell>
          <cell r="M12" t="str">
            <v>200T</v>
          </cell>
          <cell r="N12">
            <v>22.91</v>
          </cell>
          <cell r="O12">
            <v>15.75</v>
          </cell>
          <cell r="P12">
            <v>272209.55</v>
          </cell>
          <cell r="Q12">
            <v>10</v>
          </cell>
          <cell r="R12">
            <v>3</v>
          </cell>
          <cell r="T12">
            <v>204.30912731645159</v>
          </cell>
          <cell r="U12">
            <v>5040.6713961600008</v>
          </cell>
          <cell r="V12">
            <v>5244.9805234764526</v>
          </cell>
          <cell r="W12">
            <v>56425.24895338693</v>
          </cell>
          <cell r="X12">
            <v>61670.22947686338</v>
          </cell>
          <cell r="Y12">
            <v>10.682527191557835</v>
          </cell>
          <cell r="AB12">
            <v>55880.790401389735</v>
          </cell>
          <cell r="AC12">
            <v>16332.572999999999</v>
          </cell>
          <cell r="AD12">
            <v>133883.59287825311</v>
          </cell>
          <cell r="AE12">
            <v>23.191337758228496</v>
          </cell>
          <cell r="AK12">
            <v>0.90853638030078865</v>
          </cell>
          <cell r="AM12">
            <v>10.682527191557835</v>
          </cell>
          <cell r="AO12">
            <v>23.191337758228496</v>
          </cell>
        </row>
        <row r="13">
          <cell r="C13" t="str">
            <v>***</v>
          </cell>
          <cell r="E13" t="str">
            <v>A200T1</v>
          </cell>
          <cell r="F13" t="str">
            <v>C4M002</v>
          </cell>
          <cell r="G13" t="str">
            <v>P200T 冲床（小台面）</v>
          </cell>
          <cell r="H13" t="str">
            <v>200T冲床-ATPL</v>
          </cell>
          <cell r="I13" t="str">
            <v>TP203</v>
          </cell>
          <cell r="K13">
            <v>1</v>
          </cell>
          <cell r="L13" t="str">
            <v>PSL200</v>
          </cell>
          <cell r="M13" t="str">
            <v>200T</v>
          </cell>
          <cell r="N13">
            <v>22.91</v>
          </cell>
          <cell r="O13">
            <v>15.75</v>
          </cell>
          <cell r="P13">
            <v>254082.62</v>
          </cell>
          <cell r="Q13">
            <v>10</v>
          </cell>
          <cell r="R13">
            <v>3</v>
          </cell>
          <cell r="T13">
            <v>204.30912731645159</v>
          </cell>
          <cell r="U13">
            <v>5040.6713961600008</v>
          </cell>
          <cell r="V13">
            <v>5244.9805234764526</v>
          </cell>
          <cell r="W13">
            <v>54835.676051733259</v>
          </cell>
          <cell r="X13">
            <v>60080.656575209709</v>
          </cell>
          <cell r="Y13">
            <v>10.407181114708074</v>
          </cell>
          <cell r="AB13">
            <v>54306.555607699804</v>
          </cell>
          <cell r="AC13">
            <v>15244.957199999999</v>
          </cell>
          <cell r="AD13">
            <v>129632.16938290952</v>
          </cell>
          <cell r="AE13">
            <v>22.454905488118744</v>
          </cell>
          <cell r="AK13">
            <v>0.90853638030078865</v>
          </cell>
          <cell r="AM13">
            <v>10.407181114708074</v>
          </cell>
          <cell r="AO13">
            <v>22.454905488118744</v>
          </cell>
        </row>
        <row r="14">
          <cell r="C14" t="str">
            <v>***</v>
          </cell>
          <cell r="E14" t="str">
            <v>A200T1</v>
          </cell>
          <cell r="F14" t="str">
            <v>C4M002</v>
          </cell>
          <cell r="G14" t="str">
            <v>P200T 冲床（小台面）</v>
          </cell>
          <cell r="H14" t="str">
            <v>200T冲床-ATPL</v>
          </cell>
          <cell r="I14" t="str">
            <v>TP204</v>
          </cell>
          <cell r="K14">
            <v>1</v>
          </cell>
          <cell r="L14" t="str">
            <v>PSL200</v>
          </cell>
          <cell r="M14" t="str">
            <v>200T</v>
          </cell>
          <cell r="N14">
            <v>22.91</v>
          </cell>
          <cell r="O14">
            <v>15.75</v>
          </cell>
          <cell r="P14">
            <v>254082.6</v>
          </cell>
          <cell r="Q14">
            <v>10</v>
          </cell>
          <cell r="R14">
            <v>3</v>
          </cell>
          <cell r="T14">
            <v>204.30912731645159</v>
          </cell>
          <cell r="U14">
            <v>5040.6713961600008</v>
          </cell>
          <cell r="V14">
            <v>5244.9805234764526</v>
          </cell>
          <cell r="W14">
            <v>54835.674297908539</v>
          </cell>
          <cell r="X14">
            <v>60080.654821384989</v>
          </cell>
          <cell r="Y14">
            <v>10.407180810910271</v>
          </cell>
          <cell r="AB14">
            <v>54306.553870798089</v>
          </cell>
          <cell r="AC14">
            <v>15244.956</v>
          </cell>
          <cell r="AD14">
            <v>129632.16469218308</v>
          </cell>
          <cell r="AE14">
            <v>22.454904675590349</v>
          </cell>
          <cell r="AK14">
            <v>0.90853638030078865</v>
          </cell>
          <cell r="AM14">
            <v>10.407180810910271</v>
          </cell>
          <cell r="AO14">
            <v>22.454904675590349</v>
          </cell>
        </row>
        <row r="15">
          <cell r="C15" t="str">
            <v>***</v>
          </cell>
          <cell r="E15" t="str">
            <v>A200T1</v>
          </cell>
          <cell r="F15" t="str">
            <v>C4M002</v>
          </cell>
          <cell r="G15" t="str">
            <v>P200T 冲床（小台面）</v>
          </cell>
          <cell r="H15" t="str">
            <v>200T冲床-ATPL</v>
          </cell>
          <cell r="I15" t="str">
            <v>TP205</v>
          </cell>
          <cell r="K15">
            <v>1</v>
          </cell>
          <cell r="L15" t="str">
            <v>PSL200</v>
          </cell>
          <cell r="M15" t="str">
            <v>200T</v>
          </cell>
          <cell r="N15">
            <v>22.91</v>
          </cell>
          <cell r="O15">
            <v>15.75</v>
          </cell>
          <cell r="P15">
            <v>260367.5</v>
          </cell>
          <cell r="Q15">
            <v>10</v>
          </cell>
          <cell r="R15">
            <v>3</v>
          </cell>
          <cell r="T15">
            <v>204.30912731645159</v>
          </cell>
          <cell r="U15">
            <v>5040.6713961600008</v>
          </cell>
          <cell r="V15">
            <v>5244.9805234764526</v>
          </cell>
          <cell r="W15">
            <v>55386.804948802164</v>
          </cell>
          <cell r="X15">
            <v>60631.785472278614</v>
          </cell>
          <cell r="Y15">
            <v>10.502647751996989</v>
          </cell>
          <cell r="AB15">
            <v>54852.366551426399</v>
          </cell>
          <cell r="AC15">
            <v>15622.05</v>
          </cell>
          <cell r="AD15">
            <v>131106.202023705</v>
          </cell>
          <cell r="AE15">
            <v>22.710237662169583</v>
          </cell>
          <cell r="AK15">
            <v>0.90853638030078865</v>
          </cell>
          <cell r="AM15">
            <v>10.502647751996989</v>
          </cell>
          <cell r="AO15">
            <v>22.710237662169583</v>
          </cell>
        </row>
        <row r="16">
          <cell r="C16" t="str">
            <v>***</v>
          </cell>
          <cell r="E16" t="str">
            <v>A200T1</v>
          </cell>
          <cell r="F16" t="str">
            <v>C4M002</v>
          </cell>
          <cell r="G16" t="str">
            <v>P200T 冲床（小台面）</v>
          </cell>
          <cell r="H16" t="str">
            <v>200T冲床-ATPL</v>
          </cell>
          <cell r="I16" t="str">
            <v>TP206</v>
          </cell>
          <cell r="K16">
            <v>1</v>
          </cell>
          <cell r="L16" t="str">
            <v>PSL200</v>
          </cell>
          <cell r="M16" t="str">
            <v>200T</v>
          </cell>
          <cell r="N16">
            <v>22.91</v>
          </cell>
          <cell r="O16">
            <v>15.75</v>
          </cell>
          <cell r="P16">
            <v>241558.39</v>
          </cell>
          <cell r="Q16">
            <v>10</v>
          </cell>
          <cell r="R16">
            <v>3</v>
          </cell>
          <cell r="T16">
            <v>204.30912731645159</v>
          </cell>
          <cell r="U16">
            <v>5040.6713961600008</v>
          </cell>
          <cell r="V16">
            <v>5244.9805234764526</v>
          </cell>
          <cell r="W16">
            <v>53737.410839583274</v>
          </cell>
          <cell r="X16">
            <v>58982.391363059724</v>
          </cell>
          <cell r="Y16">
            <v>10.216939435832275</v>
          </cell>
          <cell r="AB16">
            <v>53218.887777009491</v>
          </cell>
          <cell r="AC16">
            <v>14493.5034</v>
          </cell>
          <cell r="AD16">
            <v>126694.78254006921</v>
          </cell>
          <cell r="AE16">
            <v>21.946090860916197</v>
          </cell>
          <cell r="AK16">
            <v>0.90853638030078865</v>
          </cell>
          <cell r="AM16">
            <v>10.216939435832275</v>
          </cell>
          <cell r="AO16">
            <v>21.946090860916197</v>
          </cell>
        </row>
        <row r="17">
          <cell r="C17" t="str">
            <v>***</v>
          </cell>
          <cell r="E17" t="str">
            <v>A200T1</v>
          </cell>
          <cell r="F17" t="str">
            <v>C4M002</v>
          </cell>
          <cell r="G17" t="str">
            <v>P200T 冲床（小台面）</v>
          </cell>
          <cell r="H17" t="str">
            <v>200T冲床-ATPL</v>
          </cell>
          <cell r="I17" t="str">
            <v>TP207</v>
          </cell>
          <cell r="K17">
            <v>1</v>
          </cell>
          <cell r="L17" t="str">
            <v>PSL200</v>
          </cell>
          <cell r="M17" t="str">
            <v>200T</v>
          </cell>
          <cell r="N17">
            <v>22.91</v>
          </cell>
          <cell r="O17">
            <v>15.75</v>
          </cell>
          <cell r="P17">
            <v>247263.67</v>
          </cell>
          <cell r="Q17">
            <v>10</v>
          </cell>
          <cell r="R17">
            <v>3</v>
          </cell>
          <cell r="T17">
            <v>204.30912731645159</v>
          </cell>
          <cell r="U17">
            <v>5040.6713961600008</v>
          </cell>
          <cell r="V17">
            <v>5244.9805234764526</v>
          </cell>
          <cell r="W17">
            <v>54237.71389610452</v>
          </cell>
          <cell r="X17">
            <v>59482.69441958097</v>
          </cell>
          <cell r="Y17">
            <v>10.303602012745708</v>
          </cell>
          <cell r="AB17">
            <v>53714.363308924891</v>
          </cell>
          <cell r="AC17">
            <v>14835.8202</v>
          </cell>
          <cell r="AD17">
            <v>128032.87792850586</v>
          </cell>
          <cell r="AE17">
            <v>22.17787596197919</v>
          </cell>
          <cell r="AK17">
            <v>0.90853638030078865</v>
          </cell>
          <cell r="AM17">
            <v>10.303602012745708</v>
          </cell>
          <cell r="AO17">
            <v>22.17787596197919</v>
          </cell>
        </row>
        <row r="18">
          <cell r="C18" t="str">
            <v>***</v>
          </cell>
          <cell r="E18" t="str">
            <v>A200T1</v>
          </cell>
          <cell r="F18" t="str">
            <v>C4M002</v>
          </cell>
          <cell r="G18" t="str">
            <v>P200T 冲床（小台面）</v>
          </cell>
          <cell r="H18" t="str">
            <v>200T冲床-ATPL</v>
          </cell>
          <cell r="I18" t="str">
            <v>TP208</v>
          </cell>
          <cell r="K18">
            <v>1</v>
          </cell>
          <cell r="L18" t="str">
            <v>PSL200</v>
          </cell>
          <cell r="M18" t="str">
            <v>200T</v>
          </cell>
          <cell r="N18">
            <v>22.91</v>
          </cell>
          <cell r="O18">
            <v>15.75</v>
          </cell>
          <cell r="P18">
            <v>247263.67</v>
          </cell>
          <cell r="Q18">
            <v>10</v>
          </cell>
          <cell r="R18">
            <v>3</v>
          </cell>
          <cell r="T18">
            <v>204.30912731645159</v>
          </cell>
          <cell r="U18">
            <v>5040.6713961600008</v>
          </cell>
          <cell r="V18">
            <v>5244.9805234764526</v>
          </cell>
          <cell r="W18">
            <v>54237.71389610452</v>
          </cell>
          <cell r="X18">
            <v>59482.69441958097</v>
          </cell>
          <cell r="Y18">
            <v>10.303602012745708</v>
          </cell>
          <cell r="AB18">
            <v>53714.363308924891</v>
          </cell>
          <cell r="AC18">
            <v>14835.8202</v>
          </cell>
          <cell r="AD18">
            <v>128032.87792850586</v>
          </cell>
          <cell r="AE18">
            <v>22.17787596197919</v>
          </cell>
          <cell r="AK18">
            <v>0.90853638030078865</v>
          </cell>
          <cell r="AM18">
            <v>10.303602012745708</v>
          </cell>
          <cell r="AO18">
            <v>22.17787596197919</v>
          </cell>
        </row>
        <row r="19">
          <cell r="E19" t="str">
            <v>A200T1</v>
          </cell>
          <cell r="F19" t="str">
            <v>C4M002</v>
          </cell>
          <cell r="G19" t="str">
            <v>P200T 冲床（小台面）</v>
          </cell>
          <cell r="H19" t="str">
            <v>200T冲床WASINO</v>
          </cell>
          <cell r="I19" t="str">
            <v>TP211</v>
          </cell>
          <cell r="K19">
            <v>1</v>
          </cell>
          <cell r="L19" t="str">
            <v>PSL200</v>
          </cell>
          <cell r="M19" t="str">
            <v>200T</v>
          </cell>
          <cell r="N19">
            <v>24.01</v>
          </cell>
          <cell r="O19">
            <v>15.75</v>
          </cell>
          <cell r="P19">
            <v>207765.64</v>
          </cell>
          <cell r="Q19">
            <v>10</v>
          </cell>
          <cell r="R19">
            <v>3</v>
          </cell>
          <cell r="T19">
            <v>204.30912731645159</v>
          </cell>
          <cell r="U19">
            <v>5282.6940297600013</v>
          </cell>
          <cell r="V19">
            <v>5487.0031570764531</v>
          </cell>
          <cell r="W19">
            <v>50774.082814795998</v>
          </cell>
          <cell r="X19">
            <v>56261.085971872453</v>
          </cell>
          <cell r="Y19">
            <v>9.7455544728689514</v>
          </cell>
          <cell r="AB19">
            <v>50284.153499089007</v>
          </cell>
          <cell r="AC19">
            <v>12465.938400000001</v>
          </cell>
          <cell r="AD19">
            <v>119011.17787096146</v>
          </cell>
          <cell r="AE19">
            <v>20.615135609035416</v>
          </cell>
          <cell r="AK19">
            <v>0.9504595803007887</v>
          </cell>
          <cell r="AM19">
            <v>9.7455544728689514</v>
          </cell>
          <cell r="AO19">
            <v>20.615135609035416</v>
          </cell>
        </row>
        <row r="20">
          <cell r="E20" t="str">
            <v>A200T1</v>
          </cell>
          <cell r="F20" t="str">
            <v>C4M002</v>
          </cell>
          <cell r="G20" t="str">
            <v>P200T 冲床（小台面）</v>
          </cell>
          <cell r="H20" t="str">
            <v>200T冲床-WASINO</v>
          </cell>
          <cell r="I20" t="str">
            <v>TP212</v>
          </cell>
          <cell r="K20">
            <v>1</v>
          </cell>
          <cell r="L20" t="str">
            <v>PSL200</v>
          </cell>
          <cell r="M20" t="str">
            <v>200T</v>
          </cell>
          <cell r="N20">
            <v>24.01</v>
          </cell>
          <cell r="O20">
            <v>15.75</v>
          </cell>
          <cell r="P20">
            <v>203440</v>
          </cell>
          <cell r="Q20">
            <v>10</v>
          </cell>
          <cell r="R20">
            <v>3</v>
          </cell>
          <cell r="T20">
            <v>204.30912731645159</v>
          </cell>
          <cell r="U20">
            <v>5282.6940297600013</v>
          </cell>
          <cell r="V20">
            <v>5487.0031570764531</v>
          </cell>
          <cell r="W20">
            <v>50394.762095495535</v>
          </cell>
          <cell r="X20">
            <v>55881.76525257199</v>
          </cell>
          <cell r="Y20">
            <v>9.6798484761080879</v>
          </cell>
          <cell r="AB20">
            <v>49908.492921540746</v>
          </cell>
          <cell r="AC20">
            <v>12206.4</v>
          </cell>
          <cell r="AD20">
            <v>117996.65817411273</v>
          </cell>
          <cell r="AE20">
            <v>20.43940034195613</v>
          </cell>
          <cell r="AK20">
            <v>0.9504595803007887</v>
          </cell>
          <cell r="AM20">
            <v>9.6798484761080879</v>
          </cell>
          <cell r="AO20">
            <v>20.43940034195613</v>
          </cell>
        </row>
        <row r="22">
          <cell r="C22" t="str">
            <v>A200T1</v>
          </cell>
          <cell r="D22" t="str">
            <v>P200T 冲床（小台面）</v>
          </cell>
          <cell r="H22" t="str">
            <v>小计</v>
          </cell>
          <cell r="K22">
            <v>10</v>
          </cell>
          <cell r="N22">
            <v>231.29999999999998</v>
          </cell>
          <cell r="O22">
            <v>157.5</v>
          </cell>
          <cell r="P22">
            <v>2448401.14</v>
          </cell>
          <cell r="Q22">
            <v>10</v>
          </cell>
          <cell r="R22">
            <v>3</v>
          </cell>
          <cell r="S22">
            <v>0</v>
          </cell>
          <cell r="T22">
            <v>2043.091273164516</v>
          </cell>
          <cell r="U22">
            <v>50890.759228800009</v>
          </cell>
          <cell r="V22">
            <v>52933.850501964531</v>
          </cell>
          <cell r="W22">
            <v>540251.89274271694</v>
          </cell>
          <cell r="X22">
            <v>593185.74324468139</v>
          </cell>
          <cell r="Y22">
            <v>10.27517310314709</v>
          </cell>
          <cell r="Z22">
            <v>0</v>
          </cell>
          <cell r="AA22">
            <v>0</v>
          </cell>
          <cell r="AB22">
            <v>535038.89379822952</v>
          </cell>
          <cell r="AC22">
            <v>146904.06839999999</v>
          </cell>
          <cell r="AD22">
            <v>1275128.7054429108</v>
          </cell>
          <cell r="AE22">
            <v>22.087800198214289</v>
          </cell>
          <cell r="AF22">
            <v>0</v>
          </cell>
          <cell r="AG22">
            <v>0</v>
          </cell>
          <cell r="AK22">
            <v>0.9169210203007887</v>
          </cell>
          <cell r="AM22">
            <v>10.27517310314709</v>
          </cell>
          <cell r="AO22">
            <v>22.087800198214289</v>
          </cell>
        </row>
        <row r="24">
          <cell r="E24" t="str">
            <v>A200T2</v>
          </cell>
          <cell r="F24" t="str">
            <v>C4M003</v>
          </cell>
          <cell r="G24" t="str">
            <v>P200T 冲床（大台面）</v>
          </cell>
          <cell r="H24" t="str">
            <v>200T冲床-WASINO</v>
          </cell>
          <cell r="I24" t="str">
            <v>TP209</v>
          </cell>
          <cell r="K24">
            <v>1</v>
          </cell>
          <cell r="L24" t="str">
            <v>PDL200</v>
          </cell>
          <cell r="M24" t="str">
            <v>200T</v>
          </cell>
          <cell r="N24">
            <v>31.01</v>
          </cell>
          <cell r="O24">
            <v>19.75</v>
          </cell>
          <cell r="P24">
            <v>316085.64</v>
          </cell>
          <cell r="Q24">
            <v>10</v>
          </cell>
          <cell r="R24">
            <v>3</v>
          </cell>
          <cell r="T24">
            <v>256.19715965078854</v>
          </cell>
          <cell r="U24">
            <v>6822.8380617600005</v>
          </cell>
          <cell r="V24">
            <v>7079.0352214107888</v>
          </cell>
          <cell r="W24">
            <v>66070.895247583365</v>
          </cell>
          <cell r="X24">
            <v>73149.930468994149</v>
          </cell>
          <cell r="Y24">
            <v>12.671042866619461</v>
          </cell>
          <cell r="AB24">
            <v>65433.363918561226</v>
          </cell>
          <cell r="AC24">
            <v>18965.1384</v>
          </cell>
          <cell r="AD24">
            <v>157548.43278755539</v>
          </cell>
          <cell r="AE24">
            <v>27.290565180591614</v>
          </cell>
          <cell r="AK24">
            <v>1.2262316337105126</v>
          </cell>
          <cell r="AM24">
            <v>12.671042866619461</v>
          </cell>
          <cell r="AO24">
            <v>27.290565180591614</v>
          </cell>
        </row>
        <row r="25">
          <cell r="C25" t="str">
            <v>***</v>
          </cell>
          <cell r="E25" t="str">
            <v>A200T2</v>
          </cell>
          <cell r="F25" t="str">
            <v>C4M003</v>
          </cell>
          <cell r="G25" t="str">
            <v>P200T 冲床（大台面）</v>
          </cell>
          <cell r="H25" t="str">
            <v>200T冲床-SYVEC</v>
          </cell>
          <cell r="I25" t="str">
            <v>TP210</v>
          </cell>
          <cell r="K25">
            <v>1</v>
          </cell>
          <cell r="L25" t="str">
            <v>PDL200</v>
          </cell>
          <cell r="M25" t="str">
            <v>200T</v>
          </cell>
          <cell r="N25">
            <v>31.01</v>
          </cell>
          <cell r="O25">
            <v>19.75</v>
          </cell>
          <cell r="P25">
            <v>344679.22</v>
          </cell>
          <cell r="Q25">
            <v>10</v>
          </cell>
          <cell r="R25">
            <v>3</v>
          </cell>
          <cell r="T25">
            <v>256.19715965078854</v>
          </cell>
          <cell r="U25">
            <v>6822.8380617600005</v>
          </cell>
          <cell r="V25">
            <v>7079.0352214107888</v>
          </cell>
          <cell r="W25">
            <v>68578.301627442852</v>
          </cell>
          <cell r="X25">
            <v>75657.336848853636</v>
          </cell>
          <cell r="Y25">
            <v>13.105376208012062</v>
          </cell>
          <cell r="AB25">
            <v>67916.575831011723</v>
          </cell>
          <cell r="AC25">
            <v>20680.753199999999</v>
          </cell>
          <cell r="AD25">
            <v>164254.66587986535</v>
          </cell>
          <cell r="AE25">
            <v>28.452219968797046</v>
          </cell>
          <cell r="AK25">
            <v>1.2262316337105126</v>
          </cell>
          <cell r="AM25">
            <v>13.105376208012062</v>
          </cell>
          <cell r="AO25">
            <v>28.452219968797046</v>
          </cell>
        </row>
        <row r="26">
          <cell r="E26" t="str">
            <v>A200T2</v>
          </cell>
          <cell r="F26" t="str">
            <v>C4M003</v>
          </cell>
          <cell r="G26" t="str">
            <v>P200T 冲床（大台面）</v>
          </cell>
          <cell r="H26" t="str">
            <v>200T冲床-PATEC</v>
          </cell>
          <cell r="I26" t="str">
            <v>TP213</v>
          </cell>
          <cell r="K26">
            <v>1</v>
          </cell>
          <cell r="L26" t="str">
            <v>K2-200</v>
          </cell>
          <cell r="M26" t="str">
            <v>200T</v>
          </cell>
          <cell r="N26">
            <v>29.39</v>
          </cell>
          <cell r="O26">
            <v>15.41</v>
          </cell>
          <cell r="P26">
            <v>209480</v>
          </cell>
          <cell r="Q26">
            <v>10</v>
          </cell>
          <cell r="R26">
            <v>3</v>
          </cell>
          <cell r="T26">
            <v>199.89864456803295</v>
          </cell>
          <cell r="U26">
            <v>6466.4047286400009</v>
          </cell>
          <cell r="V26">
            <v>6666.3033732080339</v>
          </cell>
          <cell r="W26">
            <v>50431.578856510845</v>
          </cell>
          <cell r="X26">
            <v>57097.882229718882</v>
          </cell>
          <cell r="Y26">
            <v>9.8905044569060934</v>
          </cell>
          <cell r="AB26">
            <v>49944.954430239697</v>
          </cell>
          <cell r="AC26">
            <v>12568.8</v>
          </cell>
          <cell r="AD26">
            <v>119611.63665995857</v>
          </cell>
          <cell r="AE26">
            <v>20.719147178236373</v>
          </cell>
          <cell r="AK26">
            <v>1.1547381557609619</v>
          </cell>
          <cell r="AM26">
            <v>9.8905044569060934</v>
          </cell>
          <cell r="AO26">
            <v>20.719147178236373</v>
          </cell>
        </row>
        <row r="27">
          <cell r="E27" t="str">
            <v>A200T2</v>
          </cell>
          <cell r="F27" t="str">
            <v>C4M003</v>
          </cell>
          <cell r="G27" t="str">
            <v>P200T 冲床（大台面）</v>
          </cell>
          <cell r="H27" t="str">
            <v>200T冲床-PATEC</v>
          </cell>
          <cell r="I27" t="str">
            <v>TP214</v>
          </cell>
          <cell r="K27">
            <v>1</v>
          </cell>
          <cell r="L27" t="str">
            <v>K2-200</v>
          </cell>
          <cell r="M27" t="str">
            <v>200T</v>
          </cell>
          <cell r="N27">
            <v>28.64</v>
          </cell>
          <cell r="O27">
            <v>15.41</v>
          </cell>
          <cell r="P27">
            <v>224789.92</v>
          </cell>
          <cell r="Q27">
            <v>10</v>
          </cell>
          <cell r="R27">
            <v>3</v>
          </cell>
          <cell r="T27">
            <v>199.89864456803295</v>
          </cell>
          <cell r="U27">
            <v>6301.3892966400008</v>
          </cell>
          <cell r="V27">
            <v>6501.2879412080338</v>
          </cell>
          <cell r="W27">
            <v>51774.124668652541</v>
          </cell>
          <cell r="X27">
            <v>58275.412609860578</v>
          </cell>
          <cell r="Y27">
            <v>10.094476461087922</v>
          </cell>
          <cell r="AB27">
            <v>51274.545748383985</v>
          </cell>
          <cell r="AC27">
            <v>13487.395200000001</v>
          </cell>
          <cell r="AD27">
            <v>123037.35355824456</v>
          </cell>
          <cell r="AE27">
            <v>21.312550417156515</v>
          </cell>
          <cell r="AK27">
            <v>1.126154155760962</v>
          </cell>
          <cell r="AM27">
            <v>10.094476461087922</v>
          </cell>
          <cell r="AO27">
            <v>21.312550417156515</v>
          </cell>
        </row>
        <row r="28">
          <cell r="E28" t="str">
            <v>A200T2</v>
          </cell>
          <cell r="F28" t="str">
            <v>C4M003</v>
          </cell>
          <cell r="G28" t="str">
            <v>P200T 冲床（大台面）</v>
          </cell>
          <cell r="H28" t="str">
            <v>200T冲床-PATEC</v>
          </cell>
          <cell r="I28" t="str">
            <v>TP215</v>
          </cell>
          <cell r="K28">
            <v>1</v>
          </cell>
          <cell r="L28" t="str">
            <v>K2-200</v>
          </cell>
          <cell r="M28" t="str">
            <v>200T</v>
          </cell>
          <cell r="N28">
            <v>28.64</v>
          </cell>
          <cell r="O28">
            <v>15.41</v>
          </cell>
          <cell r="P28">
            <v>224789.92</v>
          </cell>
          <cell r="Q28">
            <v>10</v>
          </cell>
          <cell r="R28">
            <v>3</v>
          </cell>
          <cell r="T28">
            <v>199.89864456803295</v>
          </cell>
          <cell r="U28">
            <v>6301.3892966400008</v>
          </cell>
          <cell r="V28">
            <v>6501.2879412080338</v>
          </cell>
          <cell r="W28">
            <v>51774.124668652541</v>
          </cell>
          <cell r="X28">
            <v>58275.412609860578</v>
          </cell>
          <cell r="Y28">
            <v>10.094476461087922</v>
          </cell>
          <cell r="AB28">
            <v>51274.545748383985</v>
          </cell>
          <cell r="AC28">
            <v>13487.395200000001</v>
          </cell>
          <cell r="AD28">
            <v>123037.35355824456</v>
          </cell>
          <cell r="AE28">
            <v>21.312550417156515</v>
          </cell>
          <cell r="AK28">
            <v>1.126154155760962</v>
          </cell>
          <cell r="AM28">
            <v>10.094476461087922</v>
          </cell>
          <cell r="AO28">
            <v>21.312550417156515</v>
          </cell>
        </row>
        <row r="29">
          <cell r="E29" t="str">
            <v>A200T2</v>
          </cell>
          <cell r="F29" t="str">
            <v>C4M003</v>
          </cell>
          <cell r="G29" t="str">
            <v>P200T 冲床（大台面）</v>
          </cell>
          <cell r="H29" t="str">
            <v>200T冲床-PATEC</v>
          </cell>
          <cell r="I29" t="str">
            <v>TP216</v>
          </cell>
          <cell r="K29">
            <v>1</v>
          </cell>
          <cell r="L29" t="str">
            <v>K2-200</v>
          </cell>
          <cell r="M29" t="str">
            <v>200T</v>
          </cell>
          <cell r="N29">
            <v>28.64</v>
          </cell>
          <cell r="O29">
            <v>15.41</v>
          </cell>
          <cell r="P29">
            <v>251496.21</v>
          </cell>
          <cell r="Q29">
            <v>10</v>
          </cell>
          <cell r="R29">
            <v>3</v>
          </cell>
          <cell r="T29">
            <v>199.89864456803295</v>
          </cell>
          <cell r="U29">
            <v>6301.3892966400008</v>
          </cell>
          <cell r="V29">
            <v>6501.2879412080338</v>
          </cell>
          <cell r="W29">
            <v>54116.032255193917</v>
          </cell>
          <cell r="X29">
            <v>60617.320196401954</v>
          </cell>
          <cell r="Y29">
            <v>10.500142074554297</v>
          </cell>
          <cell r="AB29">
            <v>53593.855798589582</v>
          </cell>
          <cell r="AC29">
            <v>15089.772599999998</v>
          </cell>
          <cell r="AD29">
            <v>129300.94859499154</v>
          </cell>
          <cell r="AE29">
            <v>22.397531369303923</v>
          </cell>
          <cell r="AK29">
            <v>1.126154155760962</v>
          </cell>
          <cell r="AM29">
            <v>10.500142074554297</v>
          </cell>
          <cell r="AO29">
            <v>22.397531369303923</v>
          </cell>
        </row>
        <row r="30">
          <cell r="E30" t="str">
            <v>A200T2</v>
          </cell>
          <cell r="F30" t="str">
            <v>C4M003</v>
          </cell>
          <cell r="G30" t="str">
            <v>P200T 冲床（大台面）</v>
          </cell>
          <cell r="H30" t="str">
            <v>200T冲床-PATEC</v>
          </cell>
          <cell r="I30" t="str">
            <v>TP217</v>
          </cell>
          <cell r="K30">
            <v>1</v>
          </cell>
          <cell r="L30" t="str">
            <v>FGL-200</v>
          </cell>
          <cell r="M30" t="str">
            <v>200T</v>
          </cell>
          <cell r="N30">
            <v>28.64</v>
          </cell>
          <cell r="O30">
            <v>15.41</v>
          </cell>
          <cell r="P30">
            <v>344706.14</v>
          </cell>
          <cell r="Q30">
            <v>10</v>
          </cell>
          <cell r="R30">
            <v>3</v>
          </cell>
          <cell r="S30">
            <v>34470.614000000001</v>
          </cell>
          <cell r="T30">
            <v>199.89864456803295</v>
          </cell>
          <cell r="U30">
            <v>6301.3892966400008</v>
          </cell>
          <cell r="V30">
            <v>40971.901941208038</v>
          </cell>
          <cell r="W30">
            <v>62289.726250428401</v>
          </cell>
          <cell r="X30">
            <v>103261.62819163644</v>
          </cell>
          <cell r="Y30">
            <v>17.88699604913155</v>
          </cell>
          <cell r="AB30">
            <v>61688.680179960429</v>
          </cell>
          <cell r="AC30">
            <v>20682.368399999999</v>
          </cell>
          <cell r="AD30">
            <v>185632.67677159686</v>
          </cell>
          <cell r="AE30">
            <v>32.155322496379156</v>
          </cell>
          <cell r="AK30">
            <v>7.0971595255860107</v>
          </cell>
          <cell r="AM30">
            <v>17.88699604913155</v>
          </cell>
          <cell r="AO30">
            <v>32.155322496379156</v>
          </cell>
        </row>
        <row r="31">
          <cell r="E31" t="str">
            <v>A200T2</v>
          </cell>
          <cell r="F31" t="str">
            <v>C4M003</v>
          </cell>
          <cell r="G31" t="str">
            <v>P200T 冲床（大台面）</v>
          </cell>
          <cell r="H31" t="str">
            <v>200T冲床-PATEC</v>
          </cell>
          <cell r="I31" t="str">
            <v>TP218</v>
          </cell>
          <cell r="K31">
            <v>1</v>
          </cell>
          <cell r="L31" t="str">
            <v>FGL-200</v>
          </cell>
          <cell r="M31" t="str">
            <v>200T</v>
          </cell>
          <cell r="N31">
            <v>28.64</v>
          </cell>
          <cell r="O31">
            <v>15.41</v>
          </cell>
          <cell r="P31">
            <v>354504.48</v>
          </cell>
          <cell r="Q31">
            <v>10</v>
          </cell>
          <cell r="R31">
            <v>3</v>
          </cell>
          <cell r="S31">
            <v>35450.447999999997</v>
          </cell>
          <cell r="T31">
            <v>199.89864456803295</v>
          </cell>
          <cell r="U31">
            <v>6301.3892966400008</v>
          </cell>
          <cell r="V31">
            <v>41951.735941208033</v>
          </cell>
          <cell r="W31">
            <v>63148.954798516192</v>
          </cell>
          <cell r="X31">
            <v>105100.69073972423</v>
          </cell>
          <cell r="Y31">
            <v>18.205558763160269</v>
          </cell>
          <cell r="AB31">
            <v>62539.617859336009</v>
          </cell>
          <cell r="AC31">
            <v>21270.268799999998</v>
          </cell>
          <cell r="AD31">
            <v>188910.57739906025</v>
          </cell>
          <cell r="AE31">
            <v>32.723120976798931</v>
          </cell>
          <cell r="AK31">
            <v>7.2668865306093942</v>
          </cell>
          <cell r="AM31">
            <v>18.205558763160269</v>
          </cell>
          <cell r="AO31">
            <v>32.723120976798931</v>
          </cell>
        </row>
        <row r="32">
          <cell r="E32" t="str">
            <v>A200T2</v>
          </cell>
          <cell r="F32" t="str">
            <v>C4M003</v>
          </cell>
          <cell r="G32" t="str">
            <v>P200T 冲床（大台面）</v>
          </cell>
          <cell r="H32" t="str">
            <v>200T冲床-PATEC</v>
          </cell>
          <cell r="I32" t="str">
            <v>TP219</v>
          </cell>
          <cell r="K32">
            <v>1</v>
          </cell>
          <cell r="L32" t="str">
            <v>FGL-200</v>
          </cell>
          <cell r="M32" t="str">
            <v>200T</v>
          </cell>
          <cell r="N32">
            <v>28.64</v>
          </cell>
          <cell r="O32">
            <v>15.41</v>
          </cell>
          <cell r="P32">
            <v>370894.25</v>
          </cell>
          <cell r="Q32">
            <v>10</v>
          </cell>
          <cell r="R32">
            <v>3</v>
          </cell>
          <cell r="S32">
            <v>37089.425000000003</v>
          </cell>
          <cell r="T32">
            <v>199.89864456803295</v>
          </cell>
          <cell r="U32">
            <v>6301.3892966400008</v>
          </cell>
          <cell r="V32">
            <v>43590.712941208039</v>
          </cell>
          <cell r="W32">
            <v>64586.193992154411</v>
          </cell>
          <cell r="X32">
            <v>108176.90693336245</v>
          </cell>
          <cell r="Y32">
            <v>18.738421433113192</v>
          </cell>
          <cell r="AB32">
            <v>63962.988843533298</v>
          </cell>
          <cell r="AC32">
            <v>22253.654999999999</v>
          </cell>
          <cell r="AD32">
            <v>194393.55077689575</v>
          </cell>
          <cell r="AE32">
            <v>33.672882518083448</v>
          </cell>
          <cell r="AK32">
            <v>7.5507903934190264</v>
          </cell>
          <cell r="AM32">
            <v>18.738421433113192</v>
          </cell>
          <cell r="AO32">
            <v>33.672882518083448</v>
          </cell>
        </row>
        <row r="33">
          <cell r="E33" t="str">
            <v>A200T2</v>
          </cell>
          <cell r="F33" t="str">
            <v>C4M003</v>
          </cell>
          <cell r="G33" t="str">
            <v>P200T 冲床（大台面）</v>
          </cell>
          <cell r="H33" t="str">
            <v>200T冲床-PATEC</v>
          </cell>
          <cell r="I33" t="str">
            <v>TP220</v>
          </cell>
          <cell r="K33">
            <v>1</v>
          </cell>
          <cell r="L33" t="str">
            <v>FGL-200</v>
          </cell>
          <cell r="M33" t="str">
            <v>200T</v>
          </cell>
          <cell r="N33">
            <v>22</v>
          </cell>
          <cell r="O33">
            <v>15.41</v>
          </cell>
          <cell r="P33">
            <v>496912.32</v>
          </cell>
          <cell r="Q33">
            <v>10</v>
          </cell>
          <cell r="R33">
            <v>3</v>
          </cell>
          <cell r="S33">
            <v>49691.232000000004</v>
          </cell>
          <cell r="T33">
            <v>199.89864456803295</v>
          </cell>
          <cell r="U33">
            <v>4840.4526720000013</v>
          </cell>
          <cell r="V33">
            <v>54731.583316568038</v>
          </cell>
          <cell r="W33">
            <v>75636.874344022915</v>
          </cell>
          <cell r="X33">
            <v>130368.45766059095</v>
          </cell>
          <cell r="Y33">
            <v>22.5824454634663</v>
          </cell>
          <cell r="AB33">
            <v>74907.038962756604</v>
          </cell>
          <cell r="AC33">
            <v>29814.7392</v>
          </cell>
          <cell r="AD33">
            <v>235090.23582334755</v>
          </cell>
          <cell r="AE33">
            <v>40.722368928347059</v>
          </cell>
          <cell r="AK33">
            <v>9.4806137738728626</v>
          </cell>
          <cell r="AM33">
            <v>22.5824454634663</v>
          </cell>
          <cell r="AO33">
            <v>40.722368928347059</v>
          </cell>
        </row>
        <row r="34">
          <cell r="E34" t="str">
            <v>A200T2</v>
          </cell>
          <cell r="F34" t="str">
            <v>C4M003</v>
          </cell>
          <cell r="G34" t="str">
            <v>P200T 冲床（大台面）</v>
          </cell>
          <cell r="H34" t="str">
            <v>200T冲床-PATEC</v>
          </cell>
          <cell r="I34" t="str">
            <v>TP221</v>
          </cell>
          <cell r="K34">
            <v>1</v>
          </cell>
          <cell r="L34" t="str">
            <v>FGL-200</v>
          </cell>
          <cell r="M34" t="str">
            <v>200T</v>
          </cell>
          <cell r="N34">
            <v>22</v>
          </cell>
          <cell r="O34">
            <v>15.41</v>
          </cell>
          <cell r="P34">
            <v>494698.36</v>
          </cell>
          <cell r="Q34">
            <v>10</v>
          </cell>
          <cell r="R34">
            <v>3</v>
          </cell>
          <cell r="S34">
            <v>49469.835999999996</v>
          </cell>
          <cell r="T34">
            <v>199.89864456803295</v>
          </cell>
          <cell r="U34">
            <v>4840.4526720000013</v>
          </cell>
          <cell r="V34">
            <v>54510.18731656803</v>
          </cell>
          <cell r="W34">
            <v>75442.72945454935</v>
          </cell>
          <cell r="X34">
            <v>129952.91677111738</v>
          </cell>
          <cell r="Y34">
            <v>22.510465402930432</v>
          </cell>
          <cell r="AB34">
            <v>74714.767416287475</v>
          </cell>
          <cell r="AC34">
            <v>29681.901599999997</v>
          </cell>
          <cell r="AD34">
            <v>234349.58578740485</v>
          </cell>
          <cell r="AE34">
            <v>40.594073408523272</v>
          </cell>
          <cell r="AK34">
            <v>9.4422635227036249</v>
          </cell>
          <cell r="AM34">
            <v>22.510465402930432</v>
          </cell>
          <cell r="AO34">
            <v>40.594073408523272</v>
          </cell>
        </row>
        <row r="35">
          <cell r="E35" t="str">
            <v>A200T2</v>
          </cell>
          <cell r="F35" t="str">
            <v>C4M003</v>
          </cell>
          <cell r="G35" t="str">
            <v>P200T 冲床（大台面）</v>
          </cell>
          <cell r="H35" t="str">
            <v>200T冲床-PATEC</v>
          </cell>
          <cell r="I35" t="str">
            <v>TP222</v>
          </cell>
          <cell r="K35">
            <v>1</v>
          </cell>
          <cell r="L35" t="str">
            <v>FGL-200</v>
          </cell>
          <cell r="M35" t="str">
            <v>201T</v>
          </cell>
          <cell r="N35">
            <v>22</v>
          </cell>
          <cell r="O35">
            <v>15.41</v>
          </cell>
          <cell r="P35">
            <v>413143.58</v>
          </cell>
          <cell r="Q35">
            <v>10</v>
          </cell>
          <cell r="R35">
            <v>3</v>
          </cell>
          <cell r="S35">
            <v>41314.358</v>
          </cell>
          <cell r="T35">
            <v>199.89864456803295</v>
          </cell>
          <cell r="U35">
            <v>4840.4526720000013</v>
          </cell>
          <cell r="V35">
            <v>46354.709316568034</v>
          </cell>
          <cell r="W35">
            <v>68291.089971838985</v>
          </cell>
          <cell r="X35">
            <v>114645.79928840703</v>
          </cell>
          <cell r="Y35">
            <v>19.858964020164045</v>
          </cell>
          <cell r="AB35">
            <v>67632.135538317671</v>
          </cell>
          <cell r="AC35">
            <v>24788.614799999999</v>
          </cell>
          <cell r="AD35">
            <v>207066.54962672468</v>
          </cell>
          <cell r="AE35">
            <v>35.868101442356604</v>
          </cell>
          <cell r="AK35">
            <v>8.0295702956119932</v>
          </cell>
          <cell r="AM35">
            <v>19.858964020164045</v>
          </cell>
          <cell r="AO35">
            <v>35.868101442356604</v>
          </cell>
        </row>
        <row r="36">
          <cell r="E36" t="str">
            <v>A200T2</v>
          </cell>
          <cell r="F36" t="str">
            <v>C4M003</v>
          </cell>
          <cell r="G36" t="str">
            <v>P200T 冲床（大台面）</v>
          </cell>
          <cell r="H36" t="str">
            <v>200T冲床-PATEC</v>
          </cell>
          <cell r="I36" t="str">
            <v>TP223</v>
          </cell>
          <cell r="K36">
            <v>1</v>
          </cell>
          <cell r="L36" t="str">
            <v>FGL-200</v>
          </cell>
          <cell r="M36" t="str">
            <v>202T</v>
          </cell>
          <cell r="N36">
            <v>22</v>
          </cell>
          <cell r="O36">
            <v>15.41</v>
          </cell>
          <cell r="P36">
            <v>413143.57</v>
          </cell>
          <cell r="Q36">
            <v>10</v>
          </cell>
          <cell r="R36">
            <v>3</v>
          </cell>
          <cell r="S36">
            <v>41314.357000000004</v>
          </cell>
          <cell r="T36">
            <v>199.89864456803295</v>
          </cell>
          <cell r="U36">
            <v>4840.4526720000013</v>
          </cell>
          <cell r="V36">
            <v>46354.708316568038</v>
          </cell>
          <cell r="W36">
            <v>68291.089094926618</v>
          </cell>
          <cell r="X36">
            <v>114645.79741149466</v>
          </cell>
          <cell r="Y36">
            <v>19.858963695044977</v>
          </cell>
          <cell r="AB36">
            <v>67632.13466986682</v>
          </cell>
          <cell r="AC36">
            <v>24788.6142</v>
          </cell>
          <cell r="AD36">
            <v>207066.54628136149</v>
          </cell>
          <cell r="AE36">
            <v>35.868100862872247</v>
          </cell>
          <cell r="AK36">
            <v>8.0295701223918314</v>
          </cell>
          <cell r="AM36">
            <v>19.858963695044977</v>
          </cell>
          <cell r="AO36">
            <v>35.868100862872247</v>
          </cell>
        </row>
        <row r="37">
          <cell r="E37" t="str">
            <v>A200T2</v>
          </cell>
          <cell r="F37" t="str">
            <v>C4M003</v>
          </cell>
          <cell r="G37" t="str">
            <v>P200T 冲床（大台面）</v>
          </cell>
          <cell r="H37" t="str">
            <v>200T冲床-PATEC</v>
          </cell>
          <cell r="I37" t="str">
            <v>TP224</v>
          </cell>
          <cell r="K37">
            <v>1</v>
          </cell>
          <cell r="L37" t="str">
            <v>K2-200</v>
          </cell>
          <cell r="M37" t="str">
            <v>203T</v>
          </cell>
          <cell r="N37">
            <v>28.64</v>
          </cell>
          <cell r="O37">
            <v>15.41</v>
          </cell>
          <cell r="P37">
            <v>66464.710000000006</v>
          </cell>
          <cell r="Q37">
            <v>5</v>
          </cell>
          <cell r="R37">
            <v>3</v>
          </cell>
          <cell r="S37">
            <v>13292.942000000001</v>
          </cell>
          <cell r="T37">
            <v>199.89864456803295</v>
          </cell>
          <cell r="U37">
            <v>6301.3892966400008</v>
          </cell>
          <cell r="V37">
            <v>19794.229941208036</v>
          </cell>
          <cell r="W37">
            <v>37890.391269526088</v>
          </cell>
          <cell r="X37">
            <v>57684.621210734127</v>
          </cell>
          <cell r="Y37">
            <v>9.9921394787344759</v>
          </cell>
          <cell r="AB37">
            <v>37524.779279364455</v>
          </cell>
          <cell r="AC37">
            <v>3987.8826000000004</v>
          </cell>
          <cell r="AD37">
            <v>99197.283090098586</v>
          </cell>
          <cell r="AE37">
            <v>17.182969528858234</v>
          </cell>
          <cell r="AK37">
            <v>3.4287597334502053</v>
          </cell>
          <cell r="AM37">
            <v>9.9921394787344759</v>
          </cell>
          <cell r="AO37">
            <v>17.182969528858234</v>
          </cell>
        </row>
        <row r="38">
          <cell r="E38" t="str">
            <v>A200T2</v>
          </cell>
          <cell r="F38" t="str">
            <v>C4M003</v>
          </cell>
          <cell r="G38" t="str">
            <v>P200T 冲床（大台面）</v>
          </cell>
          <cell r="H38" t="str">
            <v>200T冲床-PATEC</v>
          </cell>
          <cell r="I38" t="str">
            <v>TP225</v>
          </cell>
          <cell r="K38">
            <v>1</v>
          </cell>
          <cell r="L38" t="str">
            <v>K2-200</v>
          </cell>
          <cell r="M38" t="str">
            <v>204T</v>
          </cell>
          <cell r="N38">
            <v>28.64</v>
          </cell>
          <cell r="O38">
            <v>15.41</v>
          </cell>
          <cell r="P38">
            <v>60146.54</v>
          </cell>
          <cell r="Q38">
            <v>5</v>
          </cell>
          <cell r="R38">
            <v>3</v>
          </cell>
          <cell r="S38">
            <v>12029.308000000001</v>
          </cell>
          <cell r="T38">
            <v>199.89864456803295</v>
          </cell>
          <cell r="U38">
            <v>6301.3892966400008</v>
          </cell>
          <cell r="V38">
            <v>18530.595941208034</v>
          </cell>
          <cell r="W38">
            <v>37336.343131201444</v>
          </cell>
          <cell r="X38">
            <v>55866.939072409477</v>
          </cell>
          <cell r="Y38">
            <v>9.677280282766235</v>
          </cell>
          <cell r="AB38">
            <v>36976.077262726889</v>
          </cell>
          <cell r="AC38">
            <v>3608.7923999999998</v>
          </cell>
          <cell r="AD38">
            <v>96451.808735136365</v>
          </cell>
          <cell r="AE38">
            <v>16.707398014054455</v>
          </cell>
          <cell r="AK38">
            <v>3.2098728462165309</v>
          </cell>
          <cell r="AM38">
            <v>9.677280282766235</v>
          </cell>
          <cell r="AO38">
            <v>16.707398014054455</v>
          </cell>
        </row>
        <row r="40">
          <cell r="C40" t="str">
            <v>A200T2</v>
          </cell>
          <cell r="D40" t="str">
            <v>P200T 冲床（大台面）</v>
          </cell>
          <cell r="H40" t="str">
            <v>小计</v>
          </cell>
          <cell r="K40">
            <v>15</v>
          </cell>
          <cell r="N40">
            <v>408.52999999999992</v>
          </cell>
          <cell r="O40">
            <v>239.82999999999996</v>
          </cell>
          <cell r="P40">
            <v>4585934.8599999994</v>
          </cell>
          <cell r="Q40">
            <v>9.3333333333333339</v>
          </cell>
          <cell r="R40">
            <v>3</v>
          </cell>
          <cell r="S40">
            <v>314122.52</v>
          </cell>
          <cell r="T40">
            <v>3111.0766986860058</v>
          </cell>
          <cell r="U40">
            <v>89885.005913280009</v>
          </cell>
          <cell r="V40">
            <v>407118.60261196602</v>
          </cell>
          <cell r="W40">
            <v>895658.44963120052</v>
          </cell>
          <cell r="X40">
            <v>1302777.0522431666</v>
          </cell>
          <cell r="Y40">
            <v>15.044483541118618</v>
          </cell>
          <cell r="Z40">
            <v>0</v>
          </cell>
          <cell r="AA40">
            <v>0</v>
          </cell>
          <cell r="AB40">
            <v>887016.06148731988</v>
          </cell>
          <cell r="AC40">
            <v>275156.09159999999</v>
          </cell>
          <cell r="AD40">
            <v>2464949.2053304864</v>
          </cell>
          <cell r="AE40">
            <v>28.465260180501026</v>
          </cell>
          <cell r="AF40">
            <v>0</v>
          </cell>
          <cell r="AG40">
            <v>0</v>
          </cell>
          <cell r="AK40">
            <v>4.7014100422884235</v>
          </cell>
          <cell r="AM40">
            <v>15.044483541118618</v>
          </cell>
          <cell r="AO40">
            <v>28.465260180501026</v>
          </cell>
        </row>
        <row r="42">
          <cell r="E42" t="str">
            <v>A300T</v>
          </cell>
          <cell r="F42" t="str">
            <v>C4M004</v>
          </cell>
          <cell r="G42" t="str">
            <v>P300T 冲床</v>
          </cell>
          <cell r="H42" t="str">
            <v>300T冲床-PATEC</v>
          </cell>
          <cell r="I42" t="str">
            <v>TP301</v>
          </cell>
          <cell r="K42">
            <v>1</v>
          </cell>
          <cell r="L42" t="str">
            <v>K2-300</v>
          </cell>
          <cell r="M42" t="str">
            <v>300T</v>
          </cell>
          <cell r="N42">
            <v>43.64</v>
          </cell>
          <cell r="O42">
            <v>18.25</v>
          </cell>
          <cell r="P42">
            <v>314285.71999999997</v>
          </cell>
          <cell r="Q42">
            <v>10</v>
          </cell>
          <cell r="R42">
            <v>3</v>
          </cell>
          <cell r="T42">
            <v>236.73914752541216</v>
          </cell>
          <cell r="U42">
            <v>9601.697936640001</v>
          </cell>
          <cell r="V42">
            <v>9838.4370841654127</v>
          </cell>
          <cell r="W42">
            <v>63738.771392960873</v>
          </cell>
          <cell r="X42">
            <v>73577.208477126289</v>
          </cell>
          <cell r="Y42">
            <v>12.745056032760486</v>
          </cell>
          <cell r="AB42">
            <v>63123.743195081581</v>
          </cell>
          <cell r="AC42">
            <v>18857.143199999999</v>
          </cell>
          <cell r="AD42">
            <v>155558.09487220788</v>
          </cell>
          <cell r="AE42">
            <v>26.94579852281446</v>
          </cell>
          <cell r="AK42">
            <v>1.7042156736818661</v>
          </cell>
          <cell r="AM42">
            <v>12.745056032760486</v>
          </cell>
          <cell r="AO42">
            <v>26.94579852281446</v>
          </cell>
        </row>
        <row r="43">
          <cell r="E43" t="str">
            <v>A300T</v>
          </cell>
          <cell r="F43" t="str">
            <v>C4M004</v>
          </cell>
          <cell r="G43" t="str">
            <v>P300T 冲床</v>
          </cell>
          <cell r="H43" t="str">
            <v>300T冲床-PATEC</v>
          </cell>
          <cell r="I43" t="str">
            <v>TP302</v>
          </cell>
          <cell r="K43">
            <v>1</v>
          </cell>
          <cell r="L43" t="str">
            <v>K2-300</v>
          </cell>
          <cell r="M43" t="str">
            <v>300T</v>
          </cell>
          <cell r="N43">
            <v>43.64</v>
          </cell>
          <cell r="O43">
            <v>18.25</v>
          </cell>
          <cell r="P43">
            <v>314285.71999999997</v>
          </cell>
          <cell r="Q43">
            <v>10</v>
          </cell>
          <cell r="R43">
            <v>3</v>
          </cell>
          <cell r="T43">
            <v>236.73914752541216</v>
          </cell>
          <cell r="U43">
            <v>9601.697936640001</v>
          </cell>
          <cell r="V43">
            <v>9838.4370841654127</v>
          </cell>
          <cell r="W43">
            <v>63738.771392960873</v>
          </cell>
          <cell r="X43">
            <v>73577.208477126289</v>
          </cell>
          <cell r="Y43">
            <v>12.745056032760486</v>
          </cell>
          <cell r="AB43">
            <v>63123.743195081581</v>
          </cell>
          <cell r="AC43">
            <v>18857.143199999999</v>
          </cell>
          <cell r="AD43">
            <v>155558.09487220788</v>
          </cell>
          <cell r="AE43">
            <v>26.94579852281446</v>
          </cell>
          <cell r="AK43">
            <v>1.7042156736818661</v>
          </cell>
          <cell r="AM43">
            <v>12.745056032760486</v>
          </cell>
          <cell r="AO43">
            <v>26.94579852281446</v>
          </cell>
        </row>
        <row r="44">
          <cell r="E44" t="str">
            <v>A300T</v>
          </cell>
          <cell r="F44" t="str">
            <v>C4M004</v>
          </cell>
          <cell r="G44" t="str">
            <v>P300T 冲床</v>
          </cell>
          <cell r="H44" t="str">
            <v>300T冲床-PATEC</v>
          </cell>
          <cell r="I44" t="str">
            <v>TP303</v>
          </cell>
          <cell r="K44">
            <v>1</v>
          </cell>
          <cell r="L44" t="str">
            <v>K2-300</v>
          </cell>
          <cell r="M44" t="str">
            <v>300T</v>
          </cell>
          <cell r="N44">
            <v>43.64</v>
          </cell>
          <cell r="O44">
            <v>18.25</v>
          </cell>
          <cell r="P44">
            <v>361799.4</v>
          </cell>
          <cell r="Q44">
            <v>10</v>
          </cell>
          <cell r="R44">
            <v>3</v>
          </cell>
          <cell r="T44">
            <v>236.73914752541216</v>
          </cell>
          <cell r="U44">
            <v>9601.697936640001</v>
          </cell>
          <cell r="V44">
            <v>9838.4370841654127</v>
          </cell>
          <cell r="W44">
            <v>67905.304732353921</v>
          </cell>
          <cell r="X44">
            <v>77743.741816519338</v>
          </cell>
          <cell r="Y44">
            <v>13.466783616234078</v>
          </cell>
          <cell r="AB44">
            <v>67250.072818037544</v>
          </cell>
          <cell r="AC44">
            <v>21707.964</v>
          </cell>
          <cell r="AD44">
            <v>166701.77863455686</v>
          </cell>
          <cell r="AE44">
            <v>28.876109238620625</v>
          </cell>
          <cell r="AK44">
            <v>1.7042156736818661</v>
          </cell>
          <cell r="AM44">
            <v>13.466783616234078</v>
          </cell>
          <cell r="AO44">
            <v>28.876109238620625</v>
          </cell>
        </row>
        <row r="45">
          <cell r="E45" t="str">
            <v>A300T</v>
          </cell>
          <cell r="F45" t="str">
            <v>C4M004</v>
          </cell>
          <cell r="G45" t="str">
            <v>P300T 冲床</v>
          </cell>
          <cell r="H45" t="str">
            <v>300T冲床-PATEC</v>
          </cell>
          <cell r="I45" t="str">
            <v>TP304</v>
          </cell>
          <cell r="K45">
            <v>1</v>
          </cell>
          <cell r="L45" t="str">
            <v>FGL-300</v>
          </cell>
          <cell r="M45" t="str">
            <v>300T</v>
          </cell>
          <cell r="N45">
            <v>43.64</v>
          </cell>
          <cell r="O45">
            <v>18.25</v>
          </cell>
          <cell r="P45">
            <v>403978.29</v>
          </cell>
          <cell r="Q45">
            <v>10</v>
          </cell>
          <cell r="R45">
            <v>3</v>
          </cell>
          <cell r="T45">
            <v>236.73914752541216</v>
          </cell>
          <cell r="U45">
            <v>9601.697936640001</v>
          </cell>
          <cell r="V45">
            <v>9838.4370841654127</v>
          </cell>
          <cell r="W45">
            <v>71604.023741354962</v>
          </cell>
          <cell r="X45">
            <v>81442.460825520378</v>
          </cell>
          <cell r="Y45">
            <v>14.107476325224386</v>
          </cell>
          <cell r="AB45">
            <v>70913.102144968259</v>
          </cell>
          <cell r="AC45">
            <v>24238.697399999997</v>
          </cell>
          <cell r="AD45">
            <v>176594.26037048863</v>
          </cell>
          <cell r="AE45">
            <v>30.589686535681384</v>
          </cell>
          <cell r="AK45">
            <v>1.7042156736818661</v>
          </cell>
          <cell r="AM45">
            <v>14.107476325224386</v>
          </cell>
          <cell r="AO45">
            <v>30.589686535681384</v>
          </cell>
        </row>
        <row r="46">
          <cell r="E46" t="str">
            <v>A300T</v>
          </cell>
          <cell r="F46" t="str">
            <v>C4M004</v>
          </cell>
          <cell r="G46" t="str">
            <v>P300T 冲床</v>
          </cell>
          <cell r="H46" t="str">
            <v>300T冲床-PATEC</v>
          </cell>
          <cell r="I46" t="str">
            <v>TP305</v>
          </cell>
          <cell r="K46">
            <v>1</v>
          </cell>
          <cell r="L46" t="str">
            <v>K2-300</v>
          </cell>
          <cell r="M46" t="str">
            <v>300T</v>
          </cell>
          <cell r="N46">
            <v>43.64</v>
          </cell>
          <cell r="O46">
            <v>18.25</v>
          </cell>
          <cell r="P46">
            <v>355878.36</v>
          </cell>
          <cell r="Q46">
            <v>10</v>
          </cell>
          <cell r="R46">
            <v>3</v>
          </cell>
          <cell r="S46">
            <v>35587.835999999996</v>
          </cell>
          <cell r="T46">
            <v>236.73914752541216</v>
          </cell>
          <cell r="U46">
            <v>9601.697936640001</v>
          </cell>
          <cell r="V46">
            <v>45426.273084165412</v>
          </cell>
          <cell r="W46">
            <v>67386.081414692992</v>
          </cell>
          <cell r="X46">
            <v>112812.3544988584</v>
          </cell>
          <cell r="Y46">
            <v>19.541374415184205</v>
          </cell>
          <cell r="AB46">
            <v>66735.859590379594</v>
          </cell>
          <cell r="AC46">
            <v>21352.701599999997</v>
          </cell>
          <cell r="AD46">
            <v>200900.915689238</v>
          </cell>
          <cell r="AE46">
            <v>34.800089327773776</v>
          </cell>
          <cell r="AK46">
            <v>7.8687464202607673</v>
          </cell>
          <cell r="AM46">
            <v>19.541374415184205</v>
          </cell>
          <cell r="AO46">
            <v>34.800089327773776</v>
          </cell>
        </row>
        <row r="47">
          <cell r="E47" t="str">
            <v>A300T</v>
          </cell>
          <cell r="F47" t="str">
            <v>C4M004</v>
          </cell>
          <cell r="G47" t="str">
            <v>P300T 冲床</v>
          </cell>
          <cell r="H47" t="str">
            <v>300T冲床-PATEC</v>
          </cell>
          <cell r="I47" t="str">
            <v>TP306</v>
          </cell>
          <cell r="K47">
            <v>1</v>
          </cell>
          <cell r="L47" t="str">
            <v>FGL-300T</v>
          </cell>
          <cell r="M47" t="str">
            <v>300T</v>
          </cell>
          <cell r="N47">
            <v>43.64</v>
          </cell>
          <cell r="O47">
            <v>18.25</v>
          </cell>
          <cell r="P47">
            <v>501246.57</v>
          </cell>
          <cell r="Q47">
            <v>10</v>
          </cell>
          <cell r="R47">
            <v>3</v>
          </cell>
          <cell r="S47">
            <v>50124.656999999999</v>
          </cell>
          <cell r="T47">
            <v>236.73914752541216</v>
          </cell>
          <cell r="U47">
            <v>9601.697936640001</v>
          </cell>
          <cell r="V47">
            <v>59963.094084165408</v>
          </cell>
          <cell r="W47">
            <v>80133.599465344741</v>
          </cell>
          <cell r="X47">
            <v>140096.69354951015</v>
          </cell>
          <cell r="Y47">
            <v>24.267572068163894</v>
          </cell>
          <cell r="AB47">
            <v>79360.374280866294</v>
          </cell>
          <cell r="AC47">
            <v>30074.7942</v>
          </cell>
          <cell r="AD47">
            <v>249531.86203037645</v>
          </cell>
          <cell r="AE47">
            <v>43.223949771414595</v>
          </cell>
          <cell r="AK47">
            <v>10.386816920867037</v>
          </cell>
          <cell r="AM47">
            <v>24.267572068163894</v>
          </cell>
          <cell r="AO47">
            <v>43.223949771414595</v>
          </cell>
        </row>
        <row r="48">
          <cell r="E48" t="str">
            <v>A300T</v>
          </cell>
          <cell r="F48" t="str">
            <v>C4M004</v>
          </cell>
          <cell r="G48" t="str">
            <v>P300T 冲床</v>
          </cell>
          <cell r="H48" t="str">
            <v>300T冲床-PATEC</v>
          </cell>
          <cell r="I48" t="str">
            <v>TP307</v>
          </cell>
          <cell r="K48">
            <v>1</v>
          </cell>
          <cell r="L48" t="str">
            <v>FGL-300T</v>
          </cell>
          <cell r="M48" t="str">
            <v>301T</v>
          </cell>
          <cell r="N48">
            <v>43.64</v>
          </cell>
          <cell r="O48">
            <v>18.25</v>
          </cell>
          <cell r="P48">
            <v>610591.27</v>
          </cell>
          <cell r="Q48">
            <v>10</v>
          </cell>
          <cell r="R48">
            <v>3</v>
          </cell>
          <cell r="S48">
            <v>61059.127</v>
          </cell>
          <cell r="T48">
            <v>236.73914752541216</v>
          </cell>
          <cell r="U48">
            <v>9601.697936640001</v>
          </cell>
          <cell r="V48">
            <v>70897.564084165409</v>
          </cell>
          <cell r="W48">
            <v>89722.171388966119</v>
          </cell>
          <cell r="X48">
            <v>160619.73547313153</v>
          </cell>
          <cell r="Y48">
            <v>27.82257673187797</v>
          </cell>
          <cell r="AB48">
            <v>88856.424149519546</v>
          </cell>
          <cell r="AC48">
            <v>36635.476199999997</v>
          </cell>
          <cell r="AD48">
            <v>286111.63582265109</v>
          </cell>
          <cell r="AE48">
            <v>49.560304143885517</v>
          </cell>
          <cell r="AK48">
            <v>12.280887594693471</v>
          </cell>
          <cell r="AM48">
            <v>27.82257673187797</v>
          </cell>
          <cell r="AO48">
            <v>49.560304143885517</v>
          </cell>
        </row>
        <row r="50">
          <cell r="C50" t="str">
            <v>A300T</v>
          </cell>
          <cell r="D50" t="str">
            <v>P300T 冲床</v>
          </cell>
          <cell r="H50" t="str">
            <v>小计</v>
          </cell>
          <cell r="K50">
            <v>7</v>
          </cell>
          <cell r="N50">
            <v>305.47999999999996</v>
          </cell>
          <cell r="O50">
            <v>127.75</v>
          </cell>
          <cell r="P50">
            <v>2862065.3299999996</v>
          </cell>
          <cell r="Q50">
            <v>10</v>
          </cell>
          <cell r="R50">
            <v>3</v>
          </cell>
          <cell r="S50">
            <v>146771.62</v>
          </cell>
          <cell r="T50">
            <v>1657.1740326778852</v>
          </cell>
          <cell r="U50">
            <v>67211.885556480018</v>
          </cell>
          <cell r="V50">
            <v>215640.67958915789</v>
          </cell>
          <cell r="W50">
            <v>504228.72352863452</v>
          </cell>
          <cell r="X50">
            <v>719869.40311779245</v>
          </cell>
          <cell r="Y50">
            <v>17.813699317457928</v>
          </cell>
          <cell r="Z50">
            <v>0</v>
          </cell>
          <cell r="AA50">
            <v>0</v>
          </cell>
          <cell r="AB50">
            <v>499363.31937393441</v>
          </cell>
          <cell r="AC50">
            <v>171723.9198</v>
          </cell>
          <cell r="AD50">
            <v>1390956.6422917265</v>
          </cell>
          <cell r="AE50">
            <v>34.42024800900068</v>
          </cell>
          <cell r="AF50">
            <v>0</v>
          </cell>
          <cell r="AG50">
            <v>0</v>
          </cell>
          <cell r="AK50">
            <v>5.3361876615069628</v>
          </cell>
          <cell r="AM50">
            <v>17.813699317457928</v>
          </cell>
          <cell r="AO50">
            <v>34.42024800900068</v>
          </cell>
        </row>
        <row r="52">
          <cell r="E52" t="str">
            <v>A500T</v>
          </cell>
          <cell r="F52" t="str">
            <v>C4M023</v>
          </cell>
          <cell r="G52" t="str">
            <v>P500T冲床</v>
          </cell>
          <cell r="H52" t="str">
            <v>500T冲床-UKL</v>
          </cell>
          <cell r="I52" t="str">
            <v>TP501</v>
          </cell>
          <cell r="K52">
            <v>1</v>
          </cell>
          <cell r="L52" t="str">
            <v>UKL-500T</v>
          </cell>
          <cell r="M52" t="str">
            <v>500T</v>
          </cell>
          <cell r="N52">
            <v>51</v>
          </cell>
          <cell r="O52">
            <v>12.18</v>
          </cell>
          <cell r="P52">
            <v>627387.4</v>
          </cell>
          <cell r="Q52">
            <v>10</v>
          </cell>
          <cell r="R52">
            <v>3</v>
          </cell>
          <cell r="S52">
            <v>62738.740000000005</v>
          </cell>
          <cell r="T52">
            <v>157.99905845805588</v>
          </cell>
          <cell r="U52">
            <v>11221.049376000001</v>
          </cell>
          <cell r="V52">
            <v>74117.788434458067</v>
          </cell>
          <cell r="W52">
            <v>82396.431504824242</v>
          </cell>
          <cell r="X52">
            <v>156514.21993928231</v>
          </cell>
          <cell r="Y52">
            <v>27.111418662616025</v>
          </cell>
          <cell r="AB52">
            <v>81601.37179983448</v>
          </cell>
          <cell r="AC52">
            <v>37643.243999999999</v>
          </cell>
          <cell r="AD52">
            <v>275758.83573911677</v>
          </cell>
          <cell r="AE52">
            <v>47.766990427700811</v>
          </cell>
          <cell r="AK52">
            <v>12.838695380990485</v>
          </cell>
          <cell r="AM52">
            <v>27.111418662616025</v>
          </cell>
          <cell r="AO52">
            <v>47.766990427700811</v>
          </cell>
        </row>
        <row r="54">
          <cell r="C54" t="str">
            <v>A500T</v>
          </cell>
          <cell r="D54" t="str">
            <v>P500T冲床</v>
          </cell>
          <cell r="H54" t="str">
            <v>小计</v>
          </cell>
          <cell r="K54">
            <v>1</v>
          </cell>
          <cell r="N54">
            <v>51</v>
          </cell>
          <cell r="O54">
            <v>12.18</v>
          </cell>
          <cell r="P54">
            <v>627387.4</v>
          </cell>
          <cell r="Q54">
            <v>10</v>
          </cell>
          <cell r="R54">
            <v>3</v>
          </cell>
          <cell r="S54">
            <v>62738.740000000005</v>
          </cell>
          <cell r="T54">
            <v>157.99905845805588</v>
          </cell>
          <cell r="U54">
            <v>11221.049376000001</v>
          </cell>
          <cell r="V54">
            <v>74117.788434458067</v>
          </cell>
          <cell r="W54">
            <v>82396.431504824242</v>
          </cell>
          <cell r="X54">
            <v>156514.21993928231</v>
          </cell>
          <cell r="Y54">
            <v>27.111418662616025</v>
          </cell>
          <cell r="Z54">
            <v>0</v>
          </cell>
          <cell r="AA54">
            <v>0</v>
          </cell>
          <cell r="AB54">
            <v>81601.37179983448</v>
          </cell>
          <cell r="AC54">
            <v>37643.243999999999</v>
          </cell>
          <cell r="AD54">
            <v>275758.83573911677</v>
          </cell>
          <cell r="AE54">
            <v>47.766990427700811</v>
          </cell>
          <cell r="AF54">
            <v>0</v>
          </cell>
          <cell r="AG54">
            <v>0</v>
          </cell>
          <cell r="AK54">
            <v>12.838695380990485</v>
          </cell>
          <cell r="AM54">
            <v>27.111418662616025</v>
          </cell>
          <cell r="AO54">
            <v>47.766990427700811</v>
          </cell>
        </row>
        <row r="56">
          <cell r="E56" t="str">
            <v>M160T</v>
          </cell>
          <cell r="F56" t="str">
            <v>C4M001</v>
          </cell>
          <cell r="G56" t="str">
            <v>M160T 冲床(单动)</v>
          </cell>
          <cell r="H56" t="str">
            <v>160T协易冲床TP101(手动)</v>
          </cell>
          <cell r="I56" t="str">
            <v>TP161单动冲床</v>
          </cell>
          <cell r="K56">
            <v>1</v>
          </cell>
          <cell r="L56" t="str">
            <v>SNS1-160(S)</v>
          </cell>
          <cell r="M56" t="str">
            <v>160T</v>
          </cell>
          <cell r="N56">
            <v>15</v>
          </cell>
          <cell r="O56">
            <v>6.75</v>
          </cell>
          <cell r="P56">
            <v>54000</v>
          </cell>
          <cell r="Q56">
            <v>10</v>
          </cell>
          <cell r="R56">
            <v>3</v>
          </cell>
          <cell r="S56">
            <v>5400</v>
          </cell>
          <cell r="T56">
            <v>87.56105456419354</v>
          </cell>
          <cell r="U56">
            <v>3300.3086400000007</v>
          </cell>
          <cell r="V56">
            <v>8787.869694564195</v>
          </cell>
          <cell r="W56">
            <v>24244.463878164141</v>
          </cell>
          <cell r="X56">
            <v>33032.333572728334</v>
          </cell>
          <cell r="Y56">
            <v>5.7218662000222302</v>
          </cell>
          <cell r="AB56">
            <v>24010.524180211578</v>
          </cell>
          <cell r="AC56">
            <v>3240</v>
          </cell>
          <cell r="AD56">
            <v>60282.857752939912</v>
          </cell>
          <cell r="AE56">
            <v>10.442206435638301</v>
          </cell>
          <cell r="AK56">
            <v>1.5222362193944561</v>
          </cell>
          <cell r="AM56">
            <v>5.7218662000222302</v>
          </cell>
          <cell r="AO56">
            <v>10.442206435638301</v>
          </cell>
        </row>
        <row r="57">
          <cell r="E57" t="str">
            <v>M160T</v>
          </cell>
          <cell r="F57" t="str">
            <v>C4M001</v>
          </cell>
          <cell r="G57" t="str">
            <v>M160T 冲床(单动)</v>
          </cell>
          <cell r="H57" t="str">
            <v>160T协易冲床TP102(手动)</v>
          </cell>
          <cell r="I57" t="str">
            <v>TP162单动冲床</v>
          </cell>
          <cell r="K57">
            <v>1</v>
          </cell>
          <cell r="L57" t="str">
            <v>SNS1-160(S)</v>
          </cell>
          <cell r="M57" t="str">
            <v>160T</v>
          </cell>
          <cell r="N57">
            <v>15</v>
          </cell>
          <cell r="O57">
            <v>6.75</v>
          </cell>
          <cell r="P57">
            <v>54000</v>
          </cell>
          <cell r="Q57">
            <v>10</v>
          </cell>
          <cell r="R57">
            <v>3</v>
          </cell>
          <cell r="S57">
            <v>5400</v>
          </cell>
          <cell r="T57">
            <v>87.56105456419354</v>
          </cell>
          <cell r="U57">
            <v>3300.3086400000007</v>
          </cell>
          <cell r="V57">
            <v>8787.869694564195</v>
          </cell>
          <cell r="W57">
            <v>24244.463878164141</v>
          </cell>
          <cell r="X57">
            <v>33032.333572728334</v>
          </cell>
          <cell r="Y57">
            <v>5.7218662000222302</v>
          </cell>
          <cell r="AB57">
            <v>24010.524180211578</v>
          </cell>
          <cell r="AC57">
            <v>3240</v>
          </cell>
          <cell r="AD57">
            <v>60282.857752939912</v>
          </cell>
          <cell r="AE57">
            <v>10.442206435638301</v>
          </cell>
          <cell r="AK57">
            <v>1.5222362193944561</v>
          </cell>
          <cell r="AM57">
            <v>5.7218662000222302</v>
          </cell>
          <cell r="AO57">
            <v>10.442206435638301</v>
          </cell>
        </row>
        <row r="59">
          <cell r="C59" t="str">
            <v>M160T</v>
          </cell>
          <cell r="D59" t="str">
            <v>M160T 冲床(单动)</v>
          </cell>
          <cell r="H59" t="str">
            <v>小计</v>
          </cell>
          <cell r="K59">
            <v>2</v>
          </cell>
          <cell r="N59">
            <v>30</v>
          </cell>
          <cell r="O59">
            <v>13.5</v>
          </cell>
          <cell r="P59">
            <v>108000</v>
          </cell>
          <cell r="Q59">
            <v>10</v>
          </cell>
          <cell r="R59">
            <v>3</v>
          </cell>
          <cell r="S59">
            <v>10800</v>
          </cell>
          <cell r="T59">
            <v>175.12210912838708</v>
          </cell>
          <cell r="U59">
            <v>6600.6172800000013</v>
          </cell>
          <cell r="V59">
            <v>17575.73938912839</v>
          </cell>
          <cell r="W59">
            <v>48488.927756328281</v>
          </cell>
          <cell r="X59">
            <v>66064.667145456668</v>
          </cell>
          <cell r="Y59">
            <v>5.7218662000222302</v>
          </cell>
          <cell r="Z59">
            <v>0</v>
          </cell>
          <cell r="AA59">
            <v>0</v>
          </cell>
          <cell r="AB59">
            <v>48021.048360423156</v>
          </cell>
          <cell r="AC59">
            <v>6480</v>
          </cell>
          <cell r="AD59">
            <v>120565.71550587982</v>
          </cell>
          <cell r="AE59">
            <v>10.442206435638301</v>
          </cell>
          <cell r="AF59">
            <v>0</v>
          </cell>
          <cell r="AG59">
            <v>0</v>
          </cell>
          <cell r="AK59">
            <v>1.5222362193944561</v>
          </cell>
          <cell r="AM59">
            <v>5.7218662000222302</v>
          </cell>
          <cell r="AO59">
            <v>10.442206435638301</v>
          </cell>
        </row>
        <row r="61">
          <cell r="E61" t="str">
            <v>M110T</v>
          </cell>
          <cell r="F61" t="e">
            <v>#N/A</v>
          </cell>
          <cell r="G61" t="str">
            <v>M110T 工作中心(单动)</v>
          </cell>
          <cell r="H61" t="str">
            <v>冲床 SEYI &amp;110T(手动)</v>
          </cell>
          <cell r="I61" t="str">
            <v>TP112单动冲床</v>
          </cell>
          <cell r="K61">
            <v>1</v>
          </cell>
          <cell r="L61" t="str">
            <v>SEYI &amp;110T</v>
          </cell>
          <cell r="M61" t="str">
            <v>60T</v>
          </cell>
          <cell r="N61">
            <v>15</v>
          </cell>
          <cell r="O61">
            <v>3.65</v>
          </cell>
          <cell r="P61">
            <v>39707.410000000003</v>
          </cell>
          <cell r="Q61">
            <v>5</v>
          </cell>
          <cell r="R61">
            <v>3</v>
          </cell>
          <cell r="S61">
            <v>7941.4820000000009</v>
          </cell>
          <cell r="T61">
            <v>47.34782950508243</v>
          </cell>
          <cell r="U61">
            <v>3300.3086400000007</v>
          </cell>
          <cell r="V61">
            <v>11289.138469505084</v>
          </cell>
          <cell r="W61">
            <v>18497.603259215972</v>
          </cell>
          <cell r="X61">
            <v>29786.741728721056</v>
          </cell>
          <cell r="Y61">
            <v>5.1596642523334584</v>
          </cell>
          <cell r="AB61">
            <v>18319.116172800965</v>
          </cell>
          <cell r="AC61">
            <v>2382.4446000000003</v>
          </cell>
          <cell r="AD61">
            <v>50488.302501522019</v>
          </cell>
          <cell r="AE61">
            <v>8.7455919801701061</v>
          </cell>
          <cell r="AK61">
            <v>1.9555064038636902</v>
          </cell>
          <cell r="AM61">
            <v>5.1596642523334584</v>
          </cell>
          <cell r="AO61">
            <v>8.7455919801701061</v>
          </cell>
        </row>
        <row r="63">
          <cell r="C63" t="str">
            <v>M110T</v>
          </cell>
          <cell r="D63" t="str">
            <v>M110T 工作中心(单动)</v>
          </cell>
          <cell r="H63" t="str">
            <v>小计</v>
          </cell>
          <cell r="K63">
            <v>1</v>
          </cell>
          <cell r="N63">
            <v>15</v>
          </cell>
          <cell r="O63">
            <v>3.65</v>
          </cell>
          <cell r="P63">
            <v>39707.410000000003</v>
          </cell>
          <cell r="Q63">
            <v>5</v>
          </cell>
          <cell r="R63">
            <v>3</v>
          </cell>
          <cell r="S63">
            <v>7941.4820000000009</v>
          </cell>
          <cell r="T63">
            <v>47.34782950508243</v>
          </cell>
          <cell r="U63">
            <v>3300.3086400000007</v>
          </cell>
          <cell r="V63">
            <v>11289.138469505084</v>
          </cell>
          <cell r="W63">
            <v>18497.603259215972</v>
          </cell>
          <cell r="X63">
            <v>29786.741728721056</v>
          </cell>
          <cell r="Y63">
            <v>5.1596642523334584</v>
          </cell>
          <cell r="Z63">
            <v>0</v>
          </cell>
          <cell r="AA63">
            <v>0</v>
          </cell>
          <cell r="AB63">
            <v>18319.116172800965</v>
          </cell>
          <cell r="AC63">
            <v>2382.4446000000003</v>
          </cell>
          <cell r="AD63">
            <v>50488.302501522019</v>
          </cell>
          <cell r="AE63">
            <v>8.7455919801701061</v>
          </cell>
          <cell r="AF63">
            <v>0</v>
          </cell>
          <cell r="AG63">
            <v>0</v>
          </cell>
          <cell r="AK63">
            <v>1.9555064038636902</v>
          </cell>
          <cell r="AM63">
            <v>5.1596642523334584</v>
          </cell>
          <cell r="AO63">
            <v>8.7455919801701061</v>
          </cell>
        </row>
        <row r="65">
          <cell r="E65" t="str">
            <v>S110T</v>
          </cell>
          <cell r="F65" t="str">
            <v>C4M006</v>
          </cell>
          <cell r="G65" t="str">
            <v>S110T 工作中心(高速)</v>
          </cell>
          <cell r="H65" t="str">
            <v>110T高速冲床</v>
          </cell>
          <cell r="I65" t="str">
            <v>TP111高速冲床</v>
          </cell>
          <cell r="K65">
            <v>1</v>
          </cell>
          <cell r="L65" t="str">
            <v>AIDA UMX110</v>
          </cell>
          <cell r="M65" t="str">
            <v>110T</v>
          </cell>
          <cell r="N65">
            <v>15</v>
          </cell>
          <cell r="O65">
            <v>3.6539999999999995</v>
          </cell>
          <cell r="P65">
            <v>74841.59</v>
          </cell>
          <cell r="Q65">
            <v>5</v>
          </cell>
          <cell r="R65">
            <v>3</v>
          </cell>
          <cell r="S65">
            <v>14968.317999999999</v>
          </cell>
          <cell r="T65">
            <v>47.399717537416763</v>
          </cell>
          <cell r="U65">
            <v>3300.3086400000007</v>
          </cell>
          <cell r="V65">
            <v>18316.026357537416</v>
          </cell>
          <cell r="W65">
            <v>21584.361036804763</v>
          </cell>
          <cell r="X65">
            <v>39900.387394342179</v>
          </cell>
          <cell r="Y65">
            <v>6.9115516013064573</v>
          </cell>
          <cell r="AB65">
            <v>21376.089205065189</v>
          </cell>
          <cell r="AC65">
            <v>4490.4953999999998</v>
          </cell>
          <cell r="AD65">
            <v>65766.971999407368</v>
          </cell>
          <cell r="AE65">
            <v>11.392165598373007</v>
          </cell>
          <cell r="AK65">
            <v>3.1727050679953952</v>
          </cell>
          <cell r="AM65">
            <v>6.9115516013064573</v>
          </cell>
          <cell r="AO65">
            <v>11.392165598373007</v>
          </cell>
        </row>
        <row r="66">
          <cell r="E66" t="str">
            <v>S110T</v>
          </cell>
          <cell r="F66" t="str">
            <v>C4M006</v>
          </cell>
          <cell r="G66" t="str">
            <v>S111T 工作中心(高速)</v>
          </cell>
          <cell r="H66" t="str">
            <v xml:space="preserve">110T冲床及送料机 </v>
          </cell>
          <cell r="I66" t="str">
            <v>TP113高速冲床</v>
          </cell>
          <cell r="K66">
            <v>1</v>
          </cell>
          <cell r="L66" t="str">
            <v>AIDA UMX110</v>
          </cell>
          <cell r="M66" t="str">
            <v>111T</v>
          </cell>
          <cell r="N66">
            <v>15</v>
          </cell>
          <cell r="O66">
            <v>3.6539999999999995</v>
          </cell>
          <cell r="P66">
            <v>60601.71</v>
          </cell>
          <cell r="Q66">
            <v>5</v>
          </cell>
          <cell r="R66">
            <v>3</v>
          </cell>
          <cell r="S66">
            <v>12120.342000000001</v>
          </cell>
          <cell r="T66">
            <v>47.399717537416763</v>
          </cell>
          <cell r="U66">
            <v>3300.3086400000007</v>
          </cell>
          <cell r="V66">
            <v>15468.050357537419</v>
          </cell>
          <cell r="W66">
            <v>20335.648355131689</v>
          </cell>
          <cell r="X66">
            <v>35803.698712669109</v>
          </cell>
          <cell r="Y66">
            <v>6.2019225208157129</v>
          </cell>
          <cell r="AB66">
            <v>20139.425602680818</v>
          </cell>
          <cell r="AC66">
            <v>3636.1025999999997</v>
          </cell>
          <cell r="AD66">
            <v>59579.226915349922</v>
          </cell>
          <cell r="AE66">
            <v>10.320323387380897</v>
          </cell>
          <cell r="AK66">
            <v>2.6793782015481411</v>
          </cell>
          <cell r="AM66">
            <v>6.2019225208157129</v>
          </cell>
          <cell r="AO66">
            <v>10.320323387380897</v>
          </cell>
        </row>
        <row r="67">
          <cell r="E67" t="str">
            <v>S110T</v>
          </cell>
          <cell r="F67" t="str">
            <v>C4M006</v>
          </cell>
          <cell r="G67" t="str">
            <v>S112T 工作中心(高速)</v>
          </cell>
          <cell r="H67" t="str">
            <v xml:space="preserve">110T冲床及送料机 </v>
          </cell>
          <cell r="I67" t="str">
            <v>TP114高速冲床</v>
          </cell>
          <cell r="K67">
            <v>1</v>
          </cell>
          <cell r="L67" t="str">
            <v>AIDA UMX110</v>
          </cell>
          <cell r="M67" t="str">
            <v>112T</v>
          </cell>
          <cell r="N67">
            <v>15</v>
          </cell>
          <cell r="O67">
            <v>3.6539999999999995</v>
          </cell>
          <cell r="P67">
            <v>68301.16</v>
          </cell>
          <cell r="Q67">
            <v>5</v>
          </cell>
          <cell r="R67">
            <v>3</v>
          </cell>
          <cell r="S67">
            <v>13660.232</v>
          </cell>
          <cell r="T67">
            <v>47.399717537416763</v>
          </cell>
          <cell r="U67">
            <v>3300.3086400000007</v>
          </cell>
          <cell r="V67">
            <v>17007.940357537416</v>
          </cell>
          <cell r="W67">
            <v>21010.822644304615</v>
          </cell>
          <cell r="X67">
            <v>38018.763001842031</v>
          </cell>
          <cell r="Y67">
            <v>6.585616317658415</v>
          </cell>
          <cell r="AB67">
            <v>20808.084999626462</v>
          </cell>
          <cell r="AC67">
            <v>4098.0695999999998</v>
          </cell>
          <cell r="AD67">
            <v>62924.917601468493</v>
          </cell>
          <cell r="AE67">
            <v>10.899864472798976</v>
          </cell>
          <cell r="AK67">
            <v>2.9461181980837376</v>
          </cell>
          <cell r="AM67">
            <v>6.585616317658415</v>
          </cell>
          <cell r="AO67">
            <v>10.899864472798976</v>
          </cell>
        </row>
        <row r="69">
          <cell r="C69" t="str">
            <v>S110T</v>
          </cell>
          <cell r="D69" t="str">
            <v>S110T 工作中心(高速)</v>
          </cell>
          <cell r="H69" t="str">
            <v>小计</v>
          </cell>
          <cell r="K69">
            <v>3</v>
          </cell>
          <cell r="N69">
            <v>45</v>
          </cell>
          <cell r="O69">
            <v>10.961999999999998</v>
          </cell>
          <cell r="P69">
            <v>203744.46</v>
          </cell>
          <cell r="Q69">
            <v>5</v>
          </cell>
          <cell r="R69">
            <v>3</v>
          </cell>
          <cell r="S69">
            <v>40748.892</v>
          </cell>
          <cell r="T69">
            <v>142.19915261225029</v>
          </cell>
          <cell r="U69">
            <v>9900.9259200000015</v>
          </cell>
          <cell r="V69">
            <v>50792.017072612252</v>
          </cell>
          <cell r="W69">
            <v>62930.832036241067</v>
          </cell>
          <cell r="X69">
            <v>113722.84910885332</v>
          </cell>
          <cell r="Y69">
            <v>6.5663634799268609</v>
          </cell>
          <cell r="Z69">
            <v>0</v>
          </cell>
          <cell r="AA69">
            <v>0</v>
          </cell>
          <cell r="AB69">
            <v>62323.599807372462</v>
          </cell>
          <cell r="AC69">
            <v>12224.667600000001</v>
          </cell>
          <cell r="AD69">
            <v>188271.1165162258</v>
          </cell>
          <cell r="AE69">
            <v>10.870784486184293</v>
          </cell>
          <cell r="AF69">
            <v>0</v>
          </cell>
          <cell r="AG69">
            <v>0</v>
          </cell>
          <cell r="AK69">
            <v>2.9327338225424247</v>
          </cell>
          <cell r="AM69">
            <v>6.5663634799268609</v>
          </cell>
          <cell r="AO69">
            <v>10.870784486184293</v>
          </cell>
        </row>
        <row r="71">
          <cell r="E71" t="str">
            <v>S60T</v>
          </cell>
          <cell r="F71" t="str">
            <v>C4M005</v>
          </cell>
          <cell r="G71" t="str">
            <v>S60T 工作中心(高速)</v>
          </cell>
          <cell r="H71" t="str">
            <v>60T高速冲床</v>
          </cell>
          <cell r="I71" t="str">
            <v>TP61高速冲床</v>
          </cell>
          <cell r="K71">
            <v>1</v>
          </cell>
          <cell r="L71">
            <v>0</v>
          </cell>
          <cell r="M71" t="str">
            <v>60T</v>
          </cell>
          <cell r="N71">
            <v>15</v>
          </cell>
          <cell r="O71">
            <v>4.9879999999999995</v>
          </cell>
          <cell r="P71">
            <v>46438</v>
          </cell>
          <cell r="Q71">
            <v>5</v>
          </cell>
          <cell r="R71">
            <v>3</v>
          </cell>
          <cell r="S71">
            <v>9287.6</v>
          </cell>
          <cell r="T71">
            <v>64.704376320918129</v>
          </cell>
          <cell r="U71">
            <v>3300.3086400000007</v>
          </cell>
          <cell r="V71">
            <v>12652.61301632092</v>
          </cell>
          <cell r="W71">
            <v>21027.28070420642</v>
          </cell>
          <cell r="X71">
            <v>33679.89372052734</v>
          </cell>
          <cell r="Y71">
            <v>5.8340366742642198</v>
          </cell>
          <cell r="AB71">
            <v>20824.384252405052</v>
          </cell>
          <cell r="AC71">
            <v>2786.2799999999997</v>
          </cell>
          <cell r="AD71">
            <v>57290.557972932394</v>
          </cell>
          <cell r="AE71">
            <v>9.9238797805183427</v>
          </cell>
          <cell r="AK71">
            <v>2.1916876868735353</v>
          </cell>
          <cell r="AM71">
            <v>5.8340366742642198</v>
          </cell>
          <cell r="AO71">
            <v>9.9238797805183427</v>
          </cell>
        </row>
        <row r="73">
          <cell r="C73" t="str">
            <v>S60T</v>
          </cell>
          <cell r="D73" t="str">
            <v>S60T 工作中心(高速)</v>
          </cell>
          <cell r="H73" t="str">
            <v>小计</v>
          </cell>
          <cell r="K73">
            <v>1</v>
          </cell>
          <cell r="N73">
            <v>15</v>
          </cell>
          <cell r="O73">
            <v>4.9879999999999995</v>
          </cell>
          <cell r="P73">
            <v>46438</v>
          </cell>
          <cell r="Q73">
            <v>5</v>
          </cell>
          <cell r="R73">
            <v>3</v>
          </cell>
          <cell r="S73">
            <v>9287.6</v>
          </cell>
          <cell r="T73">
            <v>64.704376320918129</v>
          </cell>
          <cell r="U73">
            <v>3300.3086400000007</v>
          </cell>
          <cell r="V73">
            <v>12652.61301632092</v>
          </cell>
          <cell r="W73">
            <v>21027.28070420642</v>
          </cell>
          <cell r="X73">
            <v>33679.89372052734</v>
          </cell>
          <cell r="Y73">
            <v>5.8340366742642198</v>
          </cell>
          <cell r="Z73">
            <v>0</v>
          </cell>
          <cell r="AA73">
            <v>0</v>
          </cell>
          <cell r="AB73">
            <v>20824.384252405052</v>
          </cell>
          <cell r="AC73">
            <v>2786.2799999999997</v>
          </cell>
          <cell r="AD73">
            <v>57290.557972932394</v>
          </cell>
          <cell r="AE73">
            <v>9.9238797805183427</v>
          </cell>
          <cell r="AF73">
            <v>0</v>
          </cell>
          <cell r="AG73">
            <v>0</v>
          </cell>
          <cell r="AK73">
            <v>2.1916876868735353</v>
          </cell>
          <cell r="AM73">
            <v>5.8340366742642198</v>
          </cell>
          <cell r="AO73">
            <v>9.9238797805183427</v>
          </cell>
        </row>
        <row r="75">
          <cell r="E75" t="str">
            <v>C75300T</v>
          </cell>
          <cell r="F75" t="str">
            <v>C4M101</v>
          </cell>
          <cell r="G75" t="str">
            <v>TNX-300T冲床</v>
          </cell>
          <cell r="H75" t="str">
            <v>TNX-300T冲床 闭式双曲轴精密钢架</v>
          </cell>
          <cell r="I75" t="str">
            <v>M304</v>
          </cell>
          <cell r="K75">
            <v>1</v>
          </cell>
          <cell r="L75" t="str">
            <v>TNX-300T</v>
          </cell>
          <cell r="M75" t="str">
            <v>300T</v>
          </cell>
          <cell r="N75">
            <v>54</v>
          </cell>
          <cell r="O75">
            <v>13</v>
          </cell>
          <cell r="P75">
            <v>173431.63</v>
          </cell>
          <cell r="Q75">
            <v>10</v>
          </cell>
          <cell r="R75">
            <v>3</v>
          </cell>
          <cell r="S75">
            <v>17343.163</v>
          </cell>
          <cell r="T75">
            <v>168.63610508659497</v>
          </cell>
          <cell r="U75">
            <v>11881.111104000001</v>
          </cell>
          <cell r="V75">
            <v>29392.9102090866</v>
          </cell>
          <cell r="W75">
            <v>43777.098849660135</v>
          </cell>
          <cell r="X75">
            <v>73170.009058746742</v>
          </cell>
          <cell r="Y75">
            <v>12.674520883205741</v>
          </cell>
          <cell r="AB75">
            <v>43354.684836564433</v>
          </cell>
          <cell r="AC75">
            <v>10405.897800000001</v>
          </cell>
          <cell r="AD75">
            <v>126930.59169531117</v>
          </cell>
          <cell r="AE75">
            <v>21.986937761183299</v>
          </cell>
          <cell r="AK75">
            <v>5.0914446923759913</v>
          </cell>
          <cell r="AM75">
            <v>12.674520883205741</v>
          </cell>
          <cell r="AO75">
            <v>21.986937761183299</v>
          </cell>
        </row>
        <row r="76">
          <cell r="E76" t="str">
            <v>C75300T</v>
          </cell>
          <cell r="F76" t="str">
            <v>C4M101</v>
          </cell>
          <cell r="G76" t="str">
            <v>TNX-300T冲床</v>
          </cell>
          <cell r="H76" t="str">
            <v>TNX-300T冲床 闭式双曲轴精密钢架</v>
          </cell>
          <cell r="I76" t="str">
            <v>M305</v>
          </cell>
          <cell r="K76">
            <v>1</v>
          </cell>
          <cell r="L76" t="str">
            <v>TNX-300T</v>
          </cell>
          <cell r="M76" t="str">
            <v>300T</v>
          </cell>
          <cell r="N76">
            <v>54</v>
          </cell>
          <cell r="O76">
            <v>13</v>
          </cell>
          <cell r="P76">
            <v>173431.63</v>
          </cell>
          <cell r="Q76">
            <v>10</v>
          </cell>
          <cell r="R76">
            <v>3</v>
          </cell>
          <cell r="S76">
            <v>17343.163</v>
          </cell>
          <cell r="T76">
            <v>168.63610508659497</v>
          </cell>
          <cell r="U76">
            <v>11881.111104000001</v>
          </cell>
          <cell r="V76">
            <v>29392.9102090866</v>
          </cell>
          <cell r="W76">
            <v>43777.098849660135</v>
          </cell>
          <cell r="X76">
            <v>73170.009058746742</v>
          </cell>
          <cell r="Y76">
            <v>12.674520883205741</v>
          </cell>
          <cell r="AB76">
            <v>43354.684836564433</v>
          </cell>
          <cell r="AC76">
            <v>10405.897800000001</v>
          </cell>
          <cell r="AD76">
            <v>126930.59169531117</v>
          </cell>
          <cell r="AE76">
            <v>21.986937761183299</v>
          </cell>
          <cell r="AK76">
            <v>5.0914446923759913</v>
          </cell>
          <cell r="AM76">
            <v>12.674520883205741</v>
          </cell>
          <cell r="AO76">
            <v>21.986937761183299</v>
          </cell>
        </row>
        <row r="77">
          <cell r="E77" t="str">
            <v>C75300T</v>
          </cell>
          <cell r="F77" t="str">
            <v>C4M101</v>
          </cell>
          <cell r="G77" t="str">
            <v>TNX-300T冲床</v>
          </cell>
          <cell r="H77" t="str">
            <v>TNX-300T冲床 闭式双曲轴精密钢架</v>
          </cell>
          <cell r="I77" t="str">
            <v>M306</v>
          </cell>
          <cell r="K77">
            <v>1</v>
          </cell>
          <cell r="L77" t="str">
            <v>TNX-300T</v>
          </cell>
          <cell r="M77" t="str">
            <v>300T</v>
          </cell>
          <cell r="N77">
            <v>54</v>
          </cell>
          <cell r="O77">
            <v>13</v>
          </cell>
          <cell r="P77">
            <v>173431.63</v>
          </cell>
          <cell r="Q77">
            <v>10</v>
          </cell>
          <cell r="R77">
            <v>3</v>
          </cell>
          <cell r="S77">
            <v>17343.163</v>
          </cell>
          <cell r="T77">
            <v>168.63610508659497</v>
          </cell>
          <cell r="U77">
            <v>11881.111104000001</v>
          </cell>
          <cell r="V77">
            <v>29392.9102090866</v>
          </cell>
          <cell r="W77">
            <v>43777.098849660135</v>
          </cell>
          <cell r="X77">
            <v>73170.009058746742</v>
          </cell>
          <cell r="Y77">
            <v>12.674520883205741</v>
          </cell>
          <cell r="AB77">
            <v>43354.684836564433</v>
          </cell>
          <cell r="AC77">
            <v>10405.897800000001</v>
          </cell>
          <cell r="AD77">
            <v>126930.59169531117</v>
          </cell>
          <cell r="AE77">
            <v>21.986937761183299</v>
          </cell>
          <cell r="AK77">
            <v>5.0914446923759913</v>
          </cell>
          <cell r="AM77">
            <v>12.674520883205741</v>
          </cell>
          <cell r="AO77">
            <v>21.986937761183299</v>
          </cell>
        </row>
        <row r="78">
          <cell r="E78" t="str">
            <v>C75300T</v>
          </cell>
          <cell r="F78" t="str">
            <v>C4M101</v>
          </cell>
          <cell r="G78" t="str">
            <v>TNX-300T冲床</v>
          </cell>
          <cell r="H78" t="str">
            <v>TNX-300T冲床 闭式双曲轴精密钢架</v>
          </cell>
          <cell r="I78" t="str">
            <v>M307</v>
          </cell>
          <cell r="K78">
            <v>1</v>
          </cell>
          <cell r="L78" t="str">
            <v>TNX-300T</v>
          </cell>
          <cell r="M78" t="str">
            <v>300T</v>
          </cell>
          <cell r="N78">
            <v>54</v>
          </cell>
          <cell r="O78">
            <v>13</v>
          </cell>
          <cell r="P78">
            <v>173431.63</v>
          </cell>
          <cell r="Q78">
            <v>10</v>
          </cell>
          <cell r="R78">
            <v>3</v>
          </cell>
          <cell r="S78">
            <v>17343.163</v>
          </cell>
          <cell r="T78">
            <v>168.63610508659497</v>
          </cell>
          <cell r="U78">
            <v>11881.111104000001</v>
          </cell>
          <cell r="V78">
            <v>29392.9102090866</v>
          </cell>
          <cell r="W78">
            <v>43777.098849660135</v>
          </cell>
          <cell r="X78">
            <v>73170.009058746742</v>
          </cell>
          <cell r="Y78">
            <v>12.674520883205741</v>
          </cell>
          <cell r="AB78">
            <v>43354.684836564433</v>
          </cell>
          <cell r="AC78">
            <v>10405.897800000001</v>
          </cell>
          <cell r="AD78">
            <v>126930.59169531117</v>
          </cell>
          <cell r="AE78">
            <v>21.986937761183299</v>
          </cell>
          <cell r="AK78">
            <v>5.0914446923759913</v>
          </cell>
          <cell r="AM78">
            <v>12.674520883205741</v>
          </cell>
          <cell r="AO78">
            <v>21.986937761183299</v>
          </cell>
        </row>
        <row r="79">
          <cell r="E79" t="str">
            <v>C75300T</v>
          </cell>
          <cell r="F79" t="str">
            <v>C4M101</v>
          </cell>
          <cell r="G79" t="str">
            <v>TNX-300T冲床 （仅此含机器人2台）</v>
          </cell>
          <cell r="H79" t="str">
            <v>TNX-300T冲床 闭式双曲轴精密钢架</v>
          </cell>
          <cell r="I79" t="str">
            <v>M308</v>
          </cell>
          <cell r="K79">
            <v>1</v>
          </cell>
          <cell r="L79" t="str">
            <v>TNX-300T</v>
          </cell>
          <cell r="M79" t="str">
            <v>300T</v>
          </cell>
          <cell r="N79">
            <v>72</v>
          </cell>
          <cell r="O79">
            <v>16</v>
          </cell>
          <cell r="P79">
            <v>220173.39</v>
          </cell>
          <cell r="Q79">
            <v>10</v>
          </cell>
          <cell r="R79">
            <v>3</v>
          </cell>
          <cell r="S79">
            <v>22017.339</v>
          </cell>
          <cell r="T79">
            <v>207.55212933734765</v>
          </cell>
          <cell r="U79">
            <v>15841.481472000003</v>
          </cell>
          <cell r="V79">
            <v>38066.372601337353</v>
          </cell>
          <cell r="W79">
            <v>52224.514859180497</v>
          </cell>
          <cell r="X79">
            <v>90290.887460517843</v>
          </cell>
          <cell r="Y79">
            <v>15.640202227700994</v>
          </cell>
          <cell r="AB79">
            <v>51720.590033567845</v>
          </cell>
          <cell r="AC79">
            <v>13210.403400000001</v>
          </cell>
          <cell r="AD79">
            <v>155221.88089408568</v>
          </cell>
          <cell r="AE79">
            <v>26.887559482779437</v>
          </cell>
          <cell r="AK79">
            <v>6.5938632602351213</v>
          </cell>
          <cell r="AM79">
            <v>15.640202227700994</v>
          </cell>
          <cell r="AO79">
            <v>26.887559482779437</v>
          </cell>
        </row>
        <row r="81">
          <cell r="C81" t="str">
            <v>C75300T</v>
          </cell>
          <cell r="D81" t="str">
            <v>TNX-300T冲床</v>
          </cell>
          <cell r="H81" t="str">
            <v>小计</v>
          </cell>
          <cell r="K81">
            <v>5</v>
          </cell>
          <cell r="N81">
            <v>288</v>
          </cell>
          <cell r="O81">
            <v>68</v>
          </cell>
          <cell r="P81">
            <v>913899.91</v>
          </cell>
          <cell r="Q81">
            <v>10</v>
          </cell>
          <cell r="R81">
            <v>3</v>
          </cell>
          <cell r="S81">
            <v>91389.991000000009</v>
          </cell>
          <cell r="T81">
            <v>882.09654968372752</v>
          </cell>
          <cell r="U81">
            <v>63365.925888000012</v>
          </cell>
          <cell r="V81">
            <v>155638.01343768375</v>
          </cell>
          <cell r="W81">
            <v>227332.91025782103</v>
          </cell>
          <cell r="X81">
            <v>382970.92369550478</v>
          </cell>
          <cell r="Y81">
            <v>13.267657152104793</v>
          </cell>
          <cell r="Z81">
            <v>0</v>
          </cell>
          <cell r="AA81">
            <v>0</v>
          </cell>
          <cell r="AB81">
            <v>225139.32937982556</v>
          </cell>
          <cell r="AC81">
            <v>54833.994600000005</v>
          </cell>
          <cell r="AD81">
            <v>662944.24767533038</v>
          </cell>
          <cell r="AE81">
            <v>22.967062105502528</v>
          </cell>
          <cell r="AF81">
            <v>0</v>
          </cell>
          <cell r="AG81">
            <v>0</v>
          </cell>
          <cell r="AK81">
            <v>5.3919284059478176</v>
          </cell>
          <cell r="AM81">
            <v>13.267657152104793</v>
          </cell>
          <cell r="AO81">
            <v>22.967062105502528</v>
          </cell>
        </row>
        <row r="83">
          <cell r="E83" t="str">
            <v>C75400T</v>
          </cell>
          <cell r="F83" t="str">
            <v>C4M102</v>
          </cell>
          <cell r="G83" t="str">
            <v>TNX-400T冲床</v>
          </cell>
          <cell r="H83" t="str">
            <v>TNX-400T冲床 闭式双曲轴精密钢架</v>
          </cell>
          <cell r="I83" t="str">
            <v>M401</v>
          </cell>
          <cell r="K83">
            <v>1</v>
          </cell>
          <cell r="L83" t="str">
            <v>TNX-400T</v>
          </cell>
          <cell r="M83" t="str">
            <v>400T</v>
          </cell>
          <cell r="N83">
            <v>55</v>
          </cell>
          <cell r="O83">
            <v>13</v>
          </cell>
          <cell r="P83">
            <v>219143.21000000002</v>
          </cell>
          <cell r="Q83">
            <v>10</v>
          </cell>
          <cell r="R83">
            <v>3</v>
          </cell>
          <cell r="S83">
            <v>21914.321000000004</v>
          </cell>
          <cell r="T83">
            <v>168.63610508659497</v>
          </cell>
          <cell r="U83">
            <v>12101.13168</v>
          </cell>
          <cell r="V83">
            <v>34184.088785086598</v>
          </cell>
          <cell r="W83">
            <v>47785.603812153728</v>
          </cell>
          <cell r="X83">
            <v>81969.692597240326</v>
          </cell>
          <cell r="Y83">
            <v>14.198803498569259</v>
          </cell>
          <cell r="AB83">
            <v>47324.510930146775</v>
          </cell>
          <cell r="AC83">
            <v>13148.5926</v>
          </cell>
          <cell r="AD83">
            <v>142442.79612738709</v>
          </cell>
          <cell r="AE83">
            <v>24.673964338712469</v>
          </cell>
          <cell r="AK83">
            <v>5.9213734254437203</v>
          </cell>
          <cell r="AM83">
            <v>14.198803498569259</v>
          </cell>
          <cell r="AO83">
            <v>24.673964338712469</v>
          </cell>
        </row>
        <row r="85">
          <cell r="C85" t="str">
            <v>C75400T</v>
          </cell>
          <cell r="D85" t="str">
            <v>TNX-400T冲床</v>
          </cell>
          <cell r="H85" t="str">
            <v>小计</v>
          </cell>
          <cell r="K85">
            <v>1</v>
          </cell>
          <cell r="N85">
            <v>55</v>
          </cell>
          <cell r="O85">
            <v>13</v>
          </cell>
          <cell r="P85">
            <v>219143.21000000002</v>
          </cell>
          <cell r="Q85">
            <v>10</v>
          </cell>
          <cell r="R85">
            <v>3</v>
          </cell>
          <cell r="S85">
            <v>21914.321000000004</v>
          </cell>
          <cell r="T85">
            <v>168.63610508659497</v>
          </cell>
          <cell r="U85">
            <v>12101.13168</v>
          </cell>
          <cell r="V85">
            <v>34184.088785086598</v>
          </cell>
          <cell r="W85">
            <v>47785.603812153728</v>
          </cell>
          <cell r="X85">
            <v>81969.692597240326</v>
          </cell>
          <cell r="Y85">
            <v>14.198803498569259</v>
          </cell>
          <cell r="Z85">
            <v>0</v>
          </cell>
          <cell r="AA85">
            <v>0</v>
          </cell>
          <cell r="AB85">
            <v>47324.510930146775</v>
          </cell>
          <cell r="AC85">
            <v>13148.5926</v>
          </cell>
          <cell r="AD85">
            <v>142442.79612738709</v>
          </cell>
          <cell r="AE85">
            <v>24.673964338712469</v>
          </cell>
          <cell r="AF85">
            <v>0</v>
          </cell>
          <cell r="AG85">
            <v>0</v>
          </cell>
          <cell r="AK85">
            <v>5.9213734254437203</v>
          </cell>
          <cell r="AM85">
            <v>14.198803498569259</v>
          </cell>
          <cell r="AO85">
            <v>24.673964338712469</v>
          </cell>
        </row>
        <row r="87">
          <cell r="C87" t="str">
            <v>***</v>
          </cell>
          <cell r="E87" t="str">
            <v>ZM1</v>
          </cell>
          <cell r="F87" t="str">
            <v>C4M007</v>
          </cell>
          <cell r="G87" t="str">
            <v>螺旋振磨100L</v>
          </cell>
          <cell r="H87" t="str">
            <v>研磨机</v>
          </cell>
          <cell r="I87" t="str">
            <v>F-ZM02</v>
          </cell>
          <cell r="K87">
            <v>1</v>
          </cell>
          <cell r="L87" t="str">
            <v>LZG100</v>
          </cell>
          <cell r="N87">
            <v>5.5</v>
          </cell>
          <cell r="O87">
            <v>2.08</v>
          </cell>
          <cell r="P87">
            <v>2413.14</v>
          </cell>
          <cell r="Q87">
            <v>5</v>
          </cell>
          <cell r="R87">
            <v>3</v>
          </cell>
          <cell r="T87">
            <v>26.981776813855195</v>
          </cell>
          <cell r="U87">
            <v>1210.1131680000003</v>
          </cell>
          <cell r="V87">
            <v>1237.0949448138556</v>
          </cell>
          <cell r="W87">
            <v>12951.469262070666</v>
          </cell>
          <cell r="X87">
            <v>14188.564206884523</v>
          </cell>
          <cell r="Y87">
            <v>2.4577454021972152</v>
          </cell>
          <cell r="AB87">
            <v>12826.497935732548</v>
          </cell>
          <cell r="AC87">
            <v>144.7884</v>
          </cell>
          <cell r="AD87">
            <v>27159.85054261707</v>
          </cell>
          <cell r="AE87">
            <v>4.7046337333478379</v>
          </cell>
          <cell r="AK87">
            <v>0.21428978777305657</v>
          </cell>
          <cell r="AM87">
            <v>2.4577454021972152</v>
          </cell>
          <cell r="AO87">
            <v>4.7046337333478379</v>
          </cell>
        </row>
        <row r="88">
          <cell r="C88" t="str">
            <v>***</v>
          </cell>
          <cell r="E88" t="str">
            <v>ZM1</v>
          </cell>
          <cell r="F88" t="str">
            <v>C4M007</v>
          </cell>
          <cell r="G88" t="str">
            <v>螺旋振磨100L</v>
          </cell>
          <cell r="H88" t="str">
            <v>研磨机</v>
          </cell>
          <cell r="I88" t="str">
            <v>F-ZM03</v>
          </cell>
          <cell r="K88">
            <v>1</v>
          </cell>
          <cell r="L88" t="str">
            <v>LZG100</v>
          </cell>
          <cell r="N88">
            <v>5.5</v>
          </cell>
          <cell r="O88">
            <v>2.08</v>
          </cell>
          <cell r="P88">
            <v>2330.92</v>
          </cell>
          <cell r="Q88">
            <v>5</v>
          </cell>
          <cell r="R88">
            <v>3</v>
          </cell>
          <cell r="T88">
            <v>26.981776813855195</v>
          </cell>
          <cell r="U88">
            <v>1210.1131680000003</v>
          </cell>
          <cell r="V88">
            <v>1237.0949448138556</v>
          </cell>
          <cell r="W88">
            <v>12944.259288623758</v>
          </cell>
          <cell r="X88">
            <v>14181.354233437614</v>
          </cell>
          <cell r="Y88">
            <v>2.4564964894227637</v>
          </cell>
          <cell r="AB88">
            <v>12819.357532766509</v>
          </cell>
          <cell r="AC88">
            <v>139.8552</v>
          </cell>
          <cell r="AD88">
            <v>27140.566966204125</v>
          </cell>
          <cell r="AE88">
            <v>4.7012934291017023</v>
          </cell>
          <cell r="AK88">
            <v>0.21428978777305657</v>
          </cell>
          <cell r="AM88">
            <v>2.4564964894227637</v>
          </cell>
          <cell r="AO88">
            <v>4.7012934291017023</v>
          </cell>
        </row>
        <row r="89">
          <cell r="C89" t="str">
            <v>***</v>
          </cell>
          <cell r="E89" t="str">
            <v>ZM1</v>
          </cell>
          <cell r="F89" t="str">
            <v>C4M007</v>
          </cell>
          <cell r="G89" t="str">
            <v>螺旋振磨100L</v>
          </cell>
          <cell r="H89" t="str">
            <v>研磨机</v>
          </cell>
          <cell r="I89" t="str">
            <v>F-ZM04</v>
          </cell>
          <cell r="K89">
            <v>1</v>
          </cell>
          <cell r="L89" t="str">
            <v>LZG100</v>
          </cell>
          <cell r="N89">
            <v>5.5</v>
          </cell>
          <cell r="O89">
            <v>2.08</v>
          </cell>
          <cell r="P89">
            <v>2234.3000000000002</v>
          </cell>
          <cell r="Q89">
            <v>5</v>
          </cell>
          <cell r="R89">
            <v>3</v>
          </cell>
          <cell r="T89">
            <v>26.981776813855195</v>
          </cell>
          <cell r="U89">
            <v>1210.1131680000003</v>
          </cell>
          <cell r="V89">
            <v>1237.0949448138556</v>
          </cell>
          <cell r="W89">
            <v>12935.786561374423</v>
          </cell>
          <cell r="X89">
            <v>14172.88150618828</v>
          </cell>
          <cell r="Y89">
            <v>2.4550288422290456</v>
          </cell>
          <cell r="AB89">
            <v>12810.966560562925</v>
          </cell>
          <cell r="AC89">
            <v>134.05799999999999</v>
          </cell>
          <cell r="AD89">
            <v>27117.906066751202</v>
          </cell>
          <cell r="AE89">
            <v>4.6973681044086613</v>
          </cell>
          <cell r="AK89">
            <v>0.21428978777305657</v>
          </cell>
          <cell r="AM89">
            <v>2.4550288422290456</v>
          </cell>
          <cell r="AO89">
            <v>4.6973681044086613</v>
          </cell>
        </row>
        <row r="90">
          <cell r="C90" t="str">
            <v>***</v>
          </cell>
          <cell r="E90" t="str">
            <v>ZM1</v>
          </cell>
          <cell r="F90" t="str">
            <v>C4M007</v>
          </cell>
          <cell r="G90" t="str">
            <v>螺旋振磨100L</v>
          </cell>
          <cell r="H90" t="str">
            <v>研磨机</v>
          </cell>
          <cell r="I90" t="str">
            <v>F-ZM05</v>
          </cell>
          <cell r="K90">
            <v>1</v>
          </cell>
          <cell r="L90" t="str">
            <v>LZG100</v>
          </cell>
          <cell r="N90">
            <v>5.5</v>
          </cell>
          <cell r="O90">
            <v>2.08</v>
          </cell>
          <cell r="P90">
            <v>2234.3000000000002</v>
          </cell>
          <cell r="Q90">
            <v>5</v>
          </cell>
          <cell r="R90">
            <v>3</v>
          </cell>
          <cell r="T90">
            <v>26.981776813855195</v>
          </cell>
          <cell r="U90">
            <v>1210.1131680000003</v>
          </cell>
          <cell r="V90">
            <v>1237.0949448138556</v>
          </cell>
          <cell r="W90">
            <v>12935.786561374423</v>
          </cell>
          <cell r="X90">
            <v>14172.88150618828</v>
          </cell>
          <cell r="Y90">
            <v>2.4550288422290456</v>
          </cell>
          <cell r="AB90">
            <v>12810.966560562925</v>
          </cell>
          <cell r="AC90">
            <v>134.05799999999999</v>
          </cell>
          <cell r="AD90">
            <v>27117.906066751202</v>
          </cell>
          <cell r="AE90">
            <v>4.6973681044086613</v>
          </cell>
          <cell r="AK90">
            <v>0.21428978777305657</v>
          </cell>
          <cell r="AM90">
            <v>2.4550288422290456</v>
          </cell>
          <cell r="AO90">
            <v>4.6973681044086613</v>
          </cell>
        </row>
        <row r="92">
          <cell r="C92" t="str">
            <v>ZM1</v>
          </cell>
          <cell r="D92" t="str">
            <v>螺旋振磨100L</v>
          </cell>
          <cell r="H92" t="str">
            <v>小计</v>
          </cell>
          <cell r="K92">
            <v>4</v>
          </cell>
          <cell r="N92">
            <v>22</v>
          </cell>
          <cell r="O92">
            <v>8.32</v>
          </cell>
          <cell r="P92">
            <v>9212.66</v>
          </cell>
          <cell r="Q92">
            <v>5</v>
          </cell>
          <cell r="R92">
            <v>3</v>
          </cell>
          <cell r="S92">
            <v>0</v>
          </cell>
          <cell r="T92">
            <v>107.92710725542078</v>
          </cell>
          <cell r="U92">
            <v>4840.4526720000013</v>
          </cell>
          <cell r="V92">
            <v>4948.3797792554224</v>
          </cell>
          <cell r="W92">
            <v>51767.301673443268</v>
          </cell>
          <cell r="X92">
            <v>56715.681452698693</v>
          </cell>
          <cell r="Y92">
            <v>2.4560748940195176</v>
          </cell>
          <cell r="Z92">
            <v>0</v>
          </cell>
          <cell r="AA92">
            <v>0</v>
          </cell>
          <cell r="AB92">
            <v>51267.788589624914</v>
          </cell>
          <cell r="AC92">
            <v>552.75959999999998</v>
          </cell>
          <cell r="AD92">
            <v>108536.2296423236</v>
          </cell>
          <cell r="AE92">
            <v>4.7001658428167152</v>
          </cell>
          <cell r="AF92">
            <v>0</v>
          </cell>
          <cell r="AG92">
            <v>0</v>
          </cell>
          <cell r="AK92">
            <v>0.21428978777305657</v>
          </cell>
          <cell r="AM92">
            <v>2.4560748940195176</v>
          </cell>
          <cell r="AO92">
            <v>4.7001658428167152</v>
          </cell>
        </row>
        <row r="94">
          <cell r="C94" t="str">
            <v>***</v>
          </cell>
          <cell r="E94" t="str">
            <v>ZM2</v>
          </cell>
          <cell r="F94" t="str">
            <v>C4M008</v>
          </cell>
          <cell r="G94" t="str">
            <v>螺旋振磨300L</v>
          </cell>
          <cell r="H94" t="str">
            <v>研磨机</v>
          </cell>
          <cell r="I94" t="str">
            <v>F-ZM10</v>
          </cell>
          <cell r="K94">
            <v>1</v>
          </cell>
          <cell r="L94" t="str">
            <v>300L</v>
          </cell>
          <cell r="N94">
            <v>8.1999999999999993</v>
          </cell>
          <cell r="O94">
            <v>2.5</v>
          </cell>
          <cell r="P94">
            <v>7125.6</v>
          </cell>
          <cell r="Q94">
            <v>5</v>
          </cell>
          <cell r="R94">
            <v>3</v>
          </cell>
          <cell r="T94">
            <v>32.43002020896057</v>
          </cell>
          <cell r="U94">
            <v>1804.1687232000002</v>
          </cell>
          <cell r="V94">
            <v>1836.5987434089607</v>
          </cell>
          <cell r="W94">
            <v>13973.51096588188</v>
          </cell>
          <cell r="X94">
            <v>15810.10970929084</v>
          </cell>
          <cell r="Y94">
            <v>2.7386297781553508</v>
          </cell>
          <cell r="AB94">
            <v>13838.677754014512</v>
          </cell>
          <cell r="AC94">
            <v>427.536</v>
          </cell>
          <cell r="AD94">
            <v>30076.323463305351</v>
          </cell>
          <cell r="AE94">
            <v>5.2098256475498612</v>
          </cell>
          <cell r="AK94">
            <v>0.31813593338107754</v>
          </cell>
          <cell r="AM94">
            <v>2.7386297781553508</v>
          </cell>
          <cell r="AO94">
            <v>5.2098256475498612</v>
          </cell>
        </row>
        <row r="95">
          <cell r="E95" t="str">
            <v>ZM2</v>
          </cell>
          <cell r="F95" t="str">
            <v>C4M008</v>
          </cell>
          <cell r="G95" t="str">
            <v>螺旋振磨300L</v>
          </cell>
          <cell r="H95" t="str">
            <v>螺旋振动光饰机</v>
          </cell>
          <cell r="I95" t="str">
            <v>F-ZM16</v>
          </cell>
          <cell r="K95">
            <v>1</v>
          </cell>
          <cell r="L95" t="str">
            <v>LZG300</v>
          </cell>
          <cell r="N95">
            <v>3.7</v>
          </cell>
          <cell r="O95">
            <v>2.25</v>
          </cell>
          <cell r="P95">
            <v>5822.41</v>
          </cell>
          <cell r="Q95">
            <v>5</v>
          </cell>
          <cell r="R95">
            <v>3</v>
          </cell>
          <cell r="T95">
            <v>29.187018188064513</v>
          </cell>
          <cell r="U95">
            <v>814.07613120000019</v>
          </cell>
          <cell r="V95">
            <v>843.26314938806468</v>
          </cell>
          <cell r="W95">
            <v>13496.851516238321</v>
          </cell>
          <cell r="X95">
            <v>14340.114665626386</v>
          </cell>
          <cell r="Y95">
            <v>2.48399699733698</v>
          </cell>
          <cell r="AB95">
            <v>13366.617687068638</v>
          </cell>
          <cell r="AC95">
            <v>349.34459999999996</v>
          </cell>
          <cell r="AD95">
            <v>28056.076952695024</v>
          </cell>
          <cell r="AE95">
            <v>4.8598782180313567</v>
          </cell>
          <cell r="AK95">
            <v>0.14607018004296982</v>
          </cell>
          <cell r="AM95">
            <v>2.48399699733698</v>
          </cell>
          <cell r="AO95">
            <v>4.8598782180313567</v>
          </cell>
        </row>
        <row r="96">
          <cell r="E96" t="str">
            <v>ZM2</v>
          </cell>
          <cell r="F96" t="str">
            <v>C4M008</v>
          </cell>
          <cell r="G96" t="str">
            <v>螺旋振磨300L</v>
          </cell>
          <cell r="H96" t="str">
            <v>螺旋振动光饰机</v>
          </cell>
          <cell r="I96" t="str">
            <v>F-ZM17</v>
          </cell>
          <cell r="K96">
            <v>1</v>
          </cell>
          <cell r="L96" t="str">
            <v>LZG300</v>
          </cell>
          <cell r="N96">
            <v>3.7</v>
          </cell>
          <cell r="O96">
            <v>2.25</v>
          </cell>
          <cell r="P96">
            <v>5822.42</v>
          </cell>
          <cell r="Q96">
            <v>5</v>
          </cell>
          <cell r="R96">
            <v>3</v>
          </cell>
          <cell r="T96">
            <v>29.187018188064513</v>
          </cell>
          <cell r="U96">
            <v>814.07613120000019</v>
          </cell>
          <cell r="V96">
            <v>843.26314938806468</v>
          </cell>
          <cell r="W96">
            <v>13496.852393150682</v>
          </cell>
          <cell r="X96">
            <v>14340.115542538748</v>
          </cell>
          <cell r="Y96">
            <v>2.4839971492358823</v>
          </cell>
          <cell r="AB96">
            <v>13366.618555519497</v>
          </cell>
          <cell r="AC96">
            <v>349.34519999999998</v>
          </cell>
          <cell r="AD96">
            <v>28056.079298058245</v>
          </cell>
          <cell r="AE96">
            <v>4.8598786242955558</v>
          </cell>
          <cell r="AK96">
            <v>0.14607018004296982</v>
          </cell>
          <cell r="AM96">
            <v>2.4839971492358823</v>
          </cell>
          <cell r="AO96">
            <v>4.8598786242955558</v>
          </cell>
        </row>
        <row r="98">
          <cell r="C98" t="str">
            <v>ZM2</v>
          </cell>
          <cell r="D98" t="str">
            <v>螺旋振磨300L</v>
          </cell>
          <cell r="H98" t="str">
            <v>小计</v>
          </cell>
          <cell r="K98">
            <v>3</v>
          </cell>
          <cell r="N98">
            <v>15.599999999999998</v>
          </cell>
          <cell r="O98">
            <v>7</v>
          </cell>
          <cell r="P98">
            <v>18770.43</v>
          </cell>
          <cell r="Q98">
            <v>5</v>
          </cell>
          <cell r="R98">
            <v>3</v>
          </cell>
          <cell r="S98">
            <v>0</v>
          </cell>
          <cell r="T98">
            <v>90.804056585089597</v>
          </cell>
          <cell r="U98">
            <v>3432.3209856000003</v>
          </cell>
          <cell r="V98">
            <v>3523.12504218509</v>
          </cell>
          <cell r="W98">
            <v>40967.214875270889</v>
          </cell>
          <cell r="X98">
            <v>44490.339917455975</v>
          </cell>
          <cell r="Y98">
            <v>2.568874641576071</v>
          </cell>
          <cell r="Z98">
            <v>0</v>
          </cell>
          <cell r="AA98">
            <v>0</v>
          </cell>
          <cell r="AB98">
            <v>40571.913996602649</v>
          </cell>
          <cell r="AC98">
            <v>1126.2257999999999</v>
          </cell>
          <cell r="AD98">
            <v>86188.479714058616</v>
          </cell>
          <cell r="AE98">
            <v>4.9765274966255912</v>
          </cell>
          <cell r="AF98">
            <v>0</v>
          </cell>
          <cell r="AG98">
            <v>0</v>
          </cell>
          <cell r="AK98">
            <v>0.20342543115567238</v>
          </cell>
          <cell r="AM98">
            <v>2.568874641576071</v>
          </cell>
          <cell r="AO98">
            <v>4.9765274966255912</v>
          </cell>
        </row>
        <row r="100">
          <cell r="C100" t="str">
            <v>***</v>
          </cell>
          <cell r="E100" t="str">
            <v>ZM3</v>
          </cell>
          <cell r="F100" t="str">
            <v>C4M009</v>
          </cell>
          <cell r="G100" t="str">
            <v>涡流振磨</v>
          </cell>
          <cell r="H100" t="str">
            <v>研磨机</v>
          </cell>
          <cell r="I100" t="str">
            <v>F-ZM06</v>
          </cell>
          <cell r="K100">
            <v>1</v>
          </cell>
          <cell r="L100" t="str">
            <v>EFF-105(SA)</v>
          </cell>
          <cell r="N100">
            <v>5.5</v>
          </cell>
          <cell r="O100">
            <v>2.08</v>
          </cell>
          <cell r="P100">
            <v>10256.41</v>
          </cell>
          <cell r="Q100">
            <v>5</v>
          </cell>
          <cell r="R100">
            <v>3</v>
          </cell>
          <cell r="T100">
            <v>26.981776813855195</v>
          </cell>
          <cell r="U100">
            <v>1210.1131680000003</v>
          </cell>
          <cell r="V100">
            <v>1237.0949448138556</v>
          </cell>
          <cell r="W100">
            <v>13639.255304845323</v>
          </cell>
          <cell r="X100">
            <v>14876.350249659179</v>
          </cell>
          <cell r="Y100">
            <v>2.5768838125167468</v>
          </cell>
          <cell r="AB100">
            <v>13507.647392938175</v>
          </cell>
          <cell r="AC100">
            <v>615.38459999999998</v>
          </cell>
          <cell r="AD100">
            <v>28999.382242597356</v>
          </cell>
          <cell r="AE100">
            <v>5.0232777139437648</v>
          </cell>
          <cell r="AK100">
            <v>0.21428978777305657</v>
          </cell>
          <cell r="AM100">
            <v>2.5768838125167468</v>
          </cell>
          <cell r="AO100">
            <v>5.0232777139437648</v>
          </cell>
        </row>
        <row r="101">
          <cell r="C101" t="str">
            <v>***</v>
          </cell>
          <cell r="E101" t="str">
            <v>ZM3</v>
          </cell>
          <cell r="F101" t="str">
            <v>C4M009</v>
          </cell>
          <cell r="G101" t="str">
            <v>涡流振磨</v>
          </cell>
          <cell r="H101" t="str">
            <v>研磨机</v>
          </cell>
          <cell r="I101" t="str">
            <v>F-ZM07</v>
          </cell>
          <cell r="K101">
            <v>1</v>
          </cell>
          <cell r="L101" t="str">
            <v>EFF-105(SA)</v>
          </cell>
          <cell r="N101">
            <v>5.5</v>
          </cell>
          <cell r="O101">
            <v>2.08</v>
          </cell>
          <cell r="P101">
            <v>15867.95</v>
          </cell>
          <cell r="Q101">
            <v>5</v>
          </cell>
          <cell r="R101">
            <v>3</v>
          </cell>
          <cell r="T101">
            <v>26.981776813855195</v>
          </cell>
          <cell r="U101">
            <v>1210.1131680000003</v>
          </cell>
          <cell r="V101">
            <v>1237.0949448138556</v>
          </cell>
          <cell r="W101">
            <v>14131.338184877721</v>
          </cell>
          <cell r="X101">
            <v>15368.433129691577</v>
          </cell>
          <cell r="Y101">
            <v>2.6621224891203146</v>
          </cell>
          <cell r="AB101">
            <v>13994.982066497503</v>
          </cell>
          <cell r="AC101">
            <v>952.077</v>
          </cell>
          <cell r="AD101">
            <v>30315.49219618908</v>
          </cell>
          <cell r="AE101">
            <v>5.2512544944030974</v>
          </cell>
          <cell r="AK101">
            <v>0.21428978777305657</v>
          </cell>
          <cell r="AM101">
            <v>2.6621224891203146</v>
          </cell>
          <cell r="AO101">
            <v>5.2512544944030974</v>
          </cell>
        </row>
        <row r="102">
          <cell r="C102" t="str">
            <v>***</v>
          </cell>
          <cell r="E102" t="str">
            <v>ZM3</v>
          </cell>
          <cell r="F102" t="str">
            <v>C4M009</v>
          </cell>
          <cell r="G102" t="str">
            <v>涡流振磨</v>
          </cell>
          <cell r="H102" t="str">
            <v>研磨机</v>
          </cell>
          <cell r="I102" t="str">
            <v>F-ZM08</v>
          </cell>
          <cell r="K102">
            <v>1</v>
          </cell>
          <cell r="L102" t="str">
            <v>EFF-105(SA)</v>
          </cell>
          <cell r="N102">
            <v>5.5</v>
          </cell>
          <cell r="O102">
            <v>2.08</v>
          </cell>
          <cell r="P102">
            <v>15867.95</v>
          </cell>
          <cell r="Q102">
            <v>5</v>
          </cell>
          <cell r="R102">
            <v>3</v>
          </cell>
          <cell r="T102">
            <v>26.981776813855195</v>
          </cell>
          <cell r="U102">
            <v>1210.1131680000003</v>
          </cell>
          <cell r="V102">
            <v>1237.0949448138556</v>
          </cell>
          <cell r="W102">
            <v>14131.338184877721</v>
          </cell>
          <cell r="X102">
            <v>15368.433129691577</v>
          </cell>
          <cell r="Y102">
            <v>2.6621224891203146</v>
          </cell>
          <cell r="AB102">
            <v>13994.982066497503</v>
          </cell>
          <cell r="AC102">
            <v>952.077</v>
          </cell>
          <cell r="AD102">
            <v>30315.49219618908</v>
          </cell>
          <cell r="AE102">
            <v>5.2512544944030974</v>
          </cell>
          <cell r="AK102">
            <v>0.21428978777305657</v>
          </cell>
          <cell r="AM102">
            <v>2.6621224891203146</v>
          </cell>
          <cell r="AO102">
            <v>5.2512544944030974</v>
          </cell>
        </row>
        <row r="103">
          <cell r="C103" t="str">
            <v>***</v>
          </cell>
          <cell r="E103" t="str">
            <v>ZM3</v>
          </cell>
          <cell r="F103" t="str">
            <v>C4M009</v>
          </cell>
          <cell r="G103" t="str">
            <v>涡流振磨</v>
          </cell>
          <cell r="H103" t="str">
            <v>研磨机</v>
          </cell>
          <cell r="I103" t="str">
            <v>F-ZM09</v>
          </cell>
          <cell r="K103">
            <v>1</v>
          </cell>
          <cell r="L103" t="str">
            <v>EFF-105(SA)</v>
          </cell>
          <cell r="N103">
            <v>5.5</v>
          </cell>
          <cell r="O103">
            <v>2.08</v>
          </cell>
          <cell r="P103">
            <v>12584.62</v>
          </cell>
          <cell r="Q103">
            <v>5</v>
          </cell>
          <cell r="R103">
            <v>3</v>
          </cell>
          <cell r="T103">
            <v>26.981776813855195</v>
          </cell>
          <cell r="U103">
            <v>1210.1131680000003</v>
          </cell>
          <cell r="V103">
            <v>1237.0949448138556</v>
          </cell>
          <cell r="W103">
            <v>13843.418918063839</v>
          </cell>
          <cell r="X103">
            <v>15080.513862877695</v>
          </cell>
          <cell r="Y103">
            <v>2.6122490668417973</v>
          </cell>
          <cell r="AB103">
            <v>13709.840990476028</v>
          </cell>
          <cell r="AC103">
            <v>755.07720000000006</v>
          </cell>
          <cell r="AD103">
            <v>29545.432053353725</v>
          </cell>
          <cell r="AE103">
            <v>5.1178645510746099</v>
          </cell>
          <cell r="AK103">
            <v>0.21428978777305657</v>
          </cell>
          <cell r="AM103">
            <v>2.6122490668417973</v>
          </cell>
          <cell r="AO103">
            <v>5.1178645510746099</v>
          </cell>
        </row>
        <row r="104">
          <cell r="E104" t="str">
            <v>ZM3</v>
          </cell>
          <cell r="F104" t="str">
            <v>C4M009</v>
          </cell>
          <cell r="G104" t="str">
            <v>涡流振磨</v>
          </cell>
          <cell r="H104" t="str">
            <v>涡轮流动式振磨机</v>
          </cell>
          <cell r="I104" t="str">
            <v>F-ZM13</v>
          </cell>
          <cell r="K104">
            <v>1</v>
          </cell>
          <cell r="L104" t="str">
            <v>LDG120</v>
          </cell>
          <cell r="N104">
            <v>5.5</v>
          </cell>
          <cell r="O104">
            <v>2.08</v>
          </cell>
          <cell r="P104">
            <v>10512.48</v>
          </cell>
          <cell r="Q104">
            <v>5</v>
          </cell>
          <cell r="R104">
            <v>3</v>
          </cell>
          <cell r="T104">
            <v>26.981776813855195</v>
          </cell>
          <cell r="U104">
            <v>1210.1131680000003</v>
          </cell>
          <cell r="V104">
            <v>1237.0949448138556</v>
          </cell>
          <cell r="W104">
            <v>13661.710399719439</v>
          </cell>
          <cell r="X104">
            <v>14898.805344533295</v>
          </cell>
          <cell r="Y104">
            <v>2.5807734877071358</v>
          </cell>
          <cell r="AB104">
            <v>13529.885814094994</v>
          </cell>
          <cell r="AC104">
            <v>630.74879999999996</v>
          </cell>
          <cell r="AD104">
            <v>29059.439958628289</v>
          </cell>
          <cell r="AE104">
            <v>5.0336809212936586</v>
          </cell>
          <cell r="AK104">
            <v>0.21428978777305657</v>
          </cell>
          <cell r="AM104">
            <v>2.5807734877071358</v>
          </cell>
          <cell r="AO104">
            <v>5.0336809212936586</v>
          </cell>
        </row>
        <row r="105">
          <cell r="E105" t="str">
            <v>ZM3</v>
          </cell>
          <cell r="F105" t="str">
            <v>C4M009</v>
          </cell>
          <cell r="G105" t="str">
            <v>涡流振磨</v>
          </cell>
          <cell r="H105" t="str">
            <v>涡轮流动式振磨机</v>
          </cell>
          <cell r="I105" t="str">
            <v>F-ZM14</v>
          </cell>
          <cell r="K105">
            <v>1</v>
          </cell>
          <cell r="L105" t="str">
            <v>LDG120</v>
          </cell>
          <cell r="N105">
            <v>5.5</v>
          </cell>
          <cell r="O105">
            <v>2.08</v>
          </cell>
          <cell r="P105">
            <v>10512.49</v>
          </cell>
          <cell r="Q105">
            <v>5</v>
          </cell>
          <cell r="R105">
            <v>3</v>
          </cell>
          <cell r="T105">
            <v>26.981776813855195</v>
          </cell>
          <cell r="U105">
            <v>1210.1131680000003</v>
          </cell>
          <cell r="V105">
            <v>1237.0949448138556</v>
          </cell>
          <cell r="W105">
            <v>13661.711276631802</v>
          </cell>
          <cell r="X105">
            <v>14898.806221445659</v>
          </cell>
          <cell r="Y105">
            <v>2.5807736396060381</v>
          </cell>
          <cell r="AB105">
            <v>13529.886682545854</v>
          </cell>
          <cell r="AC105">
            <v>630.74939999999992</v>
          </cell>
          <cell r="AD105">
            <v>29059.442303991513</v>
          </cell>
          <cell r="AE105">
            <v>5.0336813275578578</v>
          </cell>
          <cell r="AK105">
            <v>0.21428978777305657</v>
          </cell>
          <cell r="AM105">
            <v>2.5807736396060381</v>
          </cell>
          <cell r="AO105">
            <v>5.0336813275578578</v>
          </cell>
        </row>
        <row r="106">
          <cell r="E106" t="str">
            <v>ZM3</v>
          </cell>
          <cell r="F106" t="str">
            <v>C4M009</v>
          </cell>
          <cell r="G106" t="str">
            <v>涡流振磨</v>
          </cell>
          <cell r="H106" t="str">
            <v>涡轮流动式光饰机</v>
          </cell>
          <cell r="I106" t="str">
            <v>F-ZM15</v>
          </cell>
          <cell r="K106">
            <v>1</v>
          </cell>
          <cell r="L106" t="str">
            <v>LDG120</v>
          </cell>
          <cell r="N106">
            <v>4</v>
          </cell>
          <cell r="O106">
            <v>2.4700000000000002</v>
          </cell>
          <cell r="P106">
            <v>11644.83</v>
          </cell>
          <cell r="Q106">
            <v>5</v>
          </cell>
          <cell r="R106">
            <v>3</v>
          </cell>
          <cell r="T106">
            <v>32.040859966453048</v>
          </cell>
          <cell r="U106">
            <v>880.08230400000014</v>
          </cell>
          <cell r="V106">
            <v>912.12316396645315</v>
          </cell>
          <cell r="W106">
            <v>14326.322098721352</v>
          </cell>
          <cell r="X106">
            <v>15238.445262687805</v>
          </cell>
          <cell r="Y106">
            <v>2.639605969632393</v>
          </cell>
          <cell r="AB106">
            <v>14188.084541422153</v>
          </cell>
          <cell r="AC106">
            <v>698.68979999999999</v>
          </cell>
          <cell r="AD106">
            <v>30125.21960410996</v>
          </cell>
          <cell r="AE106">
            <v>5.2182954450216457</v>
          </cell>
          <cell r="AK106">
            <v>0.15799812298050461</v>
          </cell>
          <cell r="AM106">
            <v>2.639605969632393</v>
          </cell>
          <cell r="AO106">
            <v>5.2182954450216457</v>
          </cell>
        </row>
        <row r="107">
          <cell r="E107" t="str">
            <v>ZM3</v>
          </cell>
          <cell r="F107" t="str">
            <v>C4M009</v>
          </cell>
          <cell r="G107" t="str">
            <v>涡流振磨</v>
          </cell>
          <cell r="H107" t="str">
            <v>涡轮流动式光饰振磨机</v>
          </cell>
          <cell r="I107" t="str">
            <v>F-ZM18</v>
          </cell>
          <cell r="K107">
            <v>1</v>
          </cell>
          <cell r="L107" t="str">
            <v>LDG120</v>
          </cell>
          <cell r="N107">
            <v>5.5</v>
          </cell>
          <cell r="O107">
            <v>2.08</v>
          </cell>
          <cell r="P107">
            <v>13147.44</v>
          </cell>
          <cell r="Q107">
            <v>5</v>
          </cell>
          <cell r="R107">
            <v>3</v>
          </cell>
          <cell r="T107">
            <v>26.981776813855195</v>
          </cell>
          <cell r="U107">
            <v>1210.1131680000003</v>
          </cell>
          <cell r="V107">
            <v>1237.0949448138556</v>
          </cell>
          <cell r="W107">
            <v>13892.77329966672</v>
          </cell>
          <cell r="X107">
            <v>15129.868244480576</v>
          </cell>
          <cell r="Y107">
            <v>2.6207982408592718</v>
          </cell>
          <cell r="AB107">
            <v>13758.719141745138</v>
          </cell>
          <cell r="AC107">
            <v>788.84640000000002</v>
          </cell>
          <cell r="AD107">
            <v>29677.433786225716</v>
          </cell>
          <cell r="AE107">
            <v>5.1407299127361368</v>
          </cell>
          <cell r="AK107">
            <v>0.21428978777305657</v>
          </cell>
          <cell r="AM107">
            <v>2.6207982408592718</v>
          </cell>
          <cell r="AO107">
            <v>5.1407299127361368</v>
          </cell>
        </row>
        <row r="108">
          <cell r="E108" t="str">
            <v>ZM3</v>
          </cell>
          <cell r="F108" t="str">
            <v>C4M009</v>
          </cell>
          <cell r="G108" t="str">
            <v>涡流振磨</v>
          </cell>
          <cell r="H108" t="str">
            <v>涡轮流动式光饰振磨机</v>
          </cell>
          <cell r="I108" t="str">
            <v>F-ZM19</v>
          </cell>
          <cell r="K108">
            <v>1</v>
          </cell>
          <cell r="L108" t="str">
            <v>EFF105SA</v>
          </cell>
          <cell r="N108">
            <v>5.5</v>
          </cell>
          <cell r="O108">
            <v>2.08</v>
          </cell>
          <cell r="P108">
            <v>25722.34</v>
          </cell>
          <cell r="Q108">
            <v>5</v>
          </cell>
          <cell r="R108">
            <v>3</v>
          </cell>
          <cell r="S108">
            <v>5144.4679999999998</v>
          </cell>
          <cell r="T108">
            <v>26.981776813855195</v>
          </cell>
          <cell r="U108">
            <v>1210.1131680000003</v>
          </cell>
          <cell r="V108">
            <v>6381.5629448138552</v>
          </cell>
          <cell r="W108">
            <v>14995.481826758994</v>
          </cell>
          <cell r="X108">
            <v>21377.044771572851</v>
          </cell>
          <cell r="Y108">
            <v>3.7029351760909148</v>
          </cell>
          <cell r="AB108">
            <v>14850.787412940064</v>
          </cell>
          <cell r="AC108">
            <v>1543.3404</v>
          </cell>
          <cell r="AD108">
            <v>37771.172584512911</v>
          </cell>
          <cell r="AE108">
            <v>6.5427286652542715</v>
          </cell>
          <cell r="AK108">
            <v>1.105415372391106</v>
          </cell>
          <cell r="AM108">
            <v>3.7029351760909148</v>
          </cell>
          <cell r="AO108">
            <v>6.5427286652542715</v>
          </cell>
        </row>
        <row r="109">
          <cell r="E109" t="str">
            <v>ZM3</v>
          </cell>
          <cell r="F109" t="str">
            <v>C4M009</v>
          </cell>
          <cell r="G109" t="str">
            <v>涡流振磨</v>
          </cell>
          <cell r="H109" t="str">
            <v>涡轮流动式光饰振磨机 &amp;EFF105SA</v>
          </cell>
          <cell r="I109" t="str">
            <v>F-ZM20</v>
          </cell>
          <cell r="K109">
            <v>1</v>
          </cell>
          <cell r="L109" t="str">
            <v>EFF105SA</v>
          </cell>
          <cell r="N109">
            <v>5.5</v>
          </cell>
          <cell r="O109">
            <v>2.08</v>
          </cell>
          <cell r="P109">
            <v>25722.34</v>
          </cell>
          <cell r="Q109">
            <v>5</v>
          </cell>
          <cell r="R109">
            <v>3</v>
          </cell>
          <cell r="S109">
            <v>5144.4679999999998</v>
          </cell>
          <cell r="T109">
            <v>26.981776813855195</v>
          </cell>
          <cell r="U109">
            <v>1210.1131680000003</v>
          </cell>
          <cell r="V109">
            <v>6381.5629448138552</v>
          </cell>
          <cell r="W109">
            <v>14995.481826758994</v>
          </cell>
          <cell r="X109">
            <v>21377.044771572851</v>
          </cell>
          <cell r="Y109">
            <v>3.7029351760909148</v>
          </cell>
          <cell r="AB109">
            <v>14850.787412940064</v>
          </cell>
          <cell r="AC109">
            <v>1543.3404</v>
          </cell>
          <cell r="AD109">
            <v>37771.172584512911</v>
          </cell>
          <cell r="AE109">
            <v>6.5427286652542715</v>
          </cell>
          <cell r="AK109">
            <v>1.105415372391106</v>
          </cell>
          <cell r="AM109">
            <v>3.7029351760909148</v>
          </cell>
          <cell r="AO109">
            <v>6.5427286652542715</v>
          </cell>
        </row>
        <row r="110">
          <cell r="E110" t="str">
            <v>ZM3</v>
          </cell>
          <cell r="F110" t="str">
            <v>C4M009</v>
          </cell>
          <cell r="G110" t="str">
            <v>涡流振磨</v>
          </cell>
          <cell r="H110" t="str">
            <v>涡轮流动式光饰振磨机 &amp;EFF105SA</v>
          </cell>
          <cell r="I110" t="str">
            <v>F-ZM21</v>
          </cell>
          <cell r="K110">
            <v>1</v>
          </cell>
          <cell r="L110" t="str">
            <v>EFF105SA</v>
          </cell>
          <cell r="N110">
            <v>5.5</v>
          </cell>
          <cell r="O110">
            <v>2.08</v>
          </cell>
          <cell r="P110">
            <v>25830.48</v>
          </cell>
          <cell r="Q110">
            <v>5</v>
          </cell>
          <cell r="R110">
            <v>3</v>
          </cell>
          <cell r="S110">
            <v>5166.0959999999995</v>
          </cell>
          <cell r="T110">
            <v>26.981776813855195</v>
          </cell>
          <cell r="U110">
            <v>1210.1131680000003</v>
          </cell>
          <cell r="V110">
            <v>6403.1909448138558</v>
          </cell>
          <cell r="W110">
            <v>15004.964757050269</v>
          </cell>
          <cell r="X110">
            <v>21408.155701864125</v>
          </cell>
          <cell r="Y110">
            <v>3.7083242165016674</v>
          </cell>
          <cell r="AB110">
            <v>14860.178840533685</v>
          </cell>
          <cell r="AC110">
            <v>1549.8288</v>
          </cell>
          <cell r="AD110">
            <v>37818.163342397806</v>
          </cell>
          <cell r="AE110">
            <v>6.5508684119864551</v>
          </cell>
          <cell r="AK110">
            <v>1.1091617780727274</v>
          </cell>
          <cell r="AM110">
            <v>3.7083242165016674</v>
          </cell>
          <cell r="AO110">
            <v>6.5508684119864551</v>
          </cell>
        </row>
        <row r="111">
          <cell r="E111" t="str">
            <v>ZM3</v>
          </cell>
          <cell r="F111" t="str">
            <v>C4M009</v>
          </cell>
          <cell r="G111" t="str">
            <v>涡流振磨</v>
          </cell>
          <cell r="H111" t="str">
            <v>涡轮流动研磨机（120L） EFF105SA</v>
          </cell>
          <cell r="I111" t="str">
            <v>F-ZM22</v>
          </cell>
          <cell r="K111">
            <v>1</v>
          </cell>
          <cell r="L111" t="str">
            <v>EFF105SA</v>
          </cell>
          <cell r="N111">
            <v>5.5</v>
          </cell>
          <cell r="O111">
            <v>2.08</v>
          </cell>
          <cell r="P111">
            <v>29002.05</v>
          </cell>
          <cell r="Q111">
            <v>5</v>
          </cell>
          <cell r="R111">
            <v>3</v>
          </cell>
          <cell r="S111">
            <v>5800.41</v>
          </cell>
          <cell r="T111">
            <v>26.981776813855195</v>
          </cell>
          <cell r="U111">
            <v>1210.1131680000003</v>
          </cell>
          <cell r="V111">
            <v>7037.5049448138561</v>
          </cell>
          <cell r="W111">
            <v>15283.083651297544</v>
          </cell>
          <cell r="X111">
            <v>22320.5885961114</v>
          </cell>
          <cell r="Y111">
            <v>3.8663759910118483</v>
          </cell>
          <cell r="AB111">
            <v>15135.614109750433</v>
          </cell>
          <cell r="AC111">
            <v>1740.1229999999998</v>
          </cell>
          <cell r="AD111">
            <v>39196.325705861833</v>
          </cell>
          <cell r="AE111">
            <v>6.7895939209876728</v>
          </cell>
          <cell r="AK111">
            <v>1.2190377524361435</v>
          </cell>
          <cell r="AM111">
            <v>3.8663759910118483</v>
          </cell>
          <cell r="AO111">
            <v>6.7895939209876728</v>
          </cell>
        </row>
        <row r="112">
          <cell r="E112" t="str">
            <v>ZM3</v>
          </cell>
          <cell r="F112" t="str">
            <v>C4M009</v>
          </cell>
          <cell r="G112" t="str">
            <v>涡流振磨</v>
          </cell>
          <cell r="H112" t="str">
            <v>涡轮流动研磨机（120L） EFF105SA</v>
          </cell>
          <cell r="I112" t="str">
            <v>F-ZM23</v>
          </cell>
          <cell r="K112">
            <v>1</v>
          </cell>
          <cell r="L112" t="str">
            <v>EFF105SA</v>
          </cell>
          <cell r="N112">
            <v>5.5</v>
          </cell>
          <cell r="O112">
            <v>2.08</v>
          </cell>
          <cell r="P112">
            <v>29002.05</v>
          </cell>
          <cell r="Q112">
            <v>5</v>
          </cell>
          <cell r="R112">
            <v>3</v>
          </cell>
          <cell r="S112">
            <v>5800.41</v>
          </cell>
          <cell r="T112">
            <v>26.981776813855195</v>
          </cell>
          <cell r="U112">
            <v>1210.1131680000003</v>
          </cell>
          <cell r="V112">
            <v>7037.5049448138561</v>
          </cell>
          <cell r="W112">
            <v>15283.083651297544</v>
          </cell>
          <cell r="X112">
            <v>22320.5885961114</v>
          </cell>
          <cell r="Y112">
            <v>3.8663759910118483</v>
          </cell>
          <cell r="AB112">
            <v>15135.614109750433</v>
          </cell>
          <cell r="AC112">
            <v>1740.1229999999998</v>
          </cell>
          <cell r="AD112">
            <v>39196.325705861833</v>
          </cell>
          <cell r="AE112">
            <v>6.7895939209876728</v>
          </cell>
          <cell r="AK112">
            <v>1.2190377524361435</v>
          </cell>
          <cell r="AM112">
            <v>3.8663759910118483</v>
          </cell>
          <cell r="AO112">
            <v>6.7895939209876728</v>
          </cell>
        </row>
        <row r="113">
          <cell r="E113" t="str">
            <v>ZM3</v>
          </cell>
          <cell r="F113" t="str">
            <v>C4M009</v>
          </cell>
          <cell r="G113" t="str">
            <v>涡流振磨</v>
          </cell>
          <cell r="H113" t="str">
            <v>涡轮流动研磨机（120L） EFF105SA</v>
          </cell>
          <cell r="I113" t="str">
            <v>F-ZM24</v>
          </cell>
          <cell r="K113">
            <v>1</v>
          </cell>
          <cell r="L113" t="str">
            <v>EFF105SA</v>
          </cell>
          <cell r="N113">
            <v>5.5</v>
          </cell>
          <cell r="O113">
            <v>2.08</v>
          </cell>
          <cell r="P113">
            <v>27613.15</v>
          </cell>
          <cell r="Q113">
            <v>5</v>
          </cell>
          <cell r="R113">
            <v>3</v>
          </cell>
          <cell r="S113">
            <v>5522.63</v>
          </cell>
          <cell r="T113">
            <v>26.981776813855195</v>
          </cell>
          <cell r="U113">
            <v>1210.1131680000003</v>
          </cell>
          <cell r="V113">
            <v>6759.7249448138555</v>
          </cell>
          <cell r="W113">
            <v>15161.289293228816</v>
          </cell>
          <cell r="X113">
            <v>21921.01423804267</v>
          </cell>
          <cell r="Y113">
            <v>3.7971616556457075</v>
          </cell>
          <cell r="AB113">
            <v>15014.994969887483</v>
          </cell>
          <cell r="AC113">
            <v>1656.789</v>
          </cell>
          <cell r="AD113">
            <v>38592.798207930151</v>
          </cell>
          <cell r="AE113">
            <v>6.6850507895254028</v>
          </cell>
          <cell r="AK113">
            <v>1.1709206556060723</v>
          </cell>
          <cell r="AM113">
            <v>3.7971616556457075</v>
          </cell>
          <cell r="AO113">
            <v>6.6850507895254028</v>
          </cell>
        </row>
        <row r="114">
          <cell r="E114" t="str">
            <v>ZM3</v>
          </cell>
          <cell r="F114" t="str">
            <v>C4M009</v>
          </cell>
          <cell r="G114" t="str">
            <v>涡流振磨</v>
          </cell>
          <cell r="H114" t="str">
            <v>涡轮流动研磨机（120L） EFF105SA</v>
          </cell>
          <cell r="I114" t="str">
            <v>F-ZM25</v>
          </cell>
          <cell r="K114">
            <v>1</v>
          </cell>
          <cell r="L114" t="str">
            <v>EFF105SA</v>
          </cell>
          <cell r="N114">
            <v>5.5</v>
          </cell>
          <cell r="O114">
            <v>2.08</v>
          </cell>
          <cell r="P114">
            <v>27613.15</v>
          </cell>
          <cell r="Q114">
            <v>5</v>
          </cell>
          <cell r="R114">
            <v>3</v>
          </cell>
          <cell r="S114">
            <v>5522.63</v>
          </cell>
          <cell r="T114">
            <v>26.981776813855195</v>
          </cell>
          <cell r="U114">
            <v>1210.1131680000003</v>
          </cell>
          <cell r="V114">
            <v>6759.7249448138555</v>
          </cell>
          <cell r="W114">
            <v>15161.289293228816</v>
          </cell>
          <cell r="X114">
            <v>21921.01423804267</v>
          </cell>
          <cell r="Y114">
            <v>3.7971616556457075</v>
          </cell>
          <cell r="AB114">
            <v>15014.994969887483</v>
          </cell>
          <cell r="AC114">
            <v>1656.789</v>
          </cell>
          <cell r="AD114">
            <v>38592.798207930151</v>
          </cell>
          <cell r="AE114">
            <v>6.6850507895254028</v>
          </cell>
          <cell r="AK114">
            <v>1.1709206556060723</v>
          </cell>
          <cell r="AM114">
            <v>3.7971616556457075</v>
          </cell>
          <cell r="AO114">
            <v>6.6850507895254028</v>
          </cell>
        </row>
        <row r="116">
          <cell r="C116" t="str">
            <v>ZM3</v>
          </cell>
          <cell r="D116" t="str">
            <v>涡流振磨</v>
          </cell>
          <cell r="H116" t="str">
            <v>小计</v>
          </cell>
          <cell r="K116">
            <v>15</v>
          </cell>
          <cell r="N116">
            <v>81</v>
          </cell>
          <cell r="O116">
            <v>31.589999999999989</v>
          </cell>
          <cell r="P116">
            <v>290899.73000000004</v>
          </cell>
          <cell r="Q116">
            <v>5</v>
          </cell>
          <cell r="R116">
            <v>3</v>
          </cell>
          <cell r="S116">
            <v>38101.112000000001</v>
          </cell>
          <cell r="T116">
            <v>409.78573536042592</v>
          </cell>
          <cell r="U116">
            <v>17821.666656000001</v>
          </cell>
          <cell r="V116">
            <v>56332.564391360429</v>
          </cell>
          <cell r="W116">
            <v>217172.54196702494</v>
          </cell>
          <cell r="X116">
            <v>273505.1063583853</v>
          </cell>
          <cell r="Y116">
            <v>3.1584399371601752</v>
          </cell>
          <cell r="Z116">
            <v>0</v>
          </cell>
          <cell r="AA116">
            <v>0</v>
          </cell>
          <cell r="AB116">
            <v>215077.000521907</v>
          </cell>
          <cell r="AC116">
            <v>17453.983799999998</v>
          </cell>
          <cell r="AD116">
            <v>506036.09068029234</v>
          </cell>
          <cell r="AE116">
            <v>5.8437102682636679</v>
          </cell>
          <cell r="AF116">
            <v>0</v>
          </cell>
          <cell r="AG116">
            <v>0</v>
          </cell>
          <cell r="AK116">
            <v>0.65052906508875141</v>
          </cell>
          <cell r="AM116">
            <v>3.1584399371601752</v>
          </cell>
          <cell r="AO116">
            <v>5.8437102682636679</v>
          </cell>
        </row>
        <row r="118">
          <cell r="E118" t="str">
            <v>ZM4</v>
          </cell>
          <cell r="F118" t="str">
            <v>C4M010</v>
          </cell>
          <cell r="G118" t="str">
            <v>滚桶振磨</v>
          </cell>
          <cell r="H118" t="str">
            <v>可倾式六角滚桶研磨机</v>
          </cell>
          <cell r="I118" t="str">
            <v>F-ZM12</v>
          </cell>
          <cell r="K118">
            <v>1</v>
          </cell>
          <cell r="L118" t="str">
            <v>CB-1 150L</v>
          </cell>
          <cell r="N118">
            <v>5.5</v>
          </cell>
          <cell r="O118">
            <v>2.08</v>
          </cell>
          <cell r="P118">
            <v>1125</v>
          </cell>
          <cell r="Q118">
            <v>5</v>
          </cell>
          <cell r="R118">
            <v>3</v>
          </cell>
          <cell r="S118">
            <v>225</v>
          </cell>
          <cell r="T118">
            <v>26.981776813855195</v>
          </cell>
          <cell r="U118">
            <v>1210.1131680000003</v>
          </cell>
          <cell r="V118">
            <v>1462.0949448138556</v>
          </cell>
          <cell r="W118">
            <v>12838.510672969469</v>
          </cell>
          <cell r="X118">
            <v>14300.605617783325</v>
          </cell>
          <cell r="Y118">
            <v>2.477153233636467</v>
          </cell>
          <cell r="AB118">
            <v>12714.629306728975</v>
          </cell>
          <cell r="AC118">
            <v>67.5</v>
          </cell>
          <cell r="AD118">
            <v>27082.7349245123</v>
          </cell>
          <cell r="AE118">
            <v>4.6912757534232288</v>
          </cell>
          <cell r="AK118">
            <v>0.253264324409121</v>
          </cell>
          <cell r="AM118">
            <v>2.477153233636467</v>
          </cell>
          <cell r="AO118">
            <v>4.6912757534232288</v>
          </cell>
        </row>
        <row r="120">
          <cell r="C120" t="str">
            <v>ZM4</v>
          </cell>
          <cell r="D120" t="str">
            <v>滚桶振磨</v>
          </cell>
          <cell r="H120" t="str">
            <v>小计</v>
          </cell>
          <cell r="K120">
            <v>1</v>
          </cell>
          <cell r="N120">
            <v>5.5</v>
          </cell>
          <cell r="O120">
            <v>2.08</v>
          </cell>
          <cell r="P120">
            <v>1125</v>
          </cell>
          <cell r="Q120">
            <v>5</v>
          </cell>
          <cell r="R120">
            <v>3</v>
          </cell>
          <cell r="S120">
            <v>225</v>
          </cell>
          <cell r="T120">
            <v>26.981776813855195</v>
          </cell>
          <cell r="U120">
            <v>1210.1131680000003</v>
          </cell>
          <cell r="V120">
            <v>1462.0949448138556</v>
          </cell>
          <cell r="W120">
            <v>12838.510672969469</v>
          </cell>
          <cell r="X120">
            <v>14300.605617783325</v>
          </cell>
          <cell r="Y120">
            <v>2.477153233636467</v>
          </cell>
          <cell r="Z120">
            <v>0</v>
          </cell>
          <cell r="AA120">
            <v>0</v>
          </cell>
          <cell r="AB120">
            <v>12714.629306728975</v>
          </cell>
          <cell r="AC120">
            <v>67.5</v>
          </cell>
          <cell r="AD120">
            <v>27082.7349245123</v>
          </cell>
          <cell r="AE120">
            <v>4.6912757534232288</v>
          </cell>
          <cell r="AF120">
            <v>0</v>
          </cell>
          <cell r="AG120">
            <v>0</v>
          </cell>
          <cell r="AK120">
            <v>0.253264324409121</v>
          </cell>
          <cell r="AM120">
            <v>2.477153233636467</v>
          </cell>
          <cell r="AO120">
            <v>4.6912757534232288</v>
          </cell>
        </row>
        <row r="122">
          <cell r="E122" t="str">
            <v>SR1</v>
          </cell>
          <cell r="F122" t="str">
            <v>C4M011</v>
          </cell>
          <cell r="G122" t="str">
            <v>旋铆 BTO-161</v>
          </cell>
          <cell r="H122" t="str">
            <v>铆接机(小型机床)</v>
          </cell>
          <cell r="I122" t="str">
            <v>D-TR01MJ</v>
          </cell>
          <cell r="K122">
            <v>1</v>
          </cell>
          <cell r="L122" t="str">
            <v>BR0-161</v>
          </cell>
          <cell r="N122">
            <v>0.375</v>
          </cell>
          <cell r="O122">
            <v>0.6</v>
          </cell>
          <cell r="P122">
            <v>2906.98</v>
          </cell>
          <cell r="Q122">
            <v>10</v>
          </cell>
          <cell r="R122">
            <v>3</v>
          </cell>
          <cell r="T122">
            <v>7.7832048501505362</v>
          </cell>
          <cell r="U122">
            <v>82.507716000000002</v>
          </cell>
          <cell r="V122">
            <v>90.290920850150542</v>
          </cell>
          <cell r="W122">
            <v>10849.478546171764</v>
          </cell>
          <cell r="X122">
            <v>10939.769467021913</v>
          </cell>
          <cell r="Y122">
            <v>1.8949886483668652</v>
          </cell>
          <cell r="AB122">
            <v>10744.789750132009</v>
          </cell>
          <cell r="AC122">
            <v>174.4188</v>
          </cell>
          <cell r="AD122">
            <v>21858.978017153924</v>
          </cell>
          <cell r="AE122">
            <v>3.7864157313621902</v>
          </cell>
          <cell r="AK122">
            <v>1.5640208011458608E-2</v>
          </cell>
          <cell r="AM122">
            <v>1.8949886483668652</v>
          </cell>
          <cell r="AO122">
            <v>3.7864157313621902</v>
          </cell>
        </row>
        <row r="124">
          <cell r="C124" t="str">
            <v>SR1</v>
          </cell>
          <cell r="D124" t="str">
            <v>旋铆 BTO-161</v>
          </cell>
          <cell r="H124" t="str">
            <v>小计</v>
          </cell>
          <cell r="K124">
            <v>1</v>
          </cell>
          <cell r="N124">
            <v>0.375</v>
          </cell>
          <cell r="O124">
            <v>0.6</v>
          </cell>
          <cell r="P124">
            <v>2906.98</v>
          </cell>
          <cell r="Q124">
            <v>10</v>
          </cell>
          <cell r="R124">
            <v>3</v>
          </cell>
          <cell r="S124">
            <v>0</v>
          </cell>
          <cell r="T124">
            <v>7.7832048501505362</v>
          </cell>
          <cell r="U124">
            <v>82.507716000000002</v>
          </cell>
          <cell r="V124">
            <v>90.290920850150542</v>
          </cell>
          <cell r="W124">
            <v>10849.478546171764</v>
          </cell>
          <cell r="X124">
            <v>10939.769467021913</v>
          </cell>
          <cell r="Y124">
            <v>1.8949886483668652</v>
          </cell>
          <cell r="Z124">
            <v>0</v>
          </cell>
          <cell r="AA124">
            <v>0</v>
          </cell>
          <cell r="AB124">
            <v>10744.789750132009</v>
          </cell>
          <cell r="AC124">
            <v>174.4188</v>
          </cell>
          <cell r="AD124">
            <v>21858.978017153924</v>
          </cell>
          <cell r="AE124">
            <v>3.7864157313621902</v>
          </cell>
          <cell r="AF124">
            <v>0</v>
          </cell>
          <cell r="AG124">
            <v>0</v>
          </cell>
          <cell r="AK124">
            <v>1.5640208011458608E-2</v>
          </cell>
          <cell r="AM124">
            <v>1.8949886483668652</v>
          </cell>
          <cell r="AO124">
            <v>3.7864157313621902</v>
          </cell>
        </row>
        <row r="126">
          <cell r="E126" t="str">
            <v>SR2</v>
          </cell>
          <cell r="F126" t="str">
            <v>C4M012</v>
          </cell>
          <cell r="G126" t="str">
            <v>旋铆 BR1-103</v>
          </cell>
          <cell r="H126" t="str">
            <v>铆接机(小型机床)</v>
          </cell>
          <cell r="I126" t="str">
            <v>D-TR02MJ</v>
          </cell>
          <cell r="K126">
            <v>1</v>
          </cell>
          <cell r="L126" t="str">
            <v>BR0-103</v>
          </cell>
          <cell r="N126">
            <v>0.375</v>
          </cell>
          <cell r="O126">
            <v>0.6</v>
          </cell>
          <cell r="P126">
            <v>2906.97</v>
          </cell>
          <cell r="Q126">
            <v>10</v>
          </cell>
          <cell r="R126">
            <v>3</v>
          </cell>
          <cell r="T126">
            <v>7.7832048501505362</v>
          </cell>
          <cell r="U126">
            <v>82.507716000000002</v>
          </cell>
          <cell r="V126">
            <v>90.290920850150542</v>
          </cell>
          <cell r="W126">
            <v>10849.4776692594</v>
          </cell>
          <cell r="X126">
            <v>10939.76859010955</v>
          </cell>
          <cell r="Y126">
            <v>1.8949884964679629</v>
          </cell>
          <cell r="AB126">
            <v>10744.78888168115</v>
          </cell>
          <cell r="AC126">
            <v>174.41819999999998</v>
          </cell>
          <cell r="AD126">
            <v>21858.9756717907</v>
          </cell>
          <cell r="AE126">
            <v>3.7864153250979906</v>
          </cell>
          <cell r="AK126">
            <v>1.5640208011458608E-2</v>
          </cell>
          <cell r="AM126">
            <v>1.8949884964679629</v>
          </cell>
          <cell r="AO126">
            <v>3.7864153250979906</v>
          </cell>
        </row>
        <row r="127">
          <cell r="E127" t="str">
            <v>SR2</v>
          </cell>
          <cell r="F127" t="str">
            <v>C4M012</v>
          </cell>
          <cell r="G127" t="str">
            <v>旋铆 BR1-103</v>
          </cell>
          <cell r="H127" t="str">
            <v>铆接机(小型机床)</v>
          </cell>
          <cell r="I127" t="str">
            <v>D-TR03MJ</v>
          </cell>
          <cell r="K127">
            <v>1</v>
          </cell>
          <cell r="L127" t="str">
            <v>BR0-103</v>
          </cell>
          <cell r="N127">
            <v>0.375</v>
          </cell>
          <cell r="O127">
            <v>0.6</v>
          </cell>
          <cell r="P127">
            <v>8275.65</v>
          </cell>
          <cell r="Q127">
            <v>10</v>
          </cell>
          <cell r="R127">
            <v>3</v>
          </cell>
          <cell r="S127">
            <v>827.56499999999994</v>
          </cell>
          <cell r="T127">
            <v>7.7832048501505362</v>
          </cell>
          <cell r="U127">
            <v>82.507716000000002</v>
          </cell>
          <cell r="V127">
            <v>917.85592085015048</v>
          </cell>
          <cell r="W127">
            <v>11320.263855648935</v>
          </cell>
          <cell r="X127">
            <v>12238.119776499085</v>
          </cell>
          <cell r="Y127">
            <v>2.1198891003809259</v>
          </cell>
          <cell r="AB127">
            <v>11211.032357668933</v>
          </cell>
          <cell r="AC127">
            <v>496.53899999999999</v>
          </cell>
          <cell r="AD127">
            <v>23945.691134168017</v>
          </cell>
          <cell r="AE127">
            <v>4.1478765172645105</v>
          </cell>
        </row>
        <row r="129">
          <cell r="C129" t="str">
            <v>SR2</v>
          </cell>
          <cell r="D129" t="str">
            <v>旋铆 BR1-103</v>
          </cell>
          <cell r="H129" t="str">
            <v>小计</v>
          </cell>
          <cell r="K129">
            <v>2</v>
          </cell>
          <cell r="N129">
            <v>0.75</v>
          </cell>
          <cell r="O129">
            <v>1.2</v>
          </cell>
          <cell r="P129">
            <v>11182.619999999999</v>
          </cell>
          <cell r="Q129">
            <v>10</v>
          </cell>
          <cell r="R129">
            <v>3</v>
          </cell>
          <cell r="S129">
            <v>827.56499999999994</v>
          </cell>
          <cell r="T129">
            <v>15.566409700301072</v>
          </cell>
          <cell r="U129">
            <v>165.015432</v>
          </cell>
          <cell r="V129">
            <v>1008.146841700301</v>
          </cell>
          <cell r="W129">
            <v>22169.741524908335</v>
          </cell>
          <cell r="X129">
            <v>23177.888366608633</v>
          </cell>
          <cell r="Y129">
            <v>2.0074387984244444</v>
          </cell>
          <cell r="Z129">
            <v>0</v>
          </cell>
          <cell r="AA129">
            <v>0</v>
          </cell>
          <cell r="AB129">
            <v>21955.821239350083</v>
          </cell>
          <cell r="AC129">
            <v>670.95719999999994</v>
          </cell>
          <cell r="AD129">
            <v>45804.666805958717</v>
          </cell>
          <cell r="AE129">
            <v>3.9671459211812508</v>
          </cell>
          <cell r="AF129">
            <v>0</v>
          </cell>
          <cell r="AG129">
            <v>0</v>
          </cell>
          <cell r="AK129">
            <v>1.5640208011458608E-2</v>
          </cell>
          <cell r="AM129">
            <v>1.8949884964679629</v>
          </cell>
          <cell r="AO129">
            <v>3.7864153250979906</v>
          </cell>
        </row>
        <row r="131">
          <cell r="E131" t="str">
            <v>CH1</v>
          </cell>
          <cell r="F131" t="str">
            <v>C4M021</v>
          </cell>
          <cell r="G131" t="str">
            <v>高速冷镦机</v>
          </cell>
          <cell r="H131" t="str">
            <v>14BB6SL高速冷镦机</v>
          </cell>
          <cell r="I131" t="str">
            <v>AAA</v>
          </cell>
          <cell r="K131">
            <v>1</v>
          </cell>
          <cell r="L131" t="str">
            <v>BR0-161</v>
          </cell>
          <cell r="N131">
            <v>25</v>
          </cell>
          <cell r="O131">
            <v>15</v>
          </cell>
          <cell r="P131">
            <v>55612.82</v>
          </cell>
          <cell r="Q131">
            <v>10</v>
          </cell>
          <cell r="R131">
            <v>3</v>
          </cell>
          <cell r="S131">
            <v>5561.2820000000002</v>
          </cell>
          <cell r="T131">
            <v>194.58012125376342</v>
          </cell>
          <cell r="U131">
            <v>5500.5144000000009</v>
          </cell>
          <cell r="V131">
            <v>11256.376521253766</v>
          </cell>
          <cell r="W131">
            <v>36344.470603260292</v>
          </cell>
          <cell r="X131">
            <v>47600.847124514054</v>
          </cell>
          <cell r="Y131">
            <v>8.2454264896092244</v>
          </cell>
          <cell r="AB131">
            <v>35993.775511881911</v>
          </cell>
          <cell r="AC131">
            <v>3336.7691999999997</v>
          </cell>
          <cell r="AD131">
            <v>86931.391836395967</v>
          </cell>
          <cell r="AE131">
            <v>15.058269848674167</v>
          </cell>
          <cell r="AK131">
            <v>1.9498313738530686</v>
          </cell>
          <cell r="AM131">
            <v>8.2454264896092244</v>
          </cell>
          <cell r="AO131">
            <v>15.058269848674167</v>
          </cell>
        </row>
        <row r="133">
          <cell r="C133" t="str">
            <v>CH1</v>
          </cell>
          <cell r="D133" t="str">
            <v>高速冷镦机</v>
          </cell>
          <cell r="H133" t="str">
            <v>小计</v>
          </cell>
          <cell r="K133">
            <v>1</v>
          </cell>
          <cell r="N133">
            <v>25</v>
          </cell>
          <cell r="O133">
            <v>15</v>
          </cell>
          <cell r="P133">
            <v>55612.82</v>
          </cell>
          <cell r="Q133">
            <v>10</v>
          </cell>
          <cell r="R133">
            <v>3</v>
          </cell>
          <cell r="S133">
            <v>5561.2820000000002</v>
          </cell>
          <cell r="T133">
            <v>194.58012125376342</v>
          </cell>
          <cell r="U133">
            <v>5500.5144000000009</v>
          </cell>
          <cell r="V133">
            <v>11256.376521253766</v>
          </cell>
          <cell r="W133">
            <v>36344.470603260292</v>
          </cell>
          <cell r="X133">
            <v>47600.847124514054</v>
          </cell>
          <cell r="Y133">
            <v>8.2454264896092244</v>
          </cell>
          <cell r="Z133">
            <v>0</v>
          </cell>
          <cell r="AA133">
            <v>0</v>
          </cell>
          <cell r="AB133">
            <v>35993.775511881911</v>
          </cell>
          <cell r="AC133">
            <v>3336.7691999999997</v>
          </cell>
          <cell r="AD133">
            <v>86931.391836395967</v>
          </cell>
          <cell r="AE133">
            <v>15.058269848674167</v>
          </cell>
          <cell r="AF133">
            <v>0</v>
          </cell>
          <cell r="AG133">
            <v>0</v>
          </cell>
          <cell r="AK133">
            <v>1.9498313738530686</v>
          </cell>
          <cell r="AM133">
            <v>8.2454264896092244</v>
          </cell>
          <cell r="AO133">
            <v>15.058269848674167</v>
          </cell>
        </row>
        <row r="135">
          <cell r="E135" t="str">
            <v>XS1</v>
          </cell>
          <cell r="F135" t="str">
            <v>·</v>
          </cell>
          <cell r="G135" t="str">
            <v>吸塑成型机</v>
          </cell>
          <cell r="H135" t="str">
            <v>吸塑成型机</v>
          </cell>
          <cell r="I135" t="str">
            <v>AAA</v>
          </cell>
          <cell r="K135">
            <v>1</v>
          </cell>
          <cell r="N135">
            <v>40</v>
          </cell>
          <cell r="O135">
            <v>19.2</v>
          </cell>
          <cell r="P135">
            <v>27871.53</v>
          </cell>
          <cell r="Q135">
            <v>5</v>
          </cell>
          <cell r="R135">
            <v>3</v>
          </cell>
          <cell r="S135">
            <v>5574.3059999999996</v>
          </cell>
          <cell r="T135">
            <v>249.06255520481716</v>
          </cell>
          <cell r="U135">
            <v>8800.8230400000011</v>
          </cell>
          <cell r="V135">
            <v>14624.191595204818</v>
          </cell>
          <cell r="W135">
            <v>39999.805192100292</v>
          </cell>
          <cell r="X135">
            <v>54623.996787305106</v>
          </cell>
          <cell r="Y135">
            <v>9.4619776177559505</v>
          </cell>
          <cell r="AB135">
            <v>39613.83904362921</v>
          </cell>
          <cell r="AC135">
            <v>1672.2918</v>
          </cell>
          <cell r="AD135">
            <v>95910.127630934323</v>
          </cell>
          <cell r="AE135">
            <v>16.613567924984292</v>
          </cell>
          <cell r="AK135">
            <v>2.533204849333937</v>
          </cell>
          <cell r="AM135">
            <v>9.4619776177559505</v>
          </cell>
          <cell r="AO135">
            <v>16.613567924984292</v>
          </cell>
        </row>
        <row r="137">
          <cell r="C137" t="str">
            <v>XS1</v>
          </cell>
          <cell r="D137" t="str">
            <v>吸塑成型机</v>
          </cell>
          <cell r="H137" t="str">
            <v>小计</v>
          </cell>
          <cell r="K137">
            <v>1</v>
          </cell>
          <cell r="N137">
            <v>40</v>
          </cell>
          <cell r="O137">
            <v>19.2</v>
          </cell>
          <cell r="P137">
            <v>27871.53</v>
          </cell>
          <cell r="Q137">
            <v>5</v>
          </cell>
          <cell r="R137">
            <v>3</v>
          </cell>
          <cell r="S137">
            <v>5574.3059999999996</v>
          </cell>
          <cell r="T137">
            <v>249.06255520481716</v>
          </cell>
          <cell r="U137">
            <v>8800.8230400000011</v>
          </cell>
          <cell r="V137">
            <v>14624.191595204818</v>
          </cell>
          <cell r="W137">
            <v>39999.805192100292</v>
          </cell>
          <cell r="X137">
            <v>54623.996787305106</v>
          </cell>
          <cell r="Y137">
            <v>9.4619776177559505</v>
          </cell>
          <cell r="Z137">
            <v>0</v>
          </cell>
          <cell r="AA137">
            <v>0</v>
          </cell>
          <cell r="AB137">
            <v>39613.83904362921</v>
          </cell>
          <cell r="AC137">
            <v>1672.2918</v>
          </cell>
          <cell r="AD137">
            <v>95910.127630934323</v>
          </cell>
          <cell r="AE137">
            <v>16.613567924984292</v>
          </cell>
          <cell r="AF137">
            <v>0</v>
          </cell>
          <cell r="AG137">
            <v>0</v>
          </cell>
          <cell r="AK137">
            <v>2.533204849333937</v>
          </cell>
          <cell r="AM137">
            <v>9.4619776177559505</v>
          </cell>
          <cell r="AO137">
            <v>16.613567924984292</v>
          </cell>
        </row>
        <row r="139">
          <cell r="C139" t="str">
            <v>***</v>
          </cell>
          <cell r="E139" t="str">
            <v>TM</v>
          </cell>
          <cell r="F139" t="str">
            <v>C4M014</v>
          </cell>
          <cell r="G139" t="str">
            <v>单轴攻丝</v>
          </cell>
          <cell r="H139" t="str">
            <v>单轴攻丝机--手动</v>
          </cell>
          <cell r="I139" t="str">
            <v>D-T1GS</v>
          </cell>
          <cell r="K139">
            <v>1</v>
          </cell>
          <cell r="L139" t="str">
            <v>BTO-263</v>
          </cell>
          <cell r="N139">
            <v>0.2</v>
          </cell>
          <cell r="O139">
            <v>0.18</v>
          </cell>
          <cell r="P139">
            <v>3163.82</v>
          </cell>
          <cell r="Q139">
            <v>5</v>
          </cell>
          <cell r="R139">
            <v>3</v>
          </cell>
          <cell r="T139">
            <v>2.3349614550451609</v>
          </cell>
          <cell r="U139">
            <v>44.004115200000008</v>
          </cell>
          <cell r="V139">
            <v>46.339076655045169</v>
          </cell>
          <cell r="W139">
            <v>10263.20090280474</v>
          </cell>
          <cell r="X139">
            <v>10309.539979459785</v>
          </cell>
          <cell r="Y139">
            <v>1.7858201939130063</v>
          </cell>
          <cell r="AB139">
            <v>10164.169217414859</v>
          </cell>
          <cell r="AC139">
            <v>189.82920000000001</v>
          </cell>
          <cell r="AD139">
            <v>20663.538396874646</v>
          </cell>
          <cell r="AE139">
            <v>3.5793414856876229</v>
          </cell>
          <cell r="AK139">
            <v>8.0268624034375829E-3</v>
          </cell>
          <cell r="AM139">
            <v>1.7858201939130063</v>
          </cell>
          <cell r="AO139">
            <v>3.5793414856876229</v>
          </cell>
        </row>
        <row r="140">
          <cell r="C140" t="str">
            <v>***</v>
          </cell>
          <cell r="E140" t="str">
            <v>TM</v>
          </cell>
          <cell r="F140" t="str">
            <v>C4M014</v>
          </cell>
          <cell r="G140" t="str">
            <v>单轴攻丝</v>
          </cell>
          <cell r="H140" t="str">
            <v>单轴攻丝机--手动</v>
          </cell>
          <cell r="I140" t="str">
            <v>D-T2GS</v>
          </cell>
          <cell r="K140">
            <v>1</v>
          </cell>
          <cell r="L140" t="str">
            <v>BTO-263</v>
          </cell>
          <cell r="N140">
            <v>0.2</v>
          </cell>
          <cell r="O140">
            <v>0.18</v>
          </cell>
          <cell r="P140">
            <v>3163.82</v>
          </cell>
          <cell r="Q140">
            <v>5</v>
          </cell>
          <cell r="R140">
            <v>3</v>
          </cell>
          <cell r="T140">
            <v>2.3349614550451609</v>
          </cell>
          <cell r="U140">
            <v>44.004115200000008</v>
          </cell>
          <cell r="V140">
            <v>46.339076655045169</v>
          </cell>
          <cell r="W140">
            <v>10263.20090280474</v>
          </cell>
          <cell r="X140">
            <v>10309.539979459785</v>
          </cell>
          <cell r="Y140">
            <v>1.7858201939130063</v>
          </cell>
          <cell r="AB140">
            <v>10164.169217414859</v>
          </cell>
          <cell r="AC140">
            <v>189.82920000000001</v>
          </cell>
          <cell r="AD140">
            <v>20663.538396874646</v>
          </cell>
          <cell r="AE140">
            <v>3.5793414856876229</v>
          </cell>
          <cell r="AK140">
            <v>8.0268624034375829E-3</v>
          </cell>
          <cell r="AM140">
            <v>1.7858201939130063</v>
          </cell>
          <cell r="AO140">
            <v>3.5793414856876229</v>
          </cell>
        </row>
        <row r="142">
          <cell r="C142" t="str">
            <v>TM</v>
          </cell>
          <cell r="D142" t="str">
            <v>单轴攻丝</v>
          </cell>
          <cell r="H142" t="str">
            <v>小计</v>
          </cell>
          <cell r="K142">
            <v>2</v>
          </cell>
          <cell r="N142">
            <v>0.4</v>
          </cell>
          <cell r="O142">
            <v>0.36</v>
          </cell>
          <cell r="P142">
            <v>6327.64</v>
          </cell>
          <cell r="Q142">
            <v>5</v>
          </cell>
          <cell r="R142">
            <v>3</v>
          </cell>
          <cell r="S142">
            <v>0</v>
          </cell>
          <cell r="T142">
            <v>4.6699229100903219</v>
          </cell>
          <cell r="U142">
            <v>88.008230400000016</v>
          </cell>
          <cell r="V142">
            <v>92.678153310090337</v>
          </cell>
          <cell r="W142">
            <v>20526.401805609479</v>
          </cell>
          <cell r="X142">
            <v>20619.07995891957</v>
          </cell>
          <cell r="Y142">
            <v>1.7858201939130063</v>
          </cell>
          <cell r="Z142">
            <v>0</v>
          </cell>
          <cell r="AA142">
            <v>0</v>
          </cell>
          <cell r="AB142">
            <v>20328.338434829719</v>
          </cell>
          <cell r="AC142">
            <v>379.65840000000003</v>
          </cell>
          <cell r="AD142">
            <v>41327.076793749293</v>
          </cell>
          <cell r="AE142">
            <v>3.5793414856876229</v>
          </cell>
          <cell r="AF142">
            <v>0</v>
          </cell>
          <cell r="AG142">
            <v>0</v>
          </cell>
          <cell r="AK142">
            <v>8.0268624034375829E-3</v>
          </cell>
          <cell r="AM142">
            <v>1.7858201939130063</v>
          </cell>
          <cell r="AO142">
            <v>3.5793414856876229</v>
          </cell>
        </row>
        <row r="144">
          <cell r="C144" t="str">
            <v>***</v>
          </cell>
          <cell r="E144" t="str">
            <v>TP1</v>
          </cell>
          <cell r="F144" t="str">
            <v>C4M015</v>
          </cell>
          <cell r="G144" t="str">
            <v>6轴攻丝</v>
          </cell>
          <cell r="H144" t="str">
            <v>多轴攻丝机-自动1.3KW</v>
          </cell>
          <cell r="I144" t="str">
            <v>D-TA01GS</v>
          </cell>
          <cell r="K144">
            <v>1</v>
          </cell>
          <cell r="L144" t="str">
            <v>006S-RT</v>
          </cell>
          <cell r="N144">
            <v>1.3</v>
          </cell>
          <cell r="O144">
            <v>1.43</v>
          </cell>
          <cell r="P144">
            <v>33558.080000000002</v>
          </cell>
          <cell r="Q144">
            <v>10</v>
          </cell>
          <cell r="R144">
            <v>3</v>
          </cell>
          <cell r="T144">
            <v>18.549971559525446</v>
          </cell>
          <cell r="U144">
            <v>286.02674880000001</v>
          </cell>
          <cell r="V144">
            <v>304.57672035952544</v>
          </cell>
          <cell r="W144">
            <v>14740.416675189945</v>
          </cell>
          <cell r="X144">
            <v>15044.993395549471</v>
          </cell>
          <cell r="Y144">
            <v>2.6060962057075128</v>
          </cell>
          <cell r="AB144">
            <v>14598.18343621143</v>
          </cell>
          <cell r="AC144">
            <v>2013.4848</v>
          </cell>
          <cell r="AD144">
            <v>31656.6616317609</v>
          </cell>
          <cell r="AE144">
            <v>5.4835720824113805</v>
          </cell>
          <cell r="AK144">
            <v>5.2758829093976348E-2</v>
          </cell>
          <cell r="AM144">
            <v>2.6060962057075128</v>
          </cell>
          <cell r="AO144">
            <v>5.4835720824113805</v>
          </cell>
        </row>
        <row r="145">
          <cell r="C145" t="str">
            <v>***</v>
          </cell>
          <cell r="E145" t="str">
            <v>TP1</v>
          </cell>
          <cell r="F145" t="str">
            <v>C4M015</v>
          </cell>
          <cell r="G145" t="str">
            <v>6轴攻丝</v>
          </cell>
          <cell r="H145" t="str">
            <v>多轴攻丝机-自动1.3KW</v>
          </cell>
          <cell r="I145" t="str">
            <v>D-TA02GS</v>
          </cell>
          <cell r="K145">
            <v>1</v>
          </cell>
          <cell r="L145" t="str">
            <v>006S-RT</v>
          </cell>
          <cell r="N145">
            <v>1.3</v>
          </cell>
          <cell r="O145">
            <v>1.43</v>
          </cell>
          <cell r="P145">
            <v>33558.080000000002</v>
          </cell>
          <cell r="Q145">
            <v>10</v>
          </cell>
          <cell r="R145">
            <v>3</v>
          </cell>
          <cell r="T145">
            <v>18.549971559525446</v>
          </cell>
          <cell r="U145">
            <v>286.02674880000001</v>
          </cell>
          <cell r="V145">
            <v>304.57672035952544</v>
          </cell>
          <cell r="W145">
            <v>14740.416675189945</v>
          </cell>
          <cell r="X145">
            <v>15044.993395549471</v>
          </cell>
          <cell r="Y145">
            <v>2.6060962057075128</v>
          </cell>
          <cell r="AB145">
            <v>14598.18343621143</v>
          </cell>
          <cell r="AC145">
            <v>2013.4848</v>
          </cell>
          <cell r="AD145">
            <v>31656.6616317609</v>
          </cell>
          <cell r="AE145">
            <v>5.4835720824113805</v>
          </cell>
          <cell r="AK145">
            <v>5.2758829093976348E-2</v>
          </cell>
          <cell r="AM145">
            <v>2.6060962057075128</v>
          </cell>
          <cell r="AO145">
            <v>5.4835720824113805</v>
          </cell>
        </row>
        <row r="146">
          <cell r="C146" t="str">
            <v>***</v>
          </cell>
          <cell r="E146" t="str">
            <v>TP1</v>
          </cell>
          <cell r="F146" t="str">
            <v>C4M015</v>
          </cell>
          <cell r="G146" t="str">
            <v>6轴攻丝</v>
          </cell>
          <cell r="H146" t="str">
            <v>多轴攻丝机-自动1.3KW</v>
          </cell>
          <cell r="I146" t="str">
            <v>D-TA03GS</v>
          </cell>
          <cell r="K146">
            <v>1</v>
          </cell>
          <cell r="L146" t="str">
            <v>006S-RT</v>
          </cell>
          <cell r="N146">
            <v>1.3</v>
          </cell>
          <cell r="O146">
            <v>1.43</v>
          </cell>
          <cell r="P146">
            <v>33558.080000000002</v>
          </cell>
          <cell r="Q146">
            <v>10</v>
          </cell>
          <cell r="R146">
            <v>3</v>
          </cell>
          <cell r="T146">
            <v>18.549971559525446</v>
          </cell>
          <cell r="U146">
            <v>286.02674880000001</v>
          </cell>
          <cell r="V146">
            <v>304.57672035952544</v>
          </cell>
          <cell r="W146">
            <v>14740.416675189945</v>
          </cell>
          <cell r="X146">
            <v>15044.993395549471</v>
          </cell>
          <cell r="Y146">
            <v>2.6060962057075128</v>
          </cell>
          <cell r="AB146">
            <v>14598.18343621143</v>
          </cell>
          <cell r="AC146">
            <v>2013.4848</v>
          </cell>
          <cell r="AD146">
            <v>31656.6616317609</v>
          </cell>
          <cell r="AE146">
            <v>5.4835720824113805</v>
          </cell>
          <cell r="AK146">
            <v>5.2758829093976348E-2</v>
          </cell>
          <cell r="AM146">
            <v>2.6060962057075128</v>
          </cell>
          <cell r="AO146">
            <v>5.4835720824113805</v>
          </cell>
        </row>
        <row r="147">
          <cell r="C147" t="str">
            <v>***</v>
          </cell>
          <cell r="E147" t="str">
            <v>TP1</v>
          </cell>
          <cell r="F147" t="str">
            <v>C4M015</v>
          </cell>
          <cell r="G147" t="str">
            <v>6轴攻丝</v>
          </cell>
          <cell r="H147" t="str">
            <v>多轴攻丝机-自动1.3KW</v>
          </cell>
          <cell r="I147" t="str">
            <v>D-TA04GS</v>
          </cell>
          <cell r="K147">
            <v>1</v>
          </cell>
          <cell r="L147" t="str">
            <v>006S-RT</v>
          </cell>
          <cell r="N147">
            <v>1.3</v>
          </cell>
          <cell r="O147">
            <v>1.43</v>
          </cell>
          <cell r="P147">
            <v>33558.080000000002</v>
          </cell>
          <cell r="Q147">
            <v>10</v>
          </cell>
          <cell r="R147">
            <v>3</v>
          </cell>
          <cell r="T147">
            <v>18.549971559525446</v>
          </cell>
          <cell r="U147">
            <v>286.02674880000001</v>
          </cell>
          <cell r="V147">
            <v>304.57672035952544</v>
          </cell>
          <cell r="W147">
            <v>14740.416675189945</v>
          </cell>
          <cell r="X147">
            <v>15044.993395549471</v>
          </cell>
          <cell r="Y147">
            <v>2.6060962057075128</v>
          </cell>
          <cell r="AB147">
            <v>14598.18343621143</v>
          </cell>
          <cell r="AC147">
            <v>2013.4848</v>
          </cell>
          <cell r="AD147">
            <v>31656.6616317609</v>
          </cell>
          <cell r="AE147">
            <v>5.4835720824113805</v>
          </cell>
          <cell r="AK147">
            <v>5.2758829093976348E-2</v>
          </cell>
          <cell r="AM147">
            <v>2.6060962057075128</v>
          </cell>
          <cell r="AO147">
            <v>5.4835720824113805</v>
          </cell>
        </row>
        <row r="148">
          <cell r="C148" t="str">
            <v>***</v>
          </cell>
          <cell r="E148" t="str">
            <v>TP1</v>
          </cell>
          <cell r="F148" t="str">
            <v>C4M015</v>
          </cell>
          <cell r="G148" t="str">
            <v>6轴攻丝</v>
          </cell>
          <cell r="H148" t="str">
            <v>多轴攻丝机-自动1.3KW</v>
          </cell>
          <cell r="I148" t="str">
            <v>D-TA05GS</v>
          </cell>
          <cell r="K148">
            <v>1</v>
          </cell>
          <cell r="L148" t="str">
            <v>006S-RT</v>
          </cell>
          <cell r="N148">
            <v>1.3</v>
          </cell>
          <cell r="O148">
            <v>1.43</v>
          </cell>
          <cell r="P148">
            <v>33558.089999999997</v>
          </cell>
          <cell r="Q148">
            <v>10</v>
          </cell>
          <cell r="R148">
            <v>3</v>
          </cell>
          <cell r="T148">
            <v>18.549971559525446</v>
          </cell>
          <cell r="U148">
            <v>286.02674880000001</v>
          </cell>
          <cell r="V148">
            <v>304.57672035952544</v>
          </cell>
          <cell r="W148">
            <v>14740.417552102308</v>
          </cell>
          <cell r="X148">
            <v>15044.994272461834</v>
          </cell>
          <cell r="Y148">
            <v>2.6060963576064151</v>
          </cell>
          <cell r="AB148">
            <v>14598.184304662289</v>
          </cell>
          <cell r="AC148">
            <v>2013.4853999999998</v>
          </cell>
          <cell r="AD148">
            <v>31656.663977124124</v>
          </cell>
          <cell r="AE148">
            <v>5.4835724886755806</v>
          </cell>
          <cell r="AK148">
            <v>5.2758829093976348E-2</v>
          </cell>
          <cell r="AM148">
            <v>2.6060963576064151</v>
          </cell>
          <cell r="AO148">
            <v>5.4835724886755806</v>
          </cell>
        </row>
        <row r="149">
          <cell r="C149" t="str">
            <v>***</v>
          </cell>
          <cell r="E149" t="str">
            <v>TP1</v>
          </cell>
          <cell r="F149" t="str">
            <v>C4M015</v>
          </cell>
          <cell r="G149" t="str">
            <v>6轴攻丝</v>
          </cell>
          <cell r="H149" t="str">
            <v>多轴攻丝机-半自动2KW</v>
          </cell>
          <cell r="I149" t="str">
            <v>D-TA06GS</v>
          </cell>
          <cell r="K149">
            <v>1</v>
          </cell>
          <cell r="L149" t="str">
            <v>006S-RT</v>
          </cell>
          <cell r="N149">
            <v>2</v>
          </cell>
          <cell r="O149">
            <v>1.43</v>
          </cell>
          <cell r="P149">
            <v>33558.080000000002</v>
          </cell>
          <cell r="Q149">
            <v>10</v>
          </cell>
          <cell r="R149">
            <v>3</v>
          </cell>
          <cell r="T149">
            <v>18.549971559525446</v>
          </cell>
          <cell r="U149">
            <v>440.04115200000007</v>
          </cell>
          <cell r="V149">
            <v>458.5911235595255</v>
          </cell>
          <cell r="W149">
            <v>14740.416675189945</v>
          </cell>
          <cell r="X149">
            <v>15199.00779874947</v>
          </cell>
          <cell r="Y149">
            <v>2.6327746057075125</v>
          </cell>
          <cell r="AB149">
            <v>14598.18343621143</v>
          </cell>
          <cell r="AC149">
            <v>2013.4848</v>
          </cell>
          <cell r="AD149">
            <v>31810.676034960899</v>
          </cell>
          <cell r="AE149">
            <v>5.5102504824113803</v>
          </cell>
          <cell r="AK149">
            <v>7.9437229093976353E-2</v>
          </cell>
          <cell r="AM149">
            <v>2.6327746057075125</v>
          </cell>
          <cell r="AO149">
            <v>5.5102504824113803</v>
          </cell>
        </row>
        <row r="150">
          <cell r="C150" t="str">
            <v>***</v>
          </cell>
          <cell r="E150" t="str">
            <v>TP1</v>
          </cell>
          <cell r="F150" t="str">
            <v>C4M015</v>
          </cell>
          <cell r="G150" t="str">
            <v>6轴攻丝</v>
          </cell>
          <cell r="H150" t="str">
            <v>多轴攻丝机-半自动0.75KW</v>
          </cell>
          <cell r="I150" t="str">
            <v>D-TA07GS</v>
          </cell>
          <cell r="K150">
            <v>1</v>
          </cell>
          <cell r="L150" t="str">
            <v>006S-RT</v>
          </cell>
          <cell r="N150">
            <v>0.75</v>
          </cell>
          <cell r="O150">
            <v>1.43</v>
          </cell>
          <cell r="P150">
            <v>33558.080000000002</v>
          </cell>
          <cell r="Q150">
            <v>10</v>
          </cell>
          <cell r="R150">
            <v>3</v>
          </cell>
          <cell r="T150">
            <v>18.549971559525446</v>
          </cell>
          <cell r="U150">
            <v>165.015432</v>
          </cell>
          <cell r="V150">
            <v>183.56540355952546</v>
          </cell>
          <cell r="W150">
            <v>14740.416675189945</v>
          </cell>
          <cell r="X150">
            <v>14923.98207874947</v>
          </cell>
          <cell r="Y150">
            <v>2.5851346057075126</v>
          </cell>
          <cell r="AB150">
            <v>14598.18343621143</v>
          </cell>
          <cell r="AC150">
            <v>2013.4848</v>
          </cell>
          <cell r="AD150">
            <v>31535.650314960898</v>
          </cell>
          <cell r="AE150">
            <v>5.4626104824113799</v>
          </cell>
          <cell r="AK150">
            <v>3.1797229093976351E-2</v>
          </cell>
          <cell r="AM150">
            <v>2.5851346057075126</v>
          </cell>
          <cell r="AO150">
            <v>5.4626104824113799</v>
          </cell>
        </row>
        <row r="151">
          <cell r="C151" t="str">
            <v>***</v>
          </cell>
          <cell r="E151" t="str">
            <v>TP1</v>
          </cell>
          <cell r="F151" t="str">
            <v>C4M015</v>
          </cell>
          <cell r="G151" t="str">
            <v>6轴攻丝</v>
          </cell>
          <cell r="H151" t="str">
            <v>多轴攻丝机-半自动1.3KW</v>
          </cell>
          <cell r="I151" t="str">
            <v>D-TA08GS</v>
          </cell>
          <cell r="K151">
            <v>1</v>
          </cell>
          <cell r="L151" t="str">
            <v>006S-RT</v>
          </cell>
          <cell r="N151">
            <v>1.3</v>
          </cell>
          <cell r="O151">
            <v>1.43</v>
          </cell>
          <cell r="P151">
            <v>33558.080000000002</v>
          </cell>
          <cell r="Q151">
            <v>10</v>
          </cell>
          <cell r="R151">
            <v>3</v>
          </cell>
          <cell r="T151">
            <v>18.549971559525446</v>
          </cell>
          <cell r="U151">
            <v>286.02674880000001</v>
          </cell>
          <cell r="V151">
            <v>304.57672035952544</v>
          </cell>
          <cell r="W151">
            <v>14740.416675189945</v>
          </cell>
          <cell r="X151">
            <v>15044.993395549471</v>
          </cell>
          <cell r="Y151">
            <v>2.6060962057075128</v>
          </cell>
          <cell r="AB151">
            <v>14598.18343621143</v>
          </cell>
          <cell r="AC151">
            <v>2013.4848</v>
          </cell>
          <cell r="AD151">
            <v>31656.6616317609</v>
          </cell>
          <cell r="AE151">
            <v>5.4835720824113805</v>
          </cell>
          <cell r="AK151">
            <v>5.2758829093976348E-2</v>
          </cell>
          <cell r="AM151">
            <v>2.6060962057075128</v>
          </cell>
          <cell r="AO151">
            <v>5.4835720824113805</v>
          </cell>
        </row>
        <row r="152">
          <cell r="C152" t="str">
            <v>***</v>
          </cell>
          <cell r="E152" t="str">
            <v>TP1</v>
          </cell>
          <cell r="F152" t="str">
            <v>C4M015</v>
          </cell>
          <cell r="G152" t="str">
            <v>6轴攻丝</v>
          </cell>
          <cell r="H152" t="str">
            <v>多轴攻丝机-半自动1.3KW</v>
          </cell>
          <cell r="I152" t="str">
            <v>D-TA09GS</v>
          </cell>
          <cell r="K152">
            <v>1</v>
          </cell>
          <cell r="L152" t="str">
            <v>006S-RT</v>
          </cell>
          <cell r="N152">
            <v>1.3</v>
          </cell>
          <cell r="O152">
            <v>1.43</v>
          </cell>
          <cell r="P152">
            <v>33558.089999999997</v>
          </cell>
          <cell r="Q152">
            <v>10</v>
          </cell>
          <cell r="R152">
            <v>3</v>
          </cell>
          <cell r="T152">
            <v>18.549971559525446</v>
          </cell>
          <cell r="U152">
            <v>286.02674880000001</v>
          </cell>
          <cell r="V152">
            <v>304.57672035952544</v>
          </cell>
          <cell r="W152">
            <v>14740.417552102308</v>
          </cell>
          <cell r="X152">
            <v>15044.994272461834</v>
          </cell>
          <cell r="Y152">
            <v>2.6060963576064151</v>
          </cell>
          <cell r="AB152">
            <v>14598.184304662289</v>
          </cell>
          <cell r="AC152">
            <v>2013.4853999999998</v>
          </cell>
          <cell r="AD152">
            <v>31656.663977124124</v>
          </cell>
          <cell r="AE152">
            <v>5.4835724886755806</v>
          </cell>
          <cell r="AK152">
            <v>5.2758829093976348E-2</v>
          </cell>
          <cell r="AM152">
            <v>2.6060963576064151</v>
          </cell>
          <cell r="AO152">
            <v>5.4835724886755806</v>
          </cell>
        </row>
        <row r="153">
          <cell r="C153" t="str">
            <v>***</v>
          </cell>
          <cell r="E153" t="str">
            <v>TP1</v>
          </cell>
          <cell r="F153" t="str">
            <v>C4M015</v>
          </cell>
          <cell r="G153" t="str">
            <v>6轴攻丝</v>
          </cell>
          <cell r="H153" t="str">
            <v>多轴攻丝机-半自动0.75KW</v>
          </cell>
          <cell r="I153" t="str">
            <v>D-TA10GS</v>
          </cell>
          <cell r="K153">
            <v>1</v>
          </cell>
          <cell r="L153" t="str">
            <v>006S-RT</v>
          </cell>
          <cell r="N153">
            <v>0.75</v>
          </cell>
          <cell r="O153">
            <v>1.43</v>
          </cell>
          <cell r="P153">
            <v>15221.88</v>
          </cell>
          <cell r="Q153">
            <v>10</v>
          </cell>
          <cell r="R153">
            <v>3</v>
          </cell>
          <cell r="T153">
            <v>18.549971559525446</v>
          </cell>
          <cell r="U153">
            <v>165.015432</v>
          </cell>
          <cell r="V153">
            <v>183.56540355952546</v>
          </cell>
          <cell r="W153">
            <v>13132.492628520042</v>
          </cell>
          <cell r="X153">
            <v>13316.058032079567</v>
          </cell>
          <cell r="Y153">
            <v>2.3066097405299786</v>
          </cell>
          <cell r="AB153">
            <v>13005.774571386704</v>
          </cell>
          <cell r="AC153">
            <v>913.31279999999992</v>
          </cell>
          <cell r="AD153">
            <v>27235.145403466271</v>
          </cell>
          <cell r="AE153">
            <v>4.7176763214041699</v>
          </cell>
          <cell r="AK153">
            <v>3.1797229093976351E-2</v>
          </cell>
          <cell r="AM153">
            <v>2.3066097405299786</v>
          </cell>
          <cell r="AO153">
            <v>4.7176763214041699</v>
          </cell>
        </row>
        <row r="154">
          <cell r="C154" t="str">
            <v>***</v>
          </cell>
          <cell r="E154" t="str">
            <v>TP1</v>
          </cell>
          <cell r="F154" t="str">
            <v>C4M015</v>
          </cell>
          <cell r="G154" t="str">
            <v>6轴攻丝</v>
          </cell>
          <cell r="H154" t="str">
            <v>多轴攻丝机-半自动0.75KW</v>
          </cell>
          <cell r="I154" t="str">
            <v>D-TA11GS</v>
          </cell>
          <cell r="K154">
            <v>1</v>
          </cell>
          <cell r="L154" t="str">
            <v>006S-RT</v>
          </cell>
          <cell r="N154">
            <v>0.75</v>
          </cell>
          <cell r="O154">
            <v>1.43</v>
          </cell>
          <cell r="P154">
            <v>15221.87</v>
          </cell>
          <cell r="Q154">
            <v>10</v>
          </cell>
          <cell r="R154">
            <v>3</v>
          </cell>
          <cell r="T154">
            <v>18.549971559525446</v>
          </cell>
          <cell r="U154">
            <v>165.015432</v>
          </cell>
          <cell r="V154">
            <v>183.56540355952546</v>
          </cell>
          <cell r="W154">
            <v>13132.491751607678</v>
          </cell>
          <cell r="X154">
            <v>13316.057155167204</v>
          </cell>
          <cell r="Y154">
            <v>2.3066095886310762</v>
          </cell>
          <cell r="AB154">
            <v>13005.773702935847</v>
          </cell>
          <cell r="AC154">
            <v>913.31219999999996</v>
          </cell>
          <cell r="AD154">
            <v>27235.143058103051</v>
          </cell>
          <cell r="AE154">
            <v>4.7176759151399708</v>
          </cell>
          <cell r="AK154">
            <v>3.1797229093976351E-2</v>
          </cell>
          <cell r="AM154">
            <v>2.3066095886310762</v>
          </cell>
          <cell r="AO154">
            <v>4.7176759151399708</v>
          </cell>
        </row>
        <row r="155">
          <cell r="C155" t="str">
            <v>***</v>
          </cell>
          <cell r="E155" t="str">
            <v>TP1</v>
          </cell>
          <cell r="F155" t="str">
            <v>C4M015</v>
          </cell>
          <cell r="G155" t="str">
            <v>6轴攻丝</v>
          </cell>
          <cell r="H155" t="str">
            <v>多轴攻丝机-半自动2KW</v>
          </cell>
          <cell r="I155" t="str">
            <v>D-TA12GS</v>
          </cell>
          <cell r="K155">
            <v>1</v>
          </cell>
          <cell r="L155" t="str">
            <v>006S-RT</v>
          </cell>
          <cell r="N155">
            <v>2</v>
          </cell>
          <cell r="O155">
            <v>1.43</v>
          </cell>
          <cell r="P155">
            <v>28762.54</v>
          </cell>
          <cell r="Q155">
            <v>10</v>
          </cell>
          <cell r="R155">
            <v>3</v>
          </cell>
          <cell r="T155">
            <v>18.549971559525446</v>
          </cell>
          <cell r="U155">
            <v>440.04115200000007</v>
          </cell>
          <cell r="V155">
            <v>458.5911235595255</v>
          </cell>
          <cell r="W155">
            <v>14319.889843961697</v>
          </cell>
          <cell r="X155">
            <v>14778.480967521222</v>
          </cell>
          <cell r="Y155">
            <v>2.5599308795290527</v>
          </cell>
          <cell r="AB155">
            <v>14181.714352779663</v>
          </cell>
          <cell r="AC155">
            <v>1725.7524000000001</v>
          </cell>
          <cell r="AD155">
            <v>30685.947720300886</v>
          </cell>
          <cell r="AE155">
            <v>5.3154248606098884</v>
          </cell>
          <cell r="AK155">
            <v>7.9437229093976353E-2</v>
          </cell>
          <cell r="AM155">
            <v>2.5599308795290527</v>
          </cell>
          <cell r="AO155">
            <v>5.3154248606098884</v>
          </cell>
        </row>
        <row r="156">
          <cell r="C156" t="str">
            <v>***</v>
          </cell>
          <cell r="E156" t="str">
            <v>TP1</v>
          </cell>
          <cell r="F156" t="str">
            <v>C4M015</v>
          </cell>
          <cell r="G156" t="str">
            <v>6轴攻丝</v>
          </cell>
          <cell r="H156" t="str">
            <v>多轴攻丝机-半自动0.75KW</v>
          </cell>
          <cell r="I156" t="str">
            <v>D-TA13GS</v>
          </cell>
          <cell r="K156">
            <v>1</v>
          </cell>
          <cell r="L156" t="str">
            <v>006S-RT</v>
          </cell>
          <cell r="N156">
            <v>0.75</v>
          </cell>
          <cell r="O156">
            <v>1.43</v>
          </cell>
          <cell r="P156">
            <v>28762.54</v>
          </cell>
          <cell r="Q156">
            <v>10</v>
          </cell>
          <cell r="R156">
            <v>3</v>
          </cell>
          <cell r="T156">
            <v>18.549971559525446</v>
          </cell>
          <cell r="U156">
            <v>165.015432</v>
          </cell>
          <cell r="V156">
            <v>183.56540355952546</v>
          </cell>
          <cell r="W156">
            <v>14319.889843961697</v>
          </cell>
          <cell r="X156">
            <v>14503.455247521222</v>
          </cell>
          <cell r="Y156">
            <v>2.5122908795290528</v>
          </cell>
          <cell r="AB156">
            <v>14181.714352779663</v>
          </cell>
          <cell r="AC156">
            <v>1725.7524000000001</v>
          </cell>
          <cell r="AD156">
            <v>30410.922000300885</v>
          </cell>
          <cell r="AE156">
            <v>5.267784860609888</v>
          </cell>
          <cell r="AK156">
            <v>3.1797229093976351E-2</v>
          </cell>
          <cell r="AM156">
            <v>2.5122908795290528</v>
          </cell>
          <cell r="AO156">
            <v>5.267784860609888</v>
          </cell>
        </row>
        <row r="157">
          <cell r="C157" t="str">
            <v>***</v>
          </cell>
          <cell r="E157" t="str">
            <v>TP1</v>
          </cell>
          <cell r="F157" t="str">
            <v>C4M015</v>
          </cell>
          <cell r="G157" t="str">
            <v>6轴攻丝</v>
          </cell>
          <cell r="H157" t="str">
            <v>多轴攻丝机-手动2KW</v>
          </cell>
          <cell r="I157" t="str">
            <v>D-TA14GS</v>
          </cell>
          <cell r="K157">
            <v>1</v>
          </cell>
          <cell r="L157" t="str">
            <v>006S-RT</v>
          </cell>
          <cell r="N157">
            <v>2</v>
          </cell>
          <cell r="O157">
            <v>1.43</v>
          </cell>
          <cell r="P157">
            <v>11122.11</v>
          </cell>
          <cell r="Q157">
            <v>10</v>
          </cell>
          <cell r="R157">
            <v>3</v>
          </cell>
          <cell r="T157">
            <v>18.549971559525446</v>
          </cell>
          <cell r="U157">
            <v>440.04115200000007</v>
          </cell>
          <cell r="V157">
            <v>458.5911235595255</v>
          </cell>
          <cell r="W157">
            <v>12772.978728758048</v>
          </cell>
          <cell r="X157">
            <v>13231.569852317572</v>
          </cell>
          <cell r="Y157">
            <v>2.2919746842746531</v>
          </cell>
          <cell r="AB157">
            <v>12649.729693399857</v>
          </cell>
          <cell r="AC157">
            <v>667.32659999999998</v>
          </cell>
          <cell r="AD157">
            <v>26548.62614571743</v>
          </cell>
          <cell r="AE157">
            <v>4.5987573437930767</v>
          </cell>
          <cell r="AK157">
            <v>7.9437229093976353E-2</v>
          </cell>
          <cell r="AM157">
            <v>2.2919746842746531</v>
          </cell>
          <cell r="AO157">
            <v>4.5987573437930767</v>
          </cell>
        </row>
        <row r="158">
          <cell r="C158" t="str">
            <v>***</v>
          </cell>
          <cell r="E158" t="str">
            <v>TP1</v>
          </cell>
          <cell r="F158" t="str">
            <v>C4M015</v>
          </cell>
          <cell r="G158" t="str">
            <v>6轴攻丝</v>
          </cell>
          <cell r="H158" t="str">
            <v>多轴攻丝机-半自动2KW</v>
          </cell>
          <cell r="I158" t="str">
            <v>D-TA15GS</v>
          </cell>
          <cell r="K158">
            <v>1</v>
          </cell>
          <cell r="L158" t="str">
            <v>006S-RT</v>
          </cell>
          <cell r="N158">
            <v>2</v>
          </cell>
          <cell r="O158">
            <v>1.43</v>
          </cell>
          <cell r="P158">
            <v>11122.11</v>
          </cell>
          <cell r="Q158">
            <v>10</v>
          </cell>
          <cell r="R158">
            <v>3</v>
          </cell>
          <cell r="T158">
            <v>18.549971559525446</v>
          </cell>
          <cell r="U158">
            <v>440.04115200000007</v>
          </cell>
          <cell r="V158">
            <v>458.5911235595255</v>
          </cell>
          <cell r="W158">
            <v>12772.978728758048</v>
          </cell>
          <cell r="X158">
            <v>13231.569852317572</v>
          </cell>
          <cell r="Y158">
            <v>2.2919746842746531</v>
          </cell>
          <cell r="AB158">
            <v>12649.729693399857</v>
          </cell>
          <cell r="AC158">
            <v>667.32659999999998</v>
          </cell>
          <cell r="AD158">
            <v>26548.62614571743</v>
          </cell>
          <cell r="AE158">
            <v>4.5987573437930767</v>
          </cell>
          <cell r="AK158">
            <v>7.9437229093976353E-2</v>
          </cell>
          <cell r="AM158">
            <v>2.2919746842746531</v>
          </cell>
          <cell r="AO158">
            <v>4.5987573437930767</v>
          </cell>
        </row>
        <row r="159">
          <cell r="C159" t="str">
            <v>***</v>
          </cell>
          <cell r="E159" t="str">
            <v>TP1</v>
          </cell>
          <cell r="F159" t="str">
            <v>C4M015</v>
          </cell>
          <cell r="G159" t="str">
            <v>6轴攻丝</v>
          </cell>
          <cell r="H159" t="str">
            <v>多轴攻丝机-手动1.3KW</v>
          </cell>
          <cell r="I159" t="str">
            <v>D-TA16GS</v>
          </cell>
          <cell r="K159">
            <v>1</v>
          </cell>
          <cell r="L159" t="str">
            <v>006S-RT</v>
          </cell>
          <cell r="N159">
            <v>1.3</v>
          </cell>
          <cell r="O159">
            <v>1.43</v>
          </cell>
          <cell r="P159">
            <v>11122.11</v>
          </cell>
          <cell r="Q159">
            <v>10</v>
          </cell>
          <cell r="R159">
            <v>3</v>
          </cell>
          <cell r="T159">
            <v>18.549971559525446</v>
          </cell>
          <cell r="U159">
            <v>286.02674880000001</v>
          </cell>
          <cell r="V159">
            <v>304.57672035952544</v>
          </cell>
          <cell r="W159">
            <v>12772.978728758048</v>
          </cell>
          <cell r="X159">
            <v>13077.555449117574</v>
          </cell>
          <cell r="Y159">
            <v>2.2652962842746533</v>
          </cell>
          <cell r="AB159">
            <v>12649.729693399857</v>
          </cell>
          <cell r="AC159">
            <v>667.32659999999998</v>
          </cell>
          <cell r="AD159">
            <v>26394.611742517431</v>
          </cell>
          <cell r="AE159">
            <v>4.5720789437930769</v>
          </cell>
          <cell r="AK159">
            <v>5.2758829093976348E-2</v>
          </cell>
          <cell r="AM159">
            <v>2.2652962842746533</v>
          </cell>
          <cell r="AO159">
            <v>4.5720789437930769</v>
          </cell>
        </row>
        <row r="160">
          <cell r="C160" t="str">
            <v>***</v>
          </cell>
          <cell r="E160" t="str">
            <v>TP1</v>
          </cell>
          <cell r="F160" t="str">
            <v>C4M015</v>
          </cell>
          <cell r="G160" t="str">
            <v>6轴攻丝</v>
          </cell>
          <cell r="H160" t="str">
            <v>多轴攻丝机-手动1.4KW</v>
          </cell>
          <cell r="I160" t="str">
            <v>D-TA17GS</v>
          </cell>
          <cell r="K160">
            <v>1</v>
          </cell>
          <cell r="L160" t="str">
            <v>006S-RT</v>
          </cell>
          <cell r="N160">
            <v>1.3</v>
          </cell>
          <cell r="O160">
            <v>1.43</v>
          </cell>
          <cell r="P160">
            <v>11122.11</v>
          </cell>
          <cell r="Q160">
            <v>10</v>
          </cell>
          <cell r="R160">
            <v>3</v>
          </cell>
          <cell r="T160">
            <v>18.549971559525446</v>
          </cell>
          <cell r="U160">
            <v>286.02674880000001</v>
          </cell>
          <cell r="V160">
            <v>304.57672035952544</v>
          </cell>
          <cell r="W160">
            <v>12772.978728758048</v>
          </cell>
          <cell r="X160">
            <v>13077.555449117574</v>
          </cell>
          <cell r="Y160">
            <v>2.2652962842746533</v>
          </cell>
          <cell r="AB160">
            <v>12649.729693399857</v>
          </cell>
          <cell r="AC160">
            <v>667.32659999999998</v>
          </cell>
          <cell r="AD160">
            <v>26394.611742517431</v>
          </cell>
          <cell r="AE160">
            <v>4.5720789437930769</v>
          </cell>
          <cell r="AK160">
            <v>5.2758829093976348E-2</v>
          </cell>
          <cell r="AM160">
            <v>2.2652962842746533</v>
          </cell>
          <cell r="AO160">
            <v>4.5720789437930769</v>
          </cell>
        </row>
        <row r="161">
          <cell r="C161" t="str">
            <v>***</v>
          </cell>
          <cell r="E161" t="str">
            <v>TP1</v>
          </cell>
          <cell r="F161" t="str">
            <v>C4M015</v>
          </cell>
          <cell r="G161" t="str">
            <v>6轴攻丝</v>
          </cell>
          <cell r="H161" t="str">
            <v>多轴攻丝机-自动1.3KW</v>
          </cell>
          <cell r="I161" t="str">
            <v>D-TA18GS</v>
          </cell>
          <cell r="K161">
            <v>1</v>
          </cell>
          <cell r="L161" t="str">
            <v>006S-RT</v>
          </cell>
          <cell r="N161">
            <v>1.3</v>
          </cell>
          <cell r="O161">
            <v>1.43</v>
          </cell>
          <cell r="P161">
            <v>11122.11</v>
          </cell>
          <cell r="Q161">
            <v>10</v>
          </cell>
          <cell r="R161">
            <v>3</v>
          </cell>
          <cell r="T161">
            <v>18.549971559525446</v>
          </cell>
          <cell r="U161">
            <v>286.02674880000001</v>
          </cell>
          <cell r="V161">
            <v>304.57672035952544</v>
          </cell>
          <cell r="W161">
            <v>12772.978728758048</v>
          </cell>
          <cell r="X161">
            <v>13077.555449117574</v>
          </cell>
          <cell r="Y161">
            <v>2.2652962842746533</v>
          </cell>
          <cell r="AB161">
            <v>12649.729693399857</v>
          </cell>
          <cell r="AC161">
            <v>667.32659999999998</v>
          </cell>
          <cell r="AD161">
            <v>26394.611742517431</v>
          </cell>
          <cell r="AE161">
            <v>4.5720789437930769</v>
          </cell>
          <cell r="AK161">
            <v>5.2758829093976348E-2</v>
          </cell>
          <cell r="AM161">
            <v>2.2652962842746533</v>
          </cell>
          <cell r="AO161">
            <v>4.5720789437930769</v>
          </cell>
        </row>
        <row r="162">
          <cell r="C162" t="str">
            <v>***</v>
          </cell>
          <cell r="E162" t="str">
            <v>TP1</v>
          </cell>
          <cell r="F162" t="str">
            <v>C4M015</v>
          </cell>
          <cell r="G162" t="str">
            <v>6轴攻丝</v>
          </cell>
          <cell r="H162" t="str">
            <v>多轴攻丝机-自动1.3KW</v>
          </cell>
          <cell r="I162" t="str">
            <v>D-TA19GS</v>
          </cell>
          <cell r="K162">
            <v>1</v>
          </cell>
          <cell r="L162" t="str">
            <v>006S-RT</v>
          </cell>
          <cell r="N162">
            <v>1.3</v>
          </cell>
          <cell r="O162">
            <v>1.43</v>
          </cell>
          <cell r="P162">
            <v>11122.11</v>
          </cell>
          <cell r="Q162">
            <v>10</v>
          </cell>
          <cell r="R162">
            <v>3</v>
          </cell>
          <cell r="T162">
            <v>18.549971559525446</v>
          </cell>
          <cell r="U162">
            <v>286.02674880000001</v>
          </cell>
          <cell r="V162">
            <v>304.57672035952544</v>
          </cell>
          <cell r="W162">
            <v>12772.978728758048</v>
          </cell>
          <cell r="X162">
            <v>13077.555449117574</v>
          </cell>
          <cell r="Y162">
            <v>2.2652962842746533</v>
          </cell>
          <cell r="AB162">
            <v>12649.729693399857</v>
          </cell>
          <cell r="AC162">
            <v>667.32659999999998</v>
          </cell>
          <cell r="AD162">
            <v>26394.611742517431</v>
          </cell>
          <cell r="AE162">
            <v>4.5720789437930769</v>
          </cell>
          <cell r="AK162">
            <v>5.2758829093976348E-2</v>
          </cell>
          <cell r="AM162">
            <v>2.2652962842746533</v>
          </cell>
          <cell r="AO162">
            <v>4.5720789437930769</v>
          </cell>
        </row>
        <row r="163">
          <cell r="C163" t="str">
            <v>***</v>
          </cell>
          <cell r="E163" t="str">
            <v>TP1</v>
          </cell>
          <cell r="F163" t="str">
            <v>C4M015</v>
          </cell>
          <cell r="G163" t="str">
            <v>6轴攻丝</v>
          </cell>
          <cell r="H163" t="str">
            <v>多轴攻丝机-自动1.3KW</v>
          </cell>
          <cell r="I163" t="str">
            <v>D-TA20GS</v>
          </cell>
          <cell r="K163">
            <v>1</v>
          </cell>
          <cell r="L163" t="str">
            <v>006S-RT</v>
          </cell>
          <cell r="N163">
            <v>1.3</v>
          </cell>
          <cell r="O163">
            <v>1.43</v>
          </cell>
          <cell r="P163">
            <v>24127.27</v>
          </cell>
          <cell r="Q163">
            <v>10</v>
          </cell>
          <cell r="R163">
            <v>3</v>
          </cell>
          <cell r="T163">
            <v>18.549971559525446</v>
          </cell>
          <cell r="U163">
            <v>286.02674880000001</v>
          </cell>
          <cell r="V163">
            <v>304.57672035952544</v>
          </cell>
          <cell r="W163">
            <v>13913.41728717198</v>
          </cell>
          <cell r="X163">
            <v>14217.994007531506</v>
          </cell>
          <cell r="Y163">
            <v>2.4628432370572502</v>
          </cell>
          <cell r="AB163">
            <v>13779.163931271603</v>
          </cell>
          <cell r="AC163">
            <v>1447.6361999999999</v>
          </cell>
          <cell r="AD163">
            <v>29444.79413880311</v>
          </cell>
          <cell r="AE163">
            <v>5.1004320351295878</v>
          </cell>
          <cell r="AK163">
            <v>5.2758829093976348E-2</v>
          </cell>
          <cell r="AM163">
            <v>2.4628432370572502</v>
          </cell>
          <cell r="AO163">
            <v>5.1004320351295878</v>
          </cell>
        </row>
        <row r="164">
          <cell r="E164" t="str">
            <v>TP1</v>
          </cell>
          <cell r="F164" t="str">
            <v>C4M015</v>
          </cell>
          <cell r="G164" t="str">
            <v>6轴攻丝</v>
          </cell>
          <cell r="H164" t="str">
            <v>多轴攻丝机-半自动1.3KW</v>
          </cell>
          <cell r="I164" t="str">
            <v>D-TA21GS</v>
          </cell>
          <cell r="K164">
            <v>1</v>
          </cell>
          <cell r="L164" t="str">
            <v>006S-RT</v>
          </cell>
          <cell r="N164">
            <v>1.3</v>
          </cell>
          <cell r="O164">
            <v>1.43</v>
          </cell>
          <cell r="P164">
            <v>9440</v>
          </cell>
          <cell r="Q164">
            <v>10</v>
          </cell>
          <cell r="R164">
            <v>3</v>
          </cell>
          <cell r="T164">
            <v>18.549971559525446</v>
          </cell>
          <cell r="U164">
            <v>286.02674880000001</v>
          </cell>
          <cell r="V164">
            <v>304.57672035952544</v>
          </cell>
          <cell r="W164">
            <v>12625.472423299778</v>
          </cell>
          <cell r="X164">
            <v>12930.049143659304</v>
          </cell>
          <cell r="Y164">
            <v>2.2397452180251696</v>
          </cell>
          <cell r="AB164">
            <v>12503.64670588825</v>
          </cell>
          <cell r="AC164">
            <v>566.4</v>
          </cell>
          <cell r="AD164">
            <v>26000.095849547553</v>
          </cell>
          <cell r="AE164">
            <v>4.5037408365750133</v>
          </cell>
          <cell r="AK164">
            <v>5.2758829093976348E-2</v>
          </cell>
          <cell r="AM164">
            <v>2.2397452180251696</v>
          </cell>
          <cell r="AO164">
            <v>4.5037408365750133</v>
          </cell>
        </row>
        <row r="165">
          <cell r="E165" t="str">
            <v>TP1</v>
          </cell>
          <cell r="F165" t="str">
            <v>C4M015</v>
          </cell>
          <cell r="G165" t="str">
            <v>6轴攻丝</v>
          </cell>
          <cell r="H165" t="str">
            <v>多轴攻丝机-半自动1.3KW</v>
          </cell>
          <cell r="I165" t="str">
            <v>D-TA22GS</v>
          </cell>
          <cell r="K165">
            <v>1</v>
          </cell>
          <cell r="L165" t="str">
            <v>006S-RT</v>
          </cell>
          <cell r="N165">
            <v>1.3</v>
          </cell>
          <cell r="O165">
            <v>1.43</v>
          </cell>
          <cell r="P165">
            <v>9440</v>
          </cell>
          <cell r="Q165">
            <v>10</v>
          </cell>
          <cell r="R165">
            <v>3</v>
          </cell>
          <cell r="T165">
            <v>18.549971559525446</v>
          </cell>
          <cell r="U165">
            <v>286.02674880000001</v>
          </cell>
          <cell r="V165">
            <v>304.57672035952544</v>
          </cell>
          <cell r="W165">
            <v>12625.472423299778</v>
          </cell>
          <cell r="X165">
            <v>12930.049143659304</v>
          </cell>
          <cell r="Y165">
            <v>2.2397452180251696</v>
          </cell>
          <cell r="AB165">
            <v>12503.64670588825</v>
          </cell>
          <cell r="AC165">
            <v>566.4</v>
          </cell>
          <cell r="AD165">
            <v>26000.095849547553</v>
          </cell>
          <cell r="AE165">
            <v>4.5037408365750133</v>
          </cell>
          <cell r="AK165">
            <v>5.2758829093976348E-2</v>
          </cell>
          <cell r="AM165">
            <v>2.2397452180251696</v>
          </cell>
          <cell r="AO165">
            <v>4.5037408365750133</v>
          </cell>
        </row>
        <row r="166">
          <cell r="E166" t="str">
            <v>TP1</v>
          </cell>
          <cell r="F166" t="str">
            <v>C4M015</v>
          </cell>
          <cell r="G166" t="str">
            <v>6轴攻丝</v>
          </cell>
          <cell r="H166" t="str">
            <v>多轴攻丝机-半自动2KW</v>
          </cell>
          <cell r="I166" t="str">
            <v>D-TA23GS</v>
          </cell>
          <cell r="K166">
            <v>1</v>
          </cell>
          <cell r="L166" t="str">
            <v>006S-RT</v>
          </cell>
          <cell r="N166">
            <v>2</v>
          </cell>
          <cell r="O166">
            <v>1.43</v>
          </cell>
          <cell r="P166">
            <v>7666.67</v>
          </cell>
          <cell r="Q166">
            <v>10</v>
          </cell>
          <cell r="R166">
            <v>3</v>
          </cell>
          <cell r="T166">
            <v>18.549971559525446</v>
          </cell>
          <cell r="U166">
            <v>440.04115200000007</v>
          </cell>
          <cell r="V166">
            <v>458.5911235595255</v>
          </cell>
          <cell r="W166">
            <v>12469.966923268084</v>
          </cell>
          <cell r="X166">
            <v>12928.558046827609</v>
          </cell>
          <cell r="Y166">
            <v>2.2394869299891926</v>
          </cell>
          <cell r="AB166">
            <v>12349.641709637139</v>
          </cell>
          <cell r="AC166">
            <v>460.00020000000001</v>
          </cell>
          <cell r="AD166">
            <v>25738.199956464749</v>
          </cell>
          <cell r="AE166">
            <v>4.4583751873314998</v>
          </cell>
          <cell r="AK166">
            <v>7.9437229093976353E-2</v>
          </cell>
          <cell r="AM166">
            <v>2.2394869299891926</v>
          </cell>
          <cell r="AO166">
            <v>4.4583751873314998</v>
          </cell>
        </row>
        <row r="167">
          <cell r="E167" t="str">
            <v>TP1</v>
          </cell>
          <cell r="F167" t="str">
            <v>C4M015</v>
          </cell>
          <cell r="G167" t="str">
            <v>6轴攻丝</v>
          </cell>
          <cell r="H167" t="str">
            <v>多轴攻丝机-半自动0.75KW</v>
          </cell>
          <cell r="I167" t="str">
            <v>D-TA24GS</v>
          </cell>
          <cell r="K167">
            <v>1</v>
          </cell>
          <cell r="L167" t="str">
            <v>006S-RT</v>
          </cell>
          <cell r="N167">
            <v>0.75</v>
          </cell>
          <cell r="O167">
            <v>1.43</v>
          </cell>
          <cell r="P167">
            <v>7666.67</v>
          </cell>
          <cell r="Q167">
            <v>10</v>
          </cell>
          <cell r="R167">
            <v>3</v>
          </cell>
          <cell r="T167">
            <v>18.549971559525446</v>
          </cell>
          <cell r="U167">
            <v>165.015432</v>
          </cell>
          <cell r="V167">
            <v>183.56540355952546</v>
          </cell>
          <cell r="W167">
            <v>12469.966923268084</v>
          </cell>
          <cell r="X167">
            <v>12653.53232682761</v>
          </cell>
          <cell r="Y167">
            <v>2.1918469299891927</v>
          </cell>
          <cell r="AB167">
            <v>12349.641709637139</v>
          </cell>
          <cell r="AC167">
            <v>460.00020000000001</v>
          </cell>
          <cell r="AD167">
            <v>25463.174236464751</v>
          </cell>
          <cell r="AE167">
            <v>4.4107351873315004</v>
          </cell>
          <cell r="AK167">
            <v>3.1797229093976351E-2</v>
          </cell>
          <cell r="AM167">
            <v>2.1918469299891927</v>
          </cell>
          <cell r="AO167">
            <v>4.4107351873315004</v>
          </cell>
        </row>
        <row r="168">
          <cell r="E168" t="str">
            <v>TP1</v>
          </cell>
          <cell r="F168" t="str">
            <v>C4M015</v>
          </cell>
          <cell r="G168" t="str">
            <v>6轴攻丝</v>
          </cell>
          <cell r="H168" t="str">
            <v>多轴攻丝机-半自动0.75KW</v>
          </cell>
          <cell r="I168" t="str">
            <v>D-TA25GS</v>
          </cell>
          <cell r="K168">
            <v>1</v>
          </cell>
          <cell r="L168" t="str">
            <v>006S-RT</v>
          </cell>
          <cell r="N168">
            <v>0.75</v>
          </cell>
          <cell r="O168">
            <v>1.43</v>
          </cell>
          <cell r="P168">
            <v>7666.67</v>
          </cell>
          <cell r="Q168">
            <v>10</v>
          </cell>
          <cell r="R168">
            <v>3</v>
          </cell>
          <cell r="T168">
            <v>18.549971559525446</v>
          </cell>
          <cell r="U168">
            <v>165.015432</v>
          </cell>
          <cell r="V168">
            <v>183.56540355952546</v>
          </cell>
          <cell r="W168">
            <v>12469.966923268084</v>
          </cell>
          <cell r="X168">
            <v>12653.53232682761</v>
          </cell>
          <cell r="Y168">
            <v>2.1918469299891927</v>
          </cell>
          <cell r="AB168">
            <v>12349.641709637139</v>
          </cell>
          <cell r="AC168">
            <v>460.00020000000001</v>
          </cell>
          <cell r="AD168">
            <v>25463.174236464751</v>
          </cell>
          <cell r="AE168">
            <v>4.4107351873315004</v>
          </cell>
          <cell r="AK168">
            <v>3.1797229093976351E-2</v>
          </cell>
          <cell r="AM168">
            <v>2.1918469299891927</v>
          </cell>
          <cell r="AO168">
            <v>4.4107351873315004</v>
          </cell>
        </row>
        <row r="169">
          <cell r="E169" t="str">
            <v>TP1</v>
          </cell>
          <cell r="F169" t="str">
            <v>C4M015</v>
          </cell>
          <cell r="G169" t="str">
            <v>6轴攻丝</v>
          </cell>
          <cell r="H169" t="str">
            <v>多轴攻丝机-半自动0.75KW</v>
          </cell>
          <cell r="I169" t="str">
            <v>D-TA26GS</v>
          </cell>
          <cell r="K169">
            <v>1</v>
          </cell>
          <cell r="L169" t="str">
            <v>006S-RT</v>
          </cell>
          <cell r="N169">
            <v>0.75</v>
          </cell>
          <cell r="O169">
            <v>1.43</v>
          </cell>
          <cell r="P169">
            <v>7666.66</v>
          </cell>
          <cell r="Q169">
            <v>10</v>
          </cell>
          <cell r="R169">
            <v>3</v>
          </cell>
          <cell r="T169">
            <v>18.549971559525446</v>
          </cell>
          <cell r="U169">
            <v>165.015432</v>
          </cell>
          <cell r="V169">
            <v>183.56540355952546</v>
          </cell>
          <cell r="W169">
            <v>12469.966046355721</v>
          </cell>
          <cell r="X169">
            <v>12653.531449915246</v>
          </cell>
          <cell r="Y169">
            <v>2.1918467780902904</v>
          </cell>
          <cell r="AB169">
            <v>12349.640841186279</v>
          </cell>
          <cell r="AC169">
            <v>459.99959999999999</v>
          </cell>
          <cell r="AD169">
            <v>25463.171891101527</v>
          </cell>
          <cell r="AE169">
            <v>4.4107347810673003</v>
          </cell>
          <cell r="AK169">
            <v>3.1797229093976351E-2</v>
          </cell>
          <cell r="AM169">
            <v>2.1918467780902904</v>
          </cell>
          <cell r="AO169">
            <v>4.4107347810673003</v>
          </cell>
        </row>
        <row r="170">
          <cell r="E170" t="str">
            <v>TP1</v>
          </cell>
          <cell r="F170" t="str">
            <v>C4M015</v>
          </cell>
          <cell r="G170" t="str">
            <v>6轴攻丝</v>
          </cell>
          <cell r="H170" t="str">
            <v>多轴攻丝机-自动</v>
          </cell>
          <cell r="I170" t="str">
            <v>D-TA27GS</v>
          </cell>
          <cell r="K170">
            <v>1</v>
          </cell>
          <cell r="L170" t="str">
            <v>006SRT</v>
          </cell>
          <cell r="N170">
            <v>0.75</v>
          </cell>
          <cell r="O170">
            <v>1.43</v>
          </cell>
          <cell r="P170">
            <v>9065.7800000000007</v>
          </cell>
          <cell r="Q170">
            <v>10</v>
          </cell>
          <cell r="R170">
            <v>3</v>
          </cell>
          <cell r="T170">
            <v>18.549971559525446</v>
          </cell>
          <cell r="U170">
            <v>165.015432</v>
          </cell>
          <cell r="V170">
            <v>183.56540355952546</v>
          </cell>
          <cell r="W170">
            <v>12592.656608859228</v>
          </cell>
          <cell r="X170">
            <v>12776.222012418753</v>
          </cell>
          <cell r="Y170">
            <v>2.2130992573044783</v>
          </cell>
          <cell r="AB170">
            <v>12471.147537827545</v>
          </cell>
          <cell r="AC170">
            <v>543.94680000000005</v>
          </cell>
          <cell r="AD170">
            <v>25791.316350246299</v>
          </cell>
          <cell r="AE170">
            <v>4.4675760177111208</v>
          </cell>
          <cell r="AK170">
            <v>3.1797229093976351E-2</v>
          </cell>
          <cell r="AM170">
            <v>2.2130992573044783</v>
          </cell>
          <cell r="AO170">
            <v>4.4675760177111208</v>
          </cell>
        </row>
        <row r="171">
          <cell r="E171" t="str">
            <v>TP1</v>
          </cell>
          <cell r="F171" t="str">
            <v>C4M015</v>
          </cell>
          <cell r="G171" t="str">
            <v>6轴攻丝</v>
          </cell>
          <cell r="H171" t="str">
            <v>多轴攻丝机--手动</v>
          </cell>
          <cell r="I171" t="str">
            <v>D-TA28GS</v>
          </cell>
          <cell r="K171">
            <v>1</v>
          </cell>
          <cell r="L171" t="str">
            <v>006SRT</v>
          </cell>
          <cell r="N171">
            <v>0.75</v>
          </cell>
          <cell r="O171">
            <v>1.43</v>
          </cell>
          <cell r="P171">
            <v>9065.7800000000007</v>
          </cell>
          <cell r="Q171">
            <v>10</v>
          </cell>
          <cell r="R171">
            <v>3</v>
          </cell>
          <cell r="T171">
            <v>18.549971559525446</v>
          </cell>
          <cell r="U171">
            <v>165.015432</v>
          </cell>
          <cell r="V171">
            <v>183.56540355952546</v>
          </cell>
          <cell r="W171">
            <v>12592.656608859228</v>
          </cell>
          <cell r="X171">
            <v>12776.222012418753</v>
          </cell>
          <cell r="Y171">
            <v>2.2130992573044783</v>
          </cell>
          <cell r="AB171">
            <v>12471.147537827545</v>
          </cell>
          <cell r="AC171">
            <v>543.94680000000005</v>
          </cell>
          <cell r="AD171">
            <v>25791.316350246299</v>
          </cell>
          <cell r="AE171">
            <v>4.4675760177111208</v>
          </cell>
          <cell r="AK171">
            <v>3.1797229093976351E-2</v>
          </cell>
          <cell r="AM171">
            <v>2.2130992573044783</v>
          </cell>
          <cell r="AO171">
            <v>4.4675760177111208</v>
          </cell>
        </row>
        <row r="172">
          <cell r="E172" t="str">
            <v>TP1</v>
          </cell>
          <cell r="F172" t="str">
            <v>C4M015</v>
          </cell>
          <cell r="G172" t="str">
            <v>6轴攻丝</v>
          </cell>
          <cell r="H172" t="str">
            <v>多轴攻丝机-半自动</v>
          </cell>
          <cell r="I172" t="str">
            <v>D-TA29GS</v>
          </cell>
          <cell r="K172">
            <v>1</v>
          </cell>
          <cell r="L172" t="str">
            <v>006SRT</v>
          </cell>
          <cell r="N172">
            <v>0.75</v>
          </cell>
          <cell r="O172">
            <v>1.43</v>
          </cell>
          <cell r="P172">
            <v>9065.7800000000007</v>
          </cell>
          <cell r="Q172">
            <v>10</v>
          </cell>
          <cell r="R172">
            <v>3</v>
          </cell>
          <cell r="T172">
            <v>18.549971559525446</v>
          </cell>
          <cell r="U172">
            <v>165.015432</v>
          </cell>
          <cell r="V172">
            <v>183.56540355952546</v>
          </cell>
          <cell r="W172">
            <v>12592.656608859228</v>
          </cell>
          <cell r="X172">
            <v>12776.222012418753</v>
          </cell>
          <cell r="Y172">
            <v>2.2130992573044783</v>
          </cell>
          <cell r="AB172">
            <v>12471.147537827545</v>
          </cell>
          <cell r="AC172">
            <v>543.94680000000005</v>
          </cell>
          <cell r="AD172">
            <v>25791.316350246299</v>
          </cell>
          <cell r="AE172">
            <v>4.4675760177111208</v>
          </cell>
          <cell r="AK172">
            <v>3.1797229093976351E-2</v>
          </cell>
          <cell r="AM172">
            <v>2.2130992573044783</v>
          </cell>
          <cell r="AO172">
            <v>4.4675760177111208</v>
          </cell>
        </row>
        <row r="173">
          <cell r="E173" t="str">
            <v>TP1</v>
          </cell>
          <cell r="F173" t="str">
            <v>C4M015</v>
          </cell>
          <cell r="G173" t="str">
            <v>6轴攻丝</v>
          </cell>
          <cell r="H173" t="str">
            <v>多轴攻丝机-自动</v>
          </cell>
          <cell r="I173" t="str">
            <v>D-TA30GS</v>
          </cell>
          <cell r="K173">
            <v>1</v>
          </cell>
          <cell r="L173" t="str">
            <v>006SRT</v>
          </cell>
          <cell r="N173">
            <v>0.75</v>
          </cell>
          <cell r="O173">
            <v>1.43</v>
          </cell>
          <cell r="P173">
            <v>9065.7800000000007</v>
          </cell>
          <cell r="Q173">
            <v>10</v>
          </cell>
          <cell r="R173">
            <v>3</v>
          </cell>
          <cell r="T173">
            <v>18.549971559525446</v>
          </cell>
          <cell r="U173">
            <v>165.015432</v>
          </cell>
          <cell r="V173">
            <v>183.56540355952546</v>
          </cell>
          <cell r="W173">
            <v>12592.656608859228</v>
          </cell>
          <cell r="X173">
            <v>12776.222012418753</v>
          </cell>
          <cell r="Y173">
            <v>2.2130992573044783</v>
          </cell>
          <cell r="AB173">
            <v>12471.147537827545</v>
          </cell>
          <cell r="AC173">
            <v>543.94680000000005</v>
          </cell>
          <cell r="AD173">
            <v>25791.316350246299</v>
          </cell>
          <cell r="AE173">
            <v>4.4675760177111208</v>
          </cell>
          <cell r="AK173">
            <v>3.1797229093976351E-2</v>
          </cell>
          <cell r="AM173">
            <v>2.2130992573044783</v>
          </cell>
          <cell r="AO173">
            <v>4.4675760177111208</v>
          </cell>
        </row>
        <row r="174">
          <cell r="E174" t="str">
            <v>TP1</v>
          </cell>
          <cell r="F174" t="str">
            <v>C4M015</v>
          </cell>
          <cell r="G174" t="str">
            <v>6轴攻丝</v>
          </cell>
          <cell r="H174" t="str">
            <v>多轴攻丝机-自动</v>
          </cell>
          <cell r="I174" t="str">
            <v>D-TA31GS</v>
          </cell>
          <cell r="K174">
            <v>1</v>
          </cell>
          <cell r="L174" t="str">
            <v>006SRT</v>
          </cell>
          <cell r="N174">
            <v>0.75</v>
          </cell>
          <cell r="O174">
            <v>1.43</v>
          </cell>
          <cell r="P174">
            <v>9065.7800000000007</v>
          </cell>
          <cell r="Q174">
            <v>10</v>
          </cell>
          <cell r="R174">
            <v>3</v>
          </cell>
          <cell r="T174">
            <v>18.549971559525446</v>
          </cell>
          <cell r="U174">
            <v>165.015432</v>
          </cell>
          <cell r="V174">
            <v>183.56540355952546</v>
          </cell>
          <cell r="W174">
            <v>12592.656608859228</v>
          </cell>
          <cell r="X174">
            <v>12776.222012418753</v>
          </cell>
          <cell r="Y174">
            <v>2.2130992573044783</v>
          </cell>
          <cell r="AB174">
            <v>12471.147537827545</v>
          </cell>
          <cell r="AC174">
            <v>543.94680000000005</v>
          </cell>
          <cell r="AD174">
            <v>25791.316350246299</v>
          </cell>
          <cell r="AE174">
            <v>4.4675760177111208</v>
          </cell>
          <cell r="AK174">
            <v>3.1797229093976351E-2</v>
          </cell>
          <cell r="AM174">
            <v>2.2130992573044783</v>
          </cell>
          <cell r="AO174">
            <v>4.4675760177111208</v>
          </cell>
        </row>
        <row r="175">
          <cell r="E175" t="str">
            <v>TP1</v>
          </cell>
          <cell r="F175" t="str">
            <v>C4M015</v>
          </cell>
          <cell r="G175" t="str">
            <v>6轴攻丝</v>
          </cell>
          <cell r="H175" t="str">
            <v>多轴攻丝机--手动</v>
          </cell>
          <cell r="I175" t="str">
            <v>D-TA32GS</v>
          </cell>
          <cell r="K175">
            <v>1</v>
          </cell>
          <cell r="L175" t="str">
            <v>006SRT</v>
          </cell>
          <cell r="N175">
            <v>0.75</v>
          </cell>
          <cell r="O175">
            <v>1.87</v>
          </cell>
          <cell r="P175">
            <v>9065.7800000000007</v>
          </cell>
          <cell r="Q175">
            <v>10</v>
          </cell>
          <cell r="R175">
            <v>3</v>
          </cell>
          <cell r="T175">
            <v>24.257655116302509</v>
          </cell>
          <cell r="U175">
            <v>165.015432</v>
          </cell>
          <cell r="V175">
            <v>189.27308711630252</v>
          </cell>
          <cell r="W175">
            <v>13230.447357947212</v>
          </cell>
          <cell r="X175">
            <v>13419.720445063514</v>
          </cell>
          <cell r="Y175">
            <v>2.3245661605860928</v>
          </cell>
          <cell r="AB175">
            <v>13102.784115969602</v>
          </cell>
          <cell r="AC175">
            <v>543.94680000000005</v>
          </cell>
          <cell r="AD175">
            <v>27066.451361033116</v>
          </cell>
          <cell r="AE175">
            <v>4.6884551119059612</v>
          </cell>
          <cell r="AK175">
            <v>3.2785914969045996E-2</v>
          </cell>
          <cell r="AM175">
            <v>2.3245661605860928</v>
          </cell>
          <cell r="AO175">
            <v>4.6884551119059612</v>
          </cell>
        </row>
        <row r="176">
          <cell r="E176" t="str">
            <v>TP1</v>
          </cell>
          <cell r="F176" t="str">
            <v>C4M015</v>
          </cell>
          <cell r="G176" t="str">
            <v>6轴攻丝</v>
          </cell>
          <cell r="H176" t="str">
            <v>多轴攻丝机-半自动</v>
          </cell>
          <cell r="I176" t="str">
            <v>D-TA33GS</v>
          </cell>
          <cell r="K176">
            <v>1</v>
          </cell>
          <cell r="L176" t="str">
            <v>006SRT</v>
          </cell>
          <cell r="N176">
            <v>0.75</v>
          </cell>
          <cell r="O176">
            <v>1.87</v>
          </cell>
          <cell r="P176">
            <v>9065.77</v>
          </cell>
          <cell r="Q176">
            <v>10</v>
          </cell>
          <cell r="R176">
            <v>3</v>
          </cell>
          <cell r="T176">
            <v>24.257655116302509</v>
          </cell>
          <cell r="U176">
            <v>165.015432</v>
          </cell>
          <cell r="V176">
            <v>189.27308711630252</v>
          </cell>
          <cell r="W176">
            <v>13230.446481034849</v>
          </cell>
          <cell r="X176">
            <v>13419.719568151151</v>
          </cell>
          <cell r="Y176">
            <v>2.3245660086871904</v>
          </cell>
          <cell r="AB176">
            <v>13102.783247518742</v>
          </cell>
          <cell r="AC176">
            <v>543.94619999999998</v>
          </cell>
          <cell r="AD176">
            <v>27066.449015669896</v>
          </cell>
          <cell r="AE176">
            <v>4.6884547056417629</v>
          </cell>
          <cell r="AK176">
            <v>3.2785914969045996E-2</v>
          </cell>
          <cell r="AM176">
            <v>2.3245660086871904</v>
          </cell>
          <cell r="AO176">
            <v>4.6884547056417629</v>
          </cell>
        </row>
        <row r="177">
          <cell r="E177" t="str">
            <v>TP1</v>
          </cell>
          <cell r="F177" t="str">
            <v>C4M015</v>
          </cell>
          <cell r="G177" t="str">
            <v>6轴攻丝</v>
          </cell>
          <cell r="H177" t="str">
            <v>多轴攻丝机-半自动</v>
          </cell>
          <cell r="I177" t="str">
            <v>D-TA34GS</v>
          </cell>
          <cell r="K177">
            <v>1</v>
          </cell>
          <cell r="L177" t="str">
            <v>006SRT</v>
          </cell>
          <cell r="N177">
            <v>0.75</v>
          </cell>
          <cell r="O177">
            <v>1.43</v>
          </cell>
          <cell r="P177">
            <v>7796.61</v>
          </cell>
          <cell r="Q177">
            <v>10</v>
          </cell>
          <cell r="R177">
            <v>3</v>
          </cell>
          <cell r="T177">
            <v>18.549971559525446</v>
          </cell>
          <cell r="U177">
            <v>165.015432</v>
          </cell>
          <cell r="V177">
            <v>183.56540355952546</v>
          </cell>
          <cell r="W177">
            <v>12481.361522510255</v>
          </cell>
          <cell r="X177">
            <v>12664.92692606978</v>
          </cell>
          <cell r="Y177">
            <v>2.1938207043252693</v>
          </cell>
          <cell r="AB177">
            <v>12360.926360104266</v>
          </cell>
          <cell r="AC177">
            <v>467.79659999999996</v>
          </cell>
          <cell r="AD177">
            <v>25493.649886174047</v>
          </cell>
          <cell r="AE177">
            <v>4.4160141843364018</v>
          </cell>
          <cell r="AK177">
            <v>3.1797229093976351E-2</v>
          </cell>
          <cell r="AM177">
            <v>2.1938207043252693</v>
          </cell>
          <cell r="AO177">
            <v>4.4160141843364018</v>
          </cell>
        </row>
        <row r="178">
          <cell r="E178" t="str">
            <v>TP1</v>
          </cell>
          <cell r="F178" t="str">
            <v>C4M015</v>
          </cell>
          <cell r="G178" t="str">
            <v>6轴攻丝</v>
          </cell>
          <cell r="H178" t="str">
            <v>多轴攻丝机-自动</v>
          </cell>
          <cell r="I178" t="str">
            <v>D-TA35GS</v>
          </cell>
          <cell r="K178">
            <v>1</v>
          </cell>
          <cell r="L178" t="str">
            <v>RMH-0072</v>
          </cell>
          <cell r="N178">
            <v>0.75</v>
          </cell>
          <cell r="O178">
            <v>1.43</v>
          </cell>
          <cell r="P178">
            <v>7796.61</v>
          </cell>
          <cell r="Q178">
            <v>10</v>
          </cell>
          <cell r="R178">
            <v>3</v>
          </cell>
          <cell r="T178">
            <v>18.549971559525446</v>
          </cell>
          <cell r="U178">
            <v>165.015432</v>
          </cell>
          <cell r="V178">
            <v>183.56540355952546</v>
          </cell>
          <cell r="W178">
            <v>12481.361522510255</v>
          </cell>
          <cell r="X178">
            <v>12664.92692606978</v>
          </cell>
          <cell r="Y178">
            <v>2.1938207043252693</v>
          </cell>
          <cell r="AB178">
            <v>12360.926360104266</v>
          </cell>
          <cell r="AC178">
            <v>467.79659999999996</v>
          </cell>
          <cell r="AD178">
            <v>25493.649886174047</v>
          </cell>
          <cell r="AE178">
            <v>4.4160141843364018</v>
          </cell>
          <cell r="AK178">
            <v>3.1797229093976351E-2</v>
          </cell>
          <cell r="AM178">
            <v>2.1938207043252693</v>
          </cell>
          <cell r="AO178">
            <v>4.4160141843364018</v>
          </cell>
        </row>
        <row r="179">
          <cell r="E179" t="str">
            <v>TP1</v>
          </cell>
          <cell r="F179" t="str">
            <v>C4M015</v>
          </cell>
          <cell r="G179" t="str">
            <v>6轴攻丝</v>
          </cell>
          <cell r="H179" t="str">
            <v>多轴攻丝机-自动</v>
          </cell>
          <cell r="I179" t="str">
            <v>D-TA36GS</v>
          </cell>
          <cell r="K179">
            <v>1</v>
          </cell>
          <cell r="L179" t="str">
            <v>RMH-0026</v>
          </cell>
          <cell r="N179">
            <v>0.75</v>
          </cell>
          <cell r="O179">
            <v>1.43</v>
          </cell>
          <cell r="P179">
            <v>7796.61</v>
          </cell>
          <cell r="Q179">
            <v>10</v>
          </cell>
          <cell r="R179">
            <v>3</v>
          </cell>
          <cell r="T179">
            <v>18.549971559525446</v>
          </cell>
          <cell r="U179">
            <v>165.015432</v>
          </cell>
          <cell r="V179">
            <v>183.56540355952546</v>
          </cell>
          <cell r="W179">
            <v>12481.361522510255</v>
          </cell>
          <cell r="X179">
            <v>12664.92692606978</v>
          </cell>
          <cell r="Y179">
            <v>2.1938207043252693</v>
          </cell>
          <cell r="AB179">
            <v>12360.926360104266</v>
          </cell>
          <cell r="AC179">
            <v>467.79659999999996</v>
          </cell>
          <cell r="AD179">
            <v>25493.649886174047</v>
          </cell>
          <cell r="AE179">
            <v>4.4160141843364018</v>
          </cell>
          <cell r="AK179">
            <v>3.1797229093976351E-2</v>
          </cell>
          <cell r="AM179">
            <v>2.1938207043252693</v>
          </cell>
          <cell r="AO179">
            <v>4.4160141843364018</v>
          </cell>
        </row>
        <row r="180">
          <cell r="E180" t="str">
            <v>TP1</v>
          </cell>
          <cell r="F180" t="str">
            <v>C4M015</v>
          </cell>
          <cell r="G180" t="str">
            <v>6轴攻丝</v>
          </cell>
          <cell r="H180" t="str">
            <v>多轴攻丝机--手动</v>
          </cell>
          <cell r="I180" t="str">
            <v>D-TA37GS</v>
          </cell>
          <cell r="K180">
            <v>1</v>
          </cell>
          <cell r="L180" t="str">
            <v>006S-RT</v>
          </cell>
          <cell r="N180">
            <v>0.75</v>
          </cell>
          <cell r="O180">
            <v>1.43</v>
          </cell>
          <cell r="P180">
            <v>30000</v>
          </cell>
          <cell r="Q180">
            <v>10</v>
          </cell>
          <cell r="R180">
            <v>3</v>
          </cell>
          <cell r="T180">
            <v>18.549971559525446</v>
          </cell>
          <cell r="U180">
            <v>165.015432</v>
          </cell>
          <cell r="V180">
            <v>183.56540355952546</v>
          </cell>
          <cell r="W180">
            <v>14428.404241208245</v>
          </cell>
          <cell r="X180">
            <v>14611.969644767771</v>
          </cell>
          <cell r="Y180">
            <v>2.5310877610891684</v>
          </cell>
          <cell r="AB180">
            <v>14289.181672827764</v>
          </cell>
          <cell r="AC180">
            <v>1800</v>
          </cell>
          <cell r="AD180">
            <v>30701.151317595533</v>
          </cell>
          <cell r="AE180">
            <v>5.318058430208823</v>
          </cell>
          <cell r="AK180">
            <v>3.1797229093976351E-2</v>
          </cell>
          <cell r="AM180">
            <v>2.5310877610891684</v>
          </cell>
          <cell r="AO180">
            <v>5.318058430208823</v>
          </cell>
        </row>
        <row r="181">
          <cell r="E181" t="str">
            <v>TP1</v>
          </cell>
          <cell r="F181" t="str">
            <v>C4M015</v>
          </cell>
          <cell r="G181" t="str">
            <v>6轴攻丝</v>
          </cell>
          <cell r="H181" t="str">
            <v>多轴攻丝机-半自动</v>
          </cell>
          <cell r="I181" t="str">
            <v>D-TA38GS</v>
          </cell>
          <cell r="K181">
            <v>1</v>
          </cell>
          <cell r="L181" t="str">
            <v>006S-RT</v>
          </cell>
          <cell r="N181">
            <v>0.75</v>
          </cell>
          <cell r="O181">
            <v>1.43</v>
          </cell>
          <cell r="P181">
            <v>32800</v>
          </cell>
          <cell r="Q181">
            <v>10</v>
          </cell>
          <cell r="R181">
            <v>3</v>
          </cell>
          <cell r="T181">
            <v>18.549971559525446</v>
          </cell>
          <cell r="U181">
            <v>165.015432</v>
          </cell>
          <cell r="V181">
            <v>183.56540355952546</v>
          </cell>
          <cell r="W181">
            <v>14673.939702791109</v>
          </cell>
          <cell r="X181">
            <v>14857.505106350634</v>
          </cell>
          <cell r="Y181">
            <v>2.5736194537243433</v>
          </cell>
          <cell r="AB181">
            <v>14532.34791346155</v>
          </cell>
          <cell r="AC181">
            <v>1968</v>
          </cell>
          <cell r="AD181">
            <v>31357.853019812181</v>
          </cell>
          <cell r="AE181">
            <v>5.4318124059955277</v>
          </cell>
          <cell r="AK181">
            <v>3.1797229093976351E-2</v>
          </cell>
          <cell r="AM181">
            <v>2.5736194537243433</v>
          </cell>
          <cell r="AO181">
            <v>5.4318124059955277</v>
          </cell>
        </row>
        <row r="182">
          <cell r="E182" t="str">
            <v>TP1</v>
          </cell>
          <cell r="F182" t="str">
            <v>C4M015</v>
          </cell>
          <cell r="G182" t="str">
            <v>6轴攻丝</v>
          </cell>
          <cell r="H182" t="str">
            <v>多轴攻丝机-半自动</v>
          </cell>
          <cell r="I182" t="str">
            <v>D-TA41GS</v>
          </cell>
          <cell r="K182">
            <v>1</v>
          </cell>
          <cell r="L182" t="str">
            <v>006S-RT</v>
          </cell>
          <cell r="N182">
            <v>0.75</v>
          </cell>
          <cell r="O182">
            <v>1.43</v>
          </cell>
          <cell r="P182">
            <v>8554.91</v>
          </cell>
          <cell r="Q182">
            <v>10</v>
          </cell>
          <cell r="R182">
            <v>3</v>
          </cell>
          <cell r="T182">
            <v>18.549971559525446</v>
          </cell>
          <cell r="U182">
            <v>165.015432</v>
          </cell>
          <cell r="V182">
            <v>183.56540355952546</v>
          </cell>
          <cell r="W182">
            <v>12547.857786981072</v>
          </cell>
          <cell r="X182">
            <v>12731.423190540598</v>
          </cell>
          <cell r="Y182">
            <v>2.2053391980842885</v>
          </cell>
          <cell r="AB182">
            <v>12426.780988773051</v>
          </cell>
          <cell r="AC182">
            <v>513.29459999999995</v>
          </cell>
          <cell r="AD182">
            <v>25671.498779313646</v>
          </cell>
          <cell r="AE182">
            <v>4.4468211985646366</v>
          </cell>
          <cell r="AK182">
            <v>3.1797229093976351E-2</v>
          </cell>
          <cell r="AM182">
            <v>2.2053391980842885</v>
          </cell>
          <cell r="AO182">
            <v>4.4468211985646366</v>
          </cell>
        </row>
        <row r="184">
          <cell r="C184" t="str">
            <v>TP1</v>
          </cell>
          <cell r="D184" t="str">
            <v>6轴攻丝</v>
          </cell>
          <cell r="H184" t="str">
            <v>小计</v>
          </cell>
          <cell r="K184">
            <v>39</v>
          </cell>
          <cell r="N184">
            <v>43.2</v>
          </cell>
          <cell r="O184">
            <v>56.649999999999991</v>
          </cell>
          <cell r="P184">
            <v>688603.36</v>
          </cell>
          <cell r="Q184">
            <v>10</v>
          </cell>
          <cell r="R184">
            <v>3</v>
          </cell>
          <cell r="S184">
            <v>0</v>
          </cell>
          <cell r="T184">
            <v>734.86425793504668</v>
          </cell>
          <cell r="U184">
            <v>9504.888883200003</v>
          </cell>
          <cell r="V184">
            <v>10239.753141135043</v>
          </cell>
          <cell r="W184">
            <v>521769.08040285477</v>
          </cell>
          <cell r="X184">
            <v>532008.83354398946</v>
          </cell>
          <cell r="Y184">
            <v>2.3629399172273655</v>
          </cell>
          <cell r="Z184">
            <v>0</v>
          </cell>
          <cell r="AA184">
            <v>0</v>
          </cell>
          <cell r="AB184">
            <v>516734.42582423275</v>
          </cell>
          <cell r="AC184">
            <v>41316.2016</v>
          </cell>
          <cell r="AD184">
            <v>1090059.4609682222</v>
          </cell>
          <cell r="AE184">
            <v>4.841545572307079</v>
          </cell>
          <cell r="AF184">
            <v>0</v>
          </cell>
          <cell r="AG184">
            <v>0</v>
          </cell>
          <cell r="AK184">
            <v>4.5480300164492733E-2</v>
          </cell>
          <cell r="AM184">
            <v>2.3629399172273655</v>
          </cell>
          <cell r="AO184">
            <v>4.841545572307079</v>
          </cell>
        </row>
        <row r="186">
          <cell r="E186" t="str">
            <v>TP2</v>
          </cell>
          <cell r="F186" t="str">
            <v>C4M016</v>
          </cell>
          <cell r="G186" t="str">
            <v>10轴攻丝</v>
          </cell>
          <cell r="H186" t="str">
            <v>多轴攻丝机--手动</v>
          </cell>
          <cell r="I186" t="str">
            <v>D-TA42GS</v>
          </cell>
          <cell r="K186">
            <v>1</v>
          </cell>
          <cell r="L186" t="str">
            <v>0-RT</v>
          </cell>
          <cell r="N186">
            <v>0.75</v>
          </cell>
          <cell r="O186">
            <v>1.43</v>
          </cell>
          <cell r="P186">
            <v>9826.59</v>
          </cell>
          <cell r="Q186">
            <v>10</v>
          </cell>
          <cell r="R186">
            <v>3</v>
          </cell>
          <cell r="T186">
            <v>18.549971559525446</v>
          </cell>
          <cell r="U186">
            <v>165.015432</v>
          </cell>
          <cell r="V186">
            <v>183.56540355952546</v>
          </cell>
          <cell r="W186">
            <v>12659.372978333107</v>
          </cell>
          <cell r="X186">
            <v>12842.938381892633</v>
          </cell>
          <cell r="Y186">
            <v>2.224655877687967</v>
          </cell>
          <cell r="AB186">
            <v>12537.220147662041</v>
          </cell>
          <cell r="AC186">
            <v>589.59540000000004</v>
          </cell>
          <cell r="AD186">
            <v>25969.753929554674</v>
          </cell>
          <cell r="AE186">
            <v>4.4984850042533644</v>
          </cell>
          <cell r="AK186">
            <v>3.1797229093976351E-2</v>
          </cell>
          <cell r="AM186">
            <v>2.224655877687967</v>
          </cell>
          <cell r="AO186">
            <v>4.4984850042533644</v>
          </cell>
        </row>
        <row r="187">
          <cell r="E187" t="str">
            <v>TP2</v>
          </cell>
          <cell r="F187" t="str">
            <v>C4M016</v>
          </cell>
          <cell r="G187" t="str">
            <v>10轴攻丝</v>
          </cell>
          <cell r="H187" t="str">
            <v>多轴攻丝机-半自动</v>
          </cell>
          <cell r="I187" t="str">
            <v>D-TA43GS</v>
          </cell>
          <cell r="K187">
            <v>1</v>
          </cell>
          <cell r="L187" t="str">
            <v>0-RT</v>
          </cell>
          <cell r="N187">
            <v>0.75</v>
          </cell>
          <cell r="O187">
            <v>1.43</v>
          </cell>
          <cell r="P187">
            <v>9826.59</v>
          </cell>
          <cell r="Q187">
            <v>10</v>
          </cell>
          <cell r="R187">
            <v>3</v>
          </cell>
          <cell r="T187">
            <v>18.549971559525446</v>
          </cell>
          <cell r="U187">
            <v>165.015432</v>
          </cell>
          <cell r="V187">
            <v>183.56540355952546</v>
          </cell>
          <cell r="W187">
            <v>12659.372978333107</v>
          </cell>
          <cell r="X187">
            <v>12842.938381892633</v>
          </cell>
          <cell r="Y187">
            <v>2.224655877687967</v>
          </cell>
          <cell r="AB187">
            <v>12537.220147662041</v>
          </cell>
          <cell r="AC187">
            <v>589.59540000000004</v>
          </cell>
          <cell r="AD187">
            <v>25969.753929554674</v>
          </cell>
          <cell r="AE187">
            <v>4.4984850042533644</v>
          </cell>
          <cell r="AK187">
            <v>3.1797229093976351E-2</v>
          </cell>
          <cell r="AM187">
            <v>2.224655877687967</v>
          </cell>
          <cell r="AO187">
            <v>4.4984850042533644</v>
          </cell>
        </row>
        <row r="188">
          <cell r="E188" t="str">
            <v>TP2</v>
          </cell>
          <cell r="F188" t="str">
            <v>C4M016</v>
          </cell>
          <cell r="G188" t="str">
            <v>10轴攻丝</v>
          </cell>
          <cell r="H188" t="str">
            <v>多轴攻丝机--手动</v>
          </cell>
          <cell r="I188" t="str">
            <v>D-TA44GS</v>
          </cell>
          <cell r="K188">
            <v>1</v>
          </cell>
          <cell r="L188" t="str">
            <v>0-RT</v>
          </cell>
          <cell r="N188">
            <v>0.75</v>
          </cell>
          <cell r="O188">
            <v>1.43</v>
          </cell>
          <cell r="P188">
            <v>9826.59</v>
          </cell>
          <cell r="Q188">
            <v>10</v>
          </cell>
          <cell r="R188">
            <v>3</v>
          </cell>
          <cell r="T188">
            <v>18.549971559525446</v>
          </cell>
          <cell r="U188">
            <v>165.015432</v>
          </cell>
          <cell r="V188">
            <v>183.56540355952546</v>
          </cell>
          <cell r="W188">
            <v>12659.372978333107</v>
          </cell>
          <cell r="X188">
            <v>12842.938381892633</v>
          </cell>
          <cell r="Y188">
            <v>2.224655877687967</v>
          </cell>
          <cell r="AB188">
            <v>12537.220147662041</v>
          </cell>
          <cell r="AC188">
            <v>589.59540000000004</v>
          </cell>
          <cell r="AD188">
            <v>25969.753929554674</v>
          </cell>
          <cell r="AE188">
            <v>4.4984850042533644</v>
          </cell>
          <cell r="AK188">
            <v>3.1797229093976351E-2</v>
          </cell>
          <cell r="AM188">
            <v>2.224655877687967</v>
          </cell>
          <cell r="AO188">
            <v>4.4984850042533644</v>
          </cell>
        </row>
        <row r="190">
          <cell r="C190" t="str">
            <v>TP2</v>
          </cell>
          <cell r="D190" t="str">
            <v>10轴攻丝</v>
          </cell>
          <cell r="H190" t="str">
            <v>小计</v>
          </cell>
          <cell r="K190">
            <v>3</v>
          </cell>
          <cell r="N190">
            <v>2.25</v>
          </cell>
          <cell r="O190">
            <v>4.29</v>
          </cell>
          <cell r="P190">
            <v>29479.77</v>
          </cell>
          <cell r="Q190">
            <v>10</v>
          </cell>
          <cell r="R190">
            <v>3</v>
          </cell>
          <cell r="S190">
            <v>0</v>
          </cell>
          <cell r="T190">
            <v>55.649914678576337</v>
          </cell>
          <cell r="U190">
            <v>495.04629599999998</v>
          </cell>
          <cell r="V190">
            <v>550.69621067857634</v>
          </cell>
          <cell r="W190">
            <v>37978.118934999322</v>
          </cell>
          <cell r="X190">
            <v>38528.815145677901</v>
          </cell>
          <cell r="Y190">
            <v>2.224655877687967</v>
          </cell>
          <cell r="Z190">
            <v>0</v>
          </cell>
          <cell r="AA190">
            <v>0</v>
          </cell>
          <cell r="AB190">
            <v>37611.660442986125</v>
          </cell>
          <cell r="AC190">
            <v>1768.7862</v>
          </cell>
          <cell r="AD190">
            <v>77909.261788664022</v>
          </cell>
          <cell r="AE190">
            <v>4.4984850042533644</v>
          </cell>
          <cell r="AF190">
            <v>0</v>
          </cell>
          <cell r="AG190">
            <v>0</v>
          </cell>
          <cell r="AK190">
            <v>3.1797229093976351E-2</v>
          </cell>
          <cell r="AM190">
            <v>2.224655877687967</v>
          </cell>
          <cell r="AO190">
            <v>4.4984850042533644</v>
          </cell>
        </row>
        <row r="192">
          <cell r="E192" t="str">
            <v>JM</v>
          </cell>
          <cell r="F192" t="str">
            <v>C4M018</v>
          </cell>
          <cell r="G192" t="str">
            <v>砂带机</v>
          </cell>
          <cell r="H192" t="str">
            <v>机器去毛刺</v>
          </cell>
          <cell r="I192" t="str">
            <v>JM-1</v>
          </cell>
          <cell r="K192">
            <v>1</v>
          </cell>
          <cell r="L192" t="str">
            <v>DM01</v>
          </cell>
          <cell r="N192">
            <v>0.75</v>
          </cell>
          <cell r="O192">
            <v>0.72</v>
          </cell>
          <cell r="P192">
            <v>235.26510480887794</v>
          </cell>
          <cell r="Q192">
            <v>5</v>
          </cell>
          <cell r="R192">
            <v>3</v>
          </cell>
          <cell r="T192">
            <v>9.3398458201806438</v>
          </cell>
          <cell r="U192">
            <v>165.015432</v>
          </cell>
          <cell r="V192">
            <v>174.35527782018065</v>
          </cell>
          <cell r="W192">
            <v>10789.135495595297</v>
          </cell>
          <cell r="X192">
            <v>10963.490773415479</v>
          </cell>
          <cell r="Y192">
            <v>1.8990976569228266</v>
          </cell>
          <cell r="AB192">
            <v>10685.028961761725</v>
          </cell>
          <cell r="AC192">
            <v>14.115906288532676</v>
          </cell>
          <cell r="AD192">
            <v>21662.635641465735</v>
          </cell>
          <cell r="AE192">
            <v>3.7524052730756514</v>
          </cell>
          <cell r="AK192">
            <v>3.0201849613750328E-2</v>
          </cell>
          <cell r="AM192">
            <v>1.8990976569228266</v>
          </cell>
          <cell r="AO192">
            <v>3.7524052730756514</v>
          </cell>
        </row>
        <row r="194">
          <cell r="C194" t="str">
            <v>JM</v>
          </cell>
          <cell r="D194" t="str">
            <v>砂带机</v>
          </cell>
          <cell r="H194" t="str">
            <v>小计</v>
          </cell>
          <cell r="K194">
            <v>1</v>
          </cell>
          <cell r="N194">
            <v>0.75</v>
          </cell>
          <cell r="O194">
            <v>0.72</v>
          </cell>
          <cell r="P194">
            <v>235.26510480887794</v>
          </cell>
          <cell r="Q194">
            <v>5</v>
          </cell>
          <cell r="R194">
            <v>3</v>
          </cell>
          <cell r="S194">
            <v>0</v>
          </cell>
          <cell r="T194">
            <v>9.3398458201806438</v>
          </cell>
          <cell r="U194">
            <v>165.015432</v>
          </cell>
          <cell r="V194">
            <v>174.35527782018065</v>
          </cell>
          <cell r="W194">
            <v>10789.135495595297</v>
          </cell>
          <cell r="X194">
            <v>10963.490773415479</v>
          </cell>
          <cell r="Y194">
            <v>1.8990976569228266</v>
          </cell>
          <cell r="Z194">
            <v>0</v>
          </cell>
          <cell r="AA194">
            <v>0</v>
          </cell>
          <cell r="AB194">
            <v>10685.028961761725</v>
          </cell>
          <cell r="AC194">
            <v>14.115906288532676</v>
          </cell>
          <cell r="AD194">
            <v>21662.635641465735</v>
          </cell>
          <cell r="AE194">
            <v>3.7524052730756514</v>
          </cell>
          <cell r="AF194">
            <v>0</v>
          </cell>
          <cell r="AG194">
            <v>0</v>
          </cell>
          <cell r="AK194">
            <v>3.0201849613750328E-2</v>
          </cell>
          <cell r="AM194">
            <v>1.8990976569228266</v>
          </cell>
          <cell r="AO194">
            <v>3.7524052730756514</v>
          </cell>
        </row>
        <row r="197">
          <cell r="H197" t="str">
            <v>Grand Total</v>
          </cell>
          <cell r="K197">
            <v>119</v>
          </cell>
          <cell r="N197">
            <v>1681.1350000000011</v>
          </cell>
          <cell r="O197">
            <v>798.37000000000057</v>
          </cell>
          <cell r="P197">
            <v>13196949.525104804</v>
          </cell>
          <cell r="Q197">
            <v>10</v>
          </cell>
          <cell r="R197">
            <v>3</v>
          </cell>
          <cell r="S197">
            <v>756004.43099999975</v>
          </cell>
          <cell r="T197">
            <v>10356.462093691154</v>
          </cell>
          <cell r="U197">
            <v>369884.29103376035</v>
          </cell>
          <cell r="V197">
            <v>1136245.1841274535</v>
          </cell>
          <cell r="W197">
            <v>3471770.4569275514</v>
          </cell>
          <cell r="X197">
            <v>4608015.6410550037</v>
          </cell>
          <cell r="Z197">
            <v>0</v>
          </cell>
          <cell r="AA197">
            <v>0</v>
          </cell>
          <cell r="AB197">
            <v>3438270.6469859588</v>
          </cell>
          <cell r="AC197">
            <v>791816.97150628886</v>
          </cell>
          <cell r="AD197">
            <v>8838103.2595472448</v>
          </cell>
          <cell r="AG197">
            <v>0</v>
          </cell>
        </row>
        <row r="198">
          <cell r="W198">
            <v>0</v>
          </cell>
          <cell r="AB198">
            <v>0</v>
          </cell>
        </row>
        <row r="200">
          <cell r="W200">
            <v>3471770.4569275505</v>
          </cell>
          <cell r="AB200">
            <v>3438270.6469859593</v>
          </cell>
        </row>
        <row r="201">
          <cell r="W201">
            <v>1157256.8189758502</v>
          </cell>
          <cell r="AB201">
            <v>1146090.2156619865</v>
          </cell>
        </row>
      </sheetData>
      <sheetData sheetId="4">
        <row r="1">
          <cell r="S1" t="str">
            <v>power unit cost</v>
          </cell>
          <cell r="T1">
            <v>0.12296000000000001</v>
          </cell>
        </row>
        <row r="2">
          <cell r="S2" t="str">
            <v>area cost</v>
          </cell>
          <cell r="T2">
            <v>12.972008083584228</v>
          </cell>
        </row>
        <row r="3">
          <cell r="S3" t="str">
            <v>machine hrs</v>
          </cell>
          <cell r="T3">
            <v>3848.666666666667</v>
          </cell>
          <cell r="U3" t="str">
            <v>(2 shifts)</v>
          </cell>
          <cell r="V3">
            <v>2</v>
          </cell>
        </row>
        <row r="4">
          <cell r="S4" t="str">
            <v>machine hrs</v>
          </cell>
          <cell r="T4">
            <v>5773</v>
          </cell>
          <cell r="U4" t="str">
            <v>(3 shifts)</v>
          </cell>
          <cell r="V4">
            <v>3</v>
          </cell>
        </row>
        <row r="5">
          <cell r="AC5">
            <v>0.06</v>
          </cell>
        </row>
        <row r="9">
          <cell r="C9" t="str">
            <v xml:space="preserve">Cost cntr </v>
          </cell>
          <cell r="E9" t="str">
            <v>work center</v>
          </cell>
          <cell r="F9" t="str">
            <v>ActTyp</v>
          </cell>
          <cell r="G9" t="str">
            <v>Description</v>
          </cell>
          <cell r="H9" t="str">
            <v xml:space="preserve">Asset name                                        </v>
          </cell>
          <cell r="I9" t="str">
            <v xml:space="preserve">Main no     </v>
          </cell>
          <cell r="J9" t="str">
            <v xml:space="preserve">Sub </v>
          </cell>
          <cell r="K9" t="str">
            <v>Qty</v>
          </cell>
          <cell r="L9" t="str">
            <v>Machine no</v>
          </cell>
          <cell r="M9" t="str">
            <v>TON</v>
          </cell>
          <cell r="N9" t="str">
            <v>Power (kw)</v>
          </cell>
          <cell r="O9" t="str">
            <v>Area (sq m)</v>
          </cell>
          <cell r="P9" t="str">
            <v>Machine cost</v>
          </cell>
          <cell r="Q9" t="str">
            <v xml:space="preserve">Yr </v>
          </cell>
          <cell r="R9" t="str">
            <v>Shift</v>
          </cell>
          <cell r="S9" t="str">
            <v>Depreciation</v>
          </cell>
          <cell r="T9" t="str">
            <v>Area cost</v>
          </cell>
          <cell r="U9" t="str">
            <v>Power cost</v>
          </cell>
          <cell r="V9" t="str">
            <v>Machine direct</v>
          </cell>
          <cell r="W9" t="str">
            <v>Allocated direct overhead</v>
          </cell>
          <cell r="X9" t="str">
            <v>Total Production cost</v>
          </cell>
          <cell r="Y9" t="str">
            <v>Machine cost per hour</v>
          </cell>
          <cell r="AB9" t="str">
            <v>Indirect overhead</v>
          </cell>
          <cell r="AC9" t="str">
            <v>Interest on machine</v>
          </cell>
          <cell r="AD9" t="str">
            <v>Total Marketing cost</v>
          </cell>
          <cell r="AE9" t="str">
            <v>FY09 Mktg cost</v>
          </cell>
          <cell r="AK9" t="str">
            <v>Machine direct hour</v>
          </cell>
          <cell r="AM9" t="str">
            <v>Machine cost per hour</v>
          </cell>
          <cell r="AO9" t="str">
            <v>Total Marketing cost</v>
          </cell>
        </row>
        <row r="12">
          <cell r="E12" t="str">
            <v>PT1</v>
          </cell>
          <cell r="F12" t="str">
            <v>C4M019</v>
          </cell>
          <cell r="G12" t="str">
            <v>内部电镀1</v>
          </cell>
          <cell r="H12" t="str">
            <v>纯水处理系统</v>
          </cell>
          <cell r="I12" t="str">
            <v>内部电镀1-1</v>
          </cell>
          <cell r="K12">
            <v>1</v>
          </cell>
          <cell r="L12">
            <v>0</v>
          </cell>
          <cell r="N12">
            <v>45</v>
          </cell>
          <cell r="O12">
            <v>103</v>
          </cell>
          <cell r="P12">
            <v>136000</v>
          </cell>
          <cell r="Q12">
            <v>10</v>
          </cell>
          <cell r="R12">
            <v>3</v>
          </cell>
          <cell r="T12">
            <v>1336.1168326091756</v>
          </cell>
          <cell r="U12">
            <v>9582.9490800000003</v>
          </cell>
          <cell r="V12">
            <v>10919.065912609176</v>
          </cell>
          <cell r="W12">
            <v>602579.47497892263</v>
          </cell>
          <cell r="X12">
            <v>613498.54089153185</v>
          </cell>
          <cell r="Y12">
            <v>106.27031714732927</v>
          </cell>
          <cell r="AB12">
            <v>96787.793364582933</v>
          </cell>
          <cell r="AC12">
            <v>8160</v>
          </cell>
          <cell r="AD12">
            <v>718446.33425611479</v>
          </cell>
          <cell r="AE12">
            <v>124.44939100227174</v>
          </cell>
          <cell r="AK12">
            <v>1.8914023753003943</v>
          </cell>
          <cell r="AM12">
            <v>106.27031714732927</v>
          </cell>
          <cell r="AO12">
            <v>124.44939100227174</v>
          </cell>
        </row>
        <row r="13">
          <cell r="E13" t="str">
            <v>PT1</v>
          </cell>
          <cell r="F13" t="str">
            <v>C4M019</v>
          </cell>
          <cell r="G13" t="str">
            <v>内部电镀1</v>
          </cell>
          <cell r="H13" t="str">
            <v>自动监管系统(纯水系统配套设备)</v>
          </cell>
          <cell r="I13" t="str">
            <v>内部电镀1-2</v>
          </cell>
          <cell r="K13">
            <v>1</v>
          </cell>
          <cell r="L13">
            <v>0</v>
          </cell>
          <cell r="N13">
            <v>0</v>
          </cell>
          <cell r="O13">
            <v>0</v>
          </cell>
          <cell r="P13">
            <v>1480</v>
          </cell>
          <cell r="Q13">
            <v>5</v>
          </cell>
          <cell r="R13">
            <v>3</v>
          </cell>
          <cell r="T13">
            <v>0</v>
          </cell>
          <cell r="U13">
            <v>0</v>
          </cell>
          <cell r="V13">
            <v>0</v>
          </cell>
          <cell r="W13">
            <v>230073.38051086661</v>
          </cell>
          <cell r="X13">
            <v>230073.38051086661</v>
          </cell>
          <cell r="Y13">
            <v>39.853348434239841</v>
          </cell>
          <cell r="AB13">
            <v>36954.950734682316</v>
          </cell>
          <cell r="AC13">
            <v>88.8</v>
          </cell>
          <cell r="AD13">
            <v>267117.13124554895</v>
          </cell>
          <cell r="AE13">
            <v>46.270072968222578</v>
          </cell>
          <cell r="AK13">
            <v>0</v>
          </cell>
          <cell r="AM13">
            <v>39.853348434239841</v>
          </cell>
          <cell r="AO13">
            <v>46.270072968222578</v>
          </cell>
        </row>
        <row r="14">
          <cell r="E14" t="str">
            <v>PT1</v>
          </cell>
          <cell r="F14" t="str">
            <v>C4M019</v>
          </cell>
          <cell r="G14" t="str">
            <v>内部电镀1</v>
          </cell>
          <cell r="H14" t="str">
            <v>废水处理工程设备</v>
          </cell>
          <cell r="I14" t="str">
            <v>内部电镀1-3</v>
          </cell>
          <cell r="K14">
            <v>1</v>
          </cell>
          <cell r="L14">
            <v>0</v>
          </cell>
          <cell r="N14">
            <v>75</v>
          </cell>
          <cell r="O14">
            <v>240</v>
          </cell>
          <cell r="P14">
            <v>196859.9</v>
          </cell>
          <cell r="Q14">
            <v>10</v>
          </cell>
          <cell r="R14">
            <v>3</v>
          </cell>
          <cell r="T14">
            <v>3113.2819400602148</v>
          </cell>
          <cell r="U14">
            <v>15971.581800000002</v>
          </cell>
          <cell r="V14">
            <v>19084.863740060217</v>
          </cell>
          <cell r="W14">
            <v>1004269.1761507883</v>
          </cell>
          <cell r="X14">
            <v>1023354.0398908486</v>
          </cell>
          <cell r="Y14">
            <v>177.265553419513</v>
          </cell>
          <cell r="AB14">
            <v>161308.17848899082</v>
          </cell>
          <cell r="AC14">
            <v>11811.593999999999</v>
          </cell>
          <cell r="AD14">
            <v>1196473.8123798394</v>
          </cell>
          <cell r="AE14">
            <v>207.25338859862106</v>
          </cell>
          <cell r="AK14">
            <v>3.3058832045834432</v>
          </cell>
          <cell r="AM14">
            <v>177.265553419513</v>
          </cell>
          <cell r="AO14">
            <v>207.25338859862106</v>
          </cell>
        </row>
        <row r="15">
          <cell r="E15" t="str">
            <v>PT1</v>
          </cell>
          <cell r="F15" t="str">
            <v>C4M019</v>
          </cell>
          <cell r="G15" t="str">
            <v>内部电镀1</v>
          </cell>
          <cell r="H15" t="str">
            <v>电镀生产线</v>
          </cell>
          <cell r="I15" t="str">
            <v>内部电镀1-4</v>
          </cell>
          <cell r="K15">
            <v>1</v>
          </cell>
          <cell r="L15">
            <v>0</v>
          </cell>
          <cell r="N15">
            <v>280</v>
          </cell>
          <cell r="O15">
            <v>233.3</v>
          </cell>
          <cell r="P15">
            <v>545512.81999999995</v>
          </cell>
          <cell r="Q15">
            <v>10</v>
          </cell>
          <cell r="R15">
            <v>3</v>
          </cell>
          <cell r="T15">
            <v>3026.3694859002007</v>
          </cell>
          <cell r="U15">
            <v>59627.238720000001</v>
          </cell>
          <cell r="V15">
            <v>62653.6082059002</v>
          </cell>
          <cell r="W15">
            <v>1263925.8118791278</v>
          </cell>
          <cell r="X15">
            <v>1326579.420085028</v>
          </cell>
          <cell r="Y15">
            <v>229.79030315001353</v>
          </cell>
          <cell r="AB15">
            <v>203014.86424276026</v>
          </cell>
          <cell r="AC15">
            <v>32730.769199999995</v>
          </cell>
          <cell r="AD15">
            <v>1562325.0535277883</v>
          </cell>
          <cell r="AE15">
            <v>270.62620016071162</v>
          </cell>
          <cell r="AK15">
            <v>10.852868215122156</v>
          </cell>
          <cell r="AM15">
            <v>229.79030315001353</v>
          </cell>
          <cell r="AO15">
            <v>270.62620016071162</v>
          </cell>
        </row>
        <row r="16">
          <cell r="E16" t="str">
            <v>PT1</v>
          </cell>
          <cell r="F16" t="str">
            <v>C4M019</v>
          </cell>
          <cell r="G16" t="str">
            <v>内部电镀1</v>
          </cell>
          <cell r="H16" t="str">
            <v>锅炉</v>
          </cell>
          <cell r="I16" t="str">
            <v>内部电镀1-5</v>
          </cell>
          <cell r="K16">
            <v>1</v>
          </cell>
          <cell r="L16">
            <v>0</v>
          </cell>
          <cell r="N16">
            <v>40</v>
          </cell>
          <cell r="O16">
            <v>0.39</v>
          </cell>
          <cell r="P16">
            <v>55410.63</v>
          </cell>
          <cell r="Q16">
            <v>10</v>
          </cell>
          <cell r="R16">
            <v>3</v>
          </cell>
          <cell r="T16">
            <v>5.0590831525978492</v>
          </cell>
          <cell r="U16">
            <v>8518.1769600000007</v>
          </cell>
          <cell r="V16">
            <v>8523.2360431525976</v>
          </cell>
          <cell r="W16">
            <v>273916.69591103063</v>
          </cell>
          <cell r="X16">
            <v>282439.93195418321</v>
          </cell>
          <cell r="Y16">
            <v>48.924291001937156</v>
          </cell>
          <cell r="AB16">
            <v>43997.171599436697</v>
          </cell>
          <cell r="AC16">
            <v>3324.6377999999995</v>
          </cell>
          <cell r="AD16">
            <v>329761.7413536199</v>
          </cell>
          <cell r="AE16">
            <v>57.121382531373619</v>
          </cell>
          <cell r="AK16">
            <v>1.4763963352074481</v>
          </cell>
          <cell r="AM16">
            <v>48.924291001937156</v>
          </cell>
          <cell r="AO16">
            <v>57.121382531373619</v>
          </cell>
        </row>
        <row r="17">
          <cell r="E17" t="str">
            <v>PT1</v>
          </cell>
          <cell r="F17" t="str">
            <v>C4M019</v>
          </cell>
          <cell r="G17" t="str">
            <v>内部电镀1</v>
          </cell>
          <cell r="H17" t="str">
            <v>超声波系统</v>
          </cell>
          <cell r="I17" t="str">
            <v>内部电镀1-6</v>
          </cell>
          <cell r="K17">
            <v>1</v>
          </cell>
          <cell r="L17">
            <v>0</v>
          </cell>
          <cell r="N17">
            <v>0.5</v>
          </cell>
          <cell r="O17">
            <v>1.1200000000000001</v>
          </cell>
          <cell r="P17">
            <v>265895.95</v>
          </cell>
          <cell r="Q17">
            <v>10</v>
          </cell>
          <cell r="R17">
            <v>3</v>
          </cell>
          <cell r="T17">
            <v>14.528649053614338</v>
          </cell>
          <cell r="U17">
            <v>106.47721200000001</v>
          </cell>
          <cell r="V17">
            <v>121.00586105361435</v>
          </cell>
          <cell r="W17">
            <v>442989.29380938609</v>
          </cell>
          <cell r="X17">
            <v>443110.29967043968</v>
          </cell>
          <cell r="Y17">
            <v>76.755638259213526</v>
          </cell>
          <cell r="AB17">
            <v>71154.026999417983</v>
          </cell>
          <cell r="AC17">
            <v>15953.757</v>
          </cell>
          <cell r="AD17">
            <v>530218.0836698577</v>
          </cell>
          <cell r="AE17">
            <v>91.844462787087778</v>
          </cell>
          <cell r="AK17">
            <v>2.0960654954722737E-2</v>
          </cell>
          <cell r="AM17">
            <v>76.755638259213526</v>
          </cell>
          <cell r="AO17">
            <v>91.844462787087778</v>
          </cell>
        </row>
        <row r="18">
          <cell r="E18" t="str">
            <v>PT1</v>
          </cell>
          <cell r="F18" t="str">
            <v>C4M019</v>
          </cell>
          <cell r="G18" t="str">
            <v>内部电镀1</v>
          </cell>
          <cell r="H18" t="str">
            <v>X光测厚仪</v>
          </cell>
          <cell r="I18" t="str">
            <v>内部电镀1-7</v>
          </cell>
          <cell r="K18">
            <v>1</v>
          </cell>
          <cell r="L18">
            <v>0</v>
          </cell>
          <cell r="N18">
            <v>100.8</v>
          </cell>
          <cell r="O18">
            <v>6.03</v>
          </cell>
          <cell r="P18">
            <v>43070.46</v>
          </cell>
          <cell r="Q18">
            <v>5</v>
          </cell>
          <cell r="R18">
            <v>3</v>
          </cell>
          <cell r="T18">
            <v>78.221208744012898</v>
          </cell>
          <cell r="U18">
            <v>21465.805939200003</v>
          </cell>
          <cell r="V18">
            <v>21544.027147944016</v>
          </cell>
          <cell r="W18">
            <v>278661.42425018072</v>
          </cell>
          <cell r="X18">
            <v>300205.45139812474</v>
          </cell>
          <cell r="Y18">
            <v>52.001637172722113</v>
          </cell>
          <cell r="AB18">
            <v>44759.281503822014</v>
          </cell>
          <cell r="AC18">
            <v>2584.2275999999997</v>
          </cell>
          <cell r="AD18">
            <v>347548.96050194674</v>
          </cell>
          <cell r="AE18">
            <v>60.202487528485491</v>
          </cell>
          <cell r="AK18">
            <v>3.7318598905151594</v>
          </cell>
          <cell r="AM18">
            <v>52.001637172722113</v>
          </cell>
          <cell r="AO18">
            <v>60.202487528485491</v>
          </cell>
        </row>
        <row r="20">
          <cell r="C20" t="str">
            <v>PT1</v>
          </cell>
          <cell r="D20" t="str">
            <v>内部电镀1</v>
          </cell>
          <cell r="H20" t="str">
            <v>小计</v>
          </cell>
          <cell r="K20">
            <v>7</v>
          </cell>
          <cell r="N20">
            <v>541.29999999999995</v>
          </cell>
          <cell r="O20">
            <v>583.83999999999992</v>
          </cell>
          <cell r="P20">
            <v>1244229.76</v>
          </cell>
          <cell r="Q20">
            <v>8.5714285714285712</v>
          </cell>
          <cell r="R20">
            <v>3</v>
          </cell>
          <cell r="S20">
            <v>0</v>
          </cell>
          <cell r="T20">
            <v>7573.5771995198165</v>
          </cell>
          <cell r="U20">
            <v>115272.22971119999</v>
          </cell>
          <cell r="V20">
            <v>122845.80691071982</v>
          </cell>
          <cell r="W20">
            <v>4096415.2574903029</v>
          </cell>
          <cell r="X20">
            <v>4219261.0644010231</v>
          </cell>
          <cell r="Y20">
            <v>730.86108858496834</v>
          </cell>
          <cell r="Z20">
            <v>0</v>
          </cell>
          <cell r="AA20">
            <v>0</v>
          </cell>
          <cell r="AB20">
            <v>657976.26693369285</v>
          </cell>
          <cell r="AC20">
            <v>74653.785599999988</v>
          </cell>
          <cell r="AD20">
            <v>4951891.1169347158</v>
          </cell>
          <cell r="AE20">
            <v>857.76738557677379</v>
          </cell>
          <cell r="AG20">
            <v>0</v>
          </cell>
          <cell r="AK20">
            <v>21.279370675683325</v>
          </cell>
          <cell r="AM20">
            <v>730.86108858496834</v>
          </cell>
          <cell r="AN20">
            <v>0</v>
          </cell>
          <cell r="AO20">
            <v>857.76738557677379</v>
          </cell>
        </row>
        <row r="22">
          <cell r="E22" t="str">
            <v>PT2</v>
          </cell>
          <cell r="F22" t="str">
            <v>C4M020</v>
          </cell>
          <cell r="G22" t="str">
            <v>内部电镀2</v>
          </cell>
          <cell r="H22" t="str">
            <v xml:space="preserve">纯水系统 </v>
          </cell>
          <cell r="I22" t="str">
            <v>内部电镀2-1</v>
          </cell>
          <cell r="K22">
            <v>1</v>
          </cell>
          <cell r="L22" t="str">
            <v>&amp;20M3/HR</v>
          </cell>
          <cell r="N22">
            <v>45</v>
          </cell>
          <cell r="O22">
            <v>80</v>
          </cell>
          <cell r="P22">
            <v>197837.61</v>
          </cell>
          <cell r="Q22">
            <v>10</v>
          </cell>
          <cell r="R22">
            <v>3</v>
          </cell>
          <cell r="S22">
            <v>19783.760999999999</v>
          </cell>
          <cell r="T22">
            <v>1037.7606466867383</v>
          </cell>
          <cell r="U22">
            <v>9582.9490800000003</v>
          </cell>
          <cell r="V22">
            <v>30404.470726686734</v>
          </cell>
          <cell r="W22">
            <v>592376.22310790583</v>
          </cell>
          <cell r="X22">
            <v>622780.69383459259</v>
          </cell>
          <cell r="Y22">
            <v>107.87817319151092</v>
          </cell>
          <cell r="AB22">
            <v>95148.922021058796</v>
          </cell>
          <cell r="AC22">
            <v>11870.256599999999</v>
          </cell>
          <cell r="AD22">
            <v>729799.87245565141</v>
          </cell>
          <cell r="AE22">
            <v>126.41605273785751</v>
          </cell>
          <cell r="AK22">
            <v>5.2666673699440034</v>
          </cell>
          <cell r="AM22">
            <v>107.87817319151092</v>
          </cell>
          <cell r="AO22">
            <v>126.41605273785751</v>
          </cell>
        </row>
        <row r="23">
          <cell r="E23" t="str">
            <v>PT2</v>
          </cell>
          <cell r="F23" t="str">
            <v>C4M020</v>
          </cell>
          <cell r="G23" t="str">
            <v>内部电镀2</v>
          </cell>
          <cell r="H23" t="str">
            <v>在线自动监控系统(监控废水处理)</v>
          </cell>
          <cell r="I23" t="str">
            <v>内部电镀2-2</v>
          </cell>
          <cell r="K23">
            <v>1</v>
          </cell>
          <cell r="L23">
            <v>0</v>
          </cell>
          <cell r="N23">
            <v>3</v>
          </cell>
          <cell r="O23">
            <v>6</v>
          </cell>
          <cell r="P23">
            <v>37650.5</v>
          </cell>
          <cell r="Q23">
            <v>5</v>
          </cell>
          <cell r="R23">
            <v>3</v>
          </cell>
          <cell r="S23">
            <v>7530.1</v>
          </cell>
          <cell r="T23">
            <v>77.832048501505369</v>
          </cell>
          <cell r="U23">
            <v>638.86327200000005</v>
          </cell>
          <cell r="V23">
            <v>8246.7953205015056</v>
          </cell>
          <cell r="W23">
            <v>274278.94091893185</v>
          </cell>
          <cell r="X23">
            <v>282525.73623943335</v>
          </cell>
          <cell r="Y23">
            <v>48.93915403419944</v>
          </cell>
          <cell r="AB23">
            <v>44055.356281172368</v>
          </cell>
          <cell r="AC23">
            <v>2259.0299999999997</v>
          </cell>
          <cell r="AD23">
            <v>328840.12252060568</v>
          </cell>
          <cell r="AE23">
            <v>56.961739567054508</v>
          </cell>
          <cell r="AK23">
            <v>1.4285112282178254</v>
          </cell>
          <cell r="AM23">
            <v>48.93915403419944</v>
          </cell>
          <cell r="AO23">
            <v>56.961739567054508</v>
          </cell>
        </row>
        <row r="24">
          <cell r="E24" t="str">
            <v>PT2</v>
          </cell>
          <cell r="F24" t="str">
            <v>C4M020</v>
          </cell>
          <cell r="G24" t="str">
            <v>内部电镀2</v>
          </cell>
          <cell r="H24" t="str">
            <v>废水处理工程设备（含废水处理回用升级工程）</v>
          </cell>
          <cell r="I24" t="str">
            <v>内部电镀2-3</v>
          </cell>
          <cell r="K24">
            <v>1</v>
          </cell>
          <cell r="L24">
            <v>0</v>
          </cell>
          <cell r="N24">
            <v>200</v>
          </cell>
          <cell r="O24">
            <v>486.18</v>
          </cell>
          <cell r="P24">
            <v>1371867.65</v>
          </cell>
          <cell r="Q24">
            <v>10</v>
          </cell>
          <cell r="R24">
            <v>3</v>
          </cell>
          <cell r="S24">
            <v>137186.76499999998</v>
          </cell>
          <cell r="T24">
            <v>6306.7308900769804</v>
          </cell>
          <cell r="U24">
            <v>42590.8848</v>
          </cell>
          <cell r="V24">
            <v>186084.38069007697</v>
          </cell>
          <cell r="W24">
            <v>2572528.800693104</v>
          </cell>
          <cell r="X24">
            <v>2758613.1813831809</v>
          </cell>
          <cell r="Y24">
            <v>477.84742445577359</v>
          </cell>
          <cell r="AB24">
            <v>413205.88623539126</v>
          </cell>
          <cell r="AC24">
            <v>82312.058999999994</v>
          </cell>
          <cell r="AD24">
            <v>3254131.126618572</v>
          </cell>
          <cell r="AE24">
            <v>563.68112361312524</v>
          </cell>
          <cell r="AK24">
            <v>32.233566722687854</v>
          </cell>
          <cell r="AM24">
            <v>477.84742445577359</v>
          </cell>
          <cell r="AO24">
            <v>563.68112361312524</v>
          </cell>
        </row>
        <row r="25">
          <cell r="E25" t="str">
            <v>PT2</v>
          </cell>
          <cell r="F25" t="str">
            <v>C4M020</v>
          </cell>
          <cell r="G25" t="str">
            <v>内部电镀2</v>
          </cell>
          <cell r="H25" t="str">
            <v>电镀生产线</v>
          </cell>
          <cell r="I25" t="str">
            <v>内部电镀2-4</v>
          </cell>
          <cell r="K25">
            <v>1</v>
          </cell>
          <cell r="L25">
            <v>0</v>
          </cell>
          <cell r="N25">
            <v>280</v>
          </cell>
          <cell r="O25">
            <v>233.3</v>
          </cell>
          <cell r="P25">
            <v>1258960.48</v>
          </cell>
          <cell r="Q25">
            <v>10</v>
          </cell>
          <cell r="R25">
            <v>3</v>
          </cell>
          <cell r="S25">
            <v>125896.048</v>
          </cell>
          <cell r="T25">
            <v>3026.3694859002007</v>
          </cell>
          <cell r="U25">
            <v>59627.238720000001</v>
          </cell>
          <cell r="V25">
            <v>188549.65620590019</v>
          </cell>
          <cell r="W25">
            <v>1830621.7060763577</v>
          </cell>
          <cell r="X25">
            <v>2019171.362282258</v>
          </cell>
          <cell r="Y25">
            <v>349.76119215005338</v>
          </cell>
          <cell r="AB25">
            <v>294038.94884178776</v>
          </cell>
          <cell r="AC25">
            <v>75537.628799999991</v>
          </cell>
          <cell r="AD25">
            <v>2388747.9399240459</v>
          </cell>
          <cell r="AE25">
            <v>413.77930710619194</v>
          </cell>
          <cell r="AK25">
            <v>32.660602148952051</v>
          </cell>
          <cell r="AM25">
            <v>349.76119215005338</v>
          </cell>
          <cell r="AO25">
            <v>413.77930710619194</v>
          </cell>
        </row>
        <row r="26">
          <cell r="E26" t="str">
            <v>PT2</v>
          </cell>
          <cell r="F26" t="str">
            <v>C4M020</v>
          </cell>
          <cell r="G26" t="str">
            <v>内部电镀2</v>
          </cell>
          <cell r="H26" t="str">
            <v>三浦锅炉设备 &amp;CZI-2000FS</v>
          </cell>
          <cell r="I26" t="str">
            <v>内部电镀2-5</v>
          </cell>
          <cell r="K26">
            <v>1</v>
          </cell>
          <cell r="L26">
            <v>0</v>
          </cell>
          <cell r="N26">
            <v>40</v>
          </cell>
          <cell r="O26">
            <v>1.5</v>
          </cell>
          <cell r="P26">
            <v>88982.97</v>
          </cell>
          <cell r="Q26">
            <v>10</v>
          </cell>
          <cell r="R26">
            <v>3</v>
          </cell>
          <cell r="S26">
            <v>8898.2970000000005</v>
          </cell>
          <cell r="T26">
            <v>19.458012125376342</v>
          </cell>
          <cell r="U26">
            <v>8518.1769600000007</v>
          </cell>
          <cell r="V26">
            <v>17435.931972125378</v>
          </cell>
          <cell r="W26">
            <v>303446.30849387922</v>
          </cell>
          <cell r="X26">
            <v>320882.24046600459</v>
          </cell>
          <cell r="Y26">
            <v>55.583273941798822</v>
          </cell>
          <cell r="AB26">
            <v>48740.29040696811</v>
          </cell>
          <cell r="AC26">
            <v>5338.9781999999996</v>
          </cell>
          <cell r="AD26">
            <v>374961.50907297269</v>
          </cell>
          <cell r="AE26">
            <v>64.950893655460362</v>
          </cell>
          <cell r="AK26">
            <v>3.0202549752512349</v>
          </cell>
          <cell r="AM26">
            <v>55.583273941798822</v>
          </cell>
          <cell r="AO26">
            <v>64.950893655460362</v>
          </cell>
        </row>
        <row r="27">
          <cell r="E27" t="str">
            <v>PT2</v>
          </cell>
          <cell r="F27" t="str">
            <v>C4M020</v>
          </cell>
          <cell r="G27" t="str">
            <v>内部电镀2</v>
          </cell>
          <cell r="H27" t="str">
            <v>必能信超声波系统</v>
          </cell>
          <cell r="I27" t="str">
            <v>内部电镀2-6</v>
          </cell>
          <cell r="K27">
            <v>1</v>
          </cell>
          <cell r="L27">
            <v>0</v>
          </cell>
          <cell r="N27">
            <v>60</v>
          </cell>
          <cell r="O27">
            <v>1.1200000000000001</v>
          </cell>
          <cell r="P27">
            <v>278253.59000000003</v>
          </cell>
          <cell r="Q27">
            <v>10</v>
          </cell>
          <cell r="R27">
            <v>3</v>
          </cell>
          <cell r="S27">
            <v>27825.359000000004</v>
          </cell>
          <cell r="T27">
            <v>14.528649053614338</v>
          </cell>
          <cell r="U27">
            <v>12777.265440000001</v>
          </cell>
          <cell r="V27">
            <v>40617.153089053616</v>
          </cell>
          <cell r="W27">
            <v>452805.04378320684</v>
          </cell>
          <cell r="X27">
            <v>493422.19687226048</v>
          </cell>
          <cell r="Y27">
            <v>85.470673284645841</v>
          </cell>
          <cell r="AB27">
            <v>72730.656837694172</v>
          </cell>
          <cell r="AC27">
            <v>16695.215400000001</v>
          </cell>
          <cell r="AD27">
            <v>582848.06910995464</v>
          </cell>
          <cell r="AE27">
            <v>100.96103743460154</v>
          </cell>
          <cell r="AK27">
            <v>7.0357098716531468</v>
          </cell>
          <cell r="AM27">
            <v>85.470673284645841</v>
          </cell>
          <cell r="AO27">
            <v>100.96103743460154</v>
          </cell>
        </row>
        <row r="28">
          <cell r="E28" t="str">
            <v>PT2</v>
          </cell>
          <cell r="F28" t="str">
            <v>C4M020</v>
          </cell>
          <cell r="G28" t="str">
            <v>内部电镀2</v>
          </cell>
          <cell r="H28" t="str">
            <v>X光测厚仪</v>
          </cell>
          <cell r="I28" t="str">
            <v>内部电镀2-7</v>
          </cell>
          <cell r="K28">
            <v>1</v>
          </cell>
          <cell r="L28">
            <v>0</v>
          </cell>
          <cell r="N28">
            <v>100.8</v>
          </cell>
          <cell r="O28">
            <v>6.03</v>
          </cell>
          <cell r="P28">
            <v>46683.25</v>
          </cell>
          <cell r="Q28">
            <v>5</v>
          </cell>
          <cell r="R28">
            <v>3</v>
          </cell>
          <cell r="S28">
            <v>9336.65</v>
          </cell>
          <cell r="T28">
            <v>78.221208744012898</v>
          </cell>
          <cell r="U28">
            <v>21465.805939200003</v>
          </cell>
          <cell r="V28">
            <v>30880.677147944014</v>
          </cell>
          <cell r="W28">
            <v>281531.08571854525</v>
          </cell>
          <cell r="X28">
            <v>312411.76286648924</v>
          </cell>
          <cell r="Y28">
            <v>54.116016432788712</v>
          </cell>
          <cell r="AB28">
            <v>45220.21356798846</v>
          </cell>
          <cell r="AC28">
            <v>2800.9949999999999</v>
          </cell>
          <cell r="AD28">
            <v>360432.97143447772</v>
          </cell>
          <cell r="AE28">
            <v>62.43425800008275</v>
          </cell>
          <cell r="AK28">
            <v>5.3491559237734307</v>
          </cell>
          <cell r="AM28">
            <v>54.116016432788712</v>
          </cell>
          <cell r="AO28">
            <v>62.43425800008275</v>
          </cell>
        </row>
        <row r="29">
          <cell r="E29" t="str">
            <v>PT2</v>
          </cell>
          <cell r="F29" t="str">
            <v>C4M020</v>
          </cell>
          <cell r="G29" t="str">
            <v>内部电镀2</v>
          </cell>
          <cell r="H29" t="str">
            <v>RO反渗透浓缩水再利用工程</v>
          </cell>
          <cell r="I29" t="str">
            <v>内部电镀2-8</v>
          </cell>
          <cell r="K29">
            <v>1</v>
          </cell>
          <cell r="L29">
            <v>0</v>
          </cell>
          <cell r="N29">
            <v>3</v>
          </cell>
          <cell r="O29">
            <v>2</v>
          </cell>
          <cell r="P29">
            <v>9229.4</v>
          </cell>
          <cell r="Q29">
            <v>5</v>
          </cell>
          <cell r="R29">
            <v>3</v>
          </cell>
          <cell r="S29">
            <v>1845.8799999999999</v>
          </cell>
          <cell r="T29">
            <v>25.944016167168456</v>
          </cell>
          <cell r="U29">
            <v>638.86327200000005</v>
          </cell>
          <cell r="V29">
            <v>2510.6872881671684</v>
          </cell>
          <cell r="W29">
            <v>241387.14634410609</v>
          </cell>
          <cell r="X29">
            <v>243897.83363227325</v>
          </cell>
          <cell r="Y29">
            <v>42.248022454923479</v>
          </cell>
          <cell r="AB29">
            <v>38772.195554846759</v>
          </cell>
          <cell r="AC29">
            <v>553.76400000000001</v>
          </cell>
          <cell r="AD29">
            <v>283223.79318712</v>
          </cell>
          <cell r="AE29">
            <v>49.060071572340206</v>
          </cell>
          <cell r="AK29">
            <v>0.4349016608638781</v>
          </cell>
          <cell r="AM29">
            <v>42.248022454923479</v>
          </cell>
          <cell r="AO29">
            <v>49.060071572340206</v>
          </cell>
        </row>
        <row r="30">
          <cell r="E30" t="str">
            <v>PT2</v>
          </cell>
          <cell r="F30" t="str">
            <v>C4M020</v>
          </cell>
          <cell r="G30" t="str">
            <v>内部电镀2</v>
          </cell>
          <cell r="H30" t="str">
            <v>化学镍废水氧化处理工程</v>
          </cell>
          <cell r="I30" t="str">
            <v>内部电镀2-9</v>
          </cell>
          <cell r="K30">
            <v>1</v>
          </cell>
          <cell r="L30" t="str">
            <v xml:space="preserve"> </v>
          </cell>
          <cell r="N30">
            <v>2</v>
          </cell>
          <cell r="O30">
            <v>20</v>
          </cell>
          <cell r="P30">
            <v>77077</v>
          </cell>
          <cell r="Q30">
            <v>5</v>
          </cell>
          <cell r="R30">
            <v>3</v>
          </cell>
          <cell r="S30">
            <v>15415.4</v>
          </cell>
          <cell r="T30">
            <v>259.44016167168456</v>
          </cell>
          <cell r="U30">
            <v>425.90884800000003</v>
          </cell>
          <cell r="V30">
            <v>16100.749009671683</v>
          </cell>
          <cell r="W30">
            <v>341704.23999652849</v>
          </cell>
          <cell r="X30">
            <v>357804.98900620017</v>
          </cell>
          <cell r="Y30">
            <v>61.979038455950139</v>
          </cell>
          <cell r="AB30">
            <v>54885.373209471974</v>
          </cell>
          <cell r="AC30">
            <v>4624.62</v>
          </cell>
          <cell r="AD30">
            <v>417314.98221567215</v>
          </cell>
          <cell r="AE30">
            <v>72.287369169525746</v>
          </cell>
          <cell r="AK30">
            <v>2.788974365091232</v>
          </cell>
          <cell r="AM30">
            <v>61.979038455950139</v>
          </cell>
          <cell r="AO30">
            <v>72.287369169525746</v>
          </cell>
        </row>
        <row r="32">
          <cell r="C32" t="str">
            <v>PT2</v>
          </cell>
          <cell r="D32" t="str">
            <v>内部电镀2</v>
          </cell>
          <cell r="H32" t="str">
            <v>小计</v>
          </cell>
          <cell r="K32">
            <v>9</v>
          </cell>
          <cell r="N32">
            <v>733.8</v>
          </cell>
          <cell r="O32">
            <v>836.13</v>
          </cell>
          <cell r="P32">
            <v>3366542.4499999997</v>
          </cell>
          <cell r="Q32">
            <v>7.7777777777777777</v>
          </cell>
          <cell r="R32">
            <v>3</v>
          </cell>
          <cell r="S32">
            <v>353718.26000000007</v>
          </cell>
          <cell r="T32">
            <v>10846.285118927281</v>
          </cell>
          <cell r="U32">
            <v>156265.9563312</v>
          </cell>
          <cell r="V32">
            <v>520830.50145012728</v>
          </cell>
          <cell r="W32">
            <v>6890679.4951325646</v>
          </cell>
          <cell r="X32">
            <v>7411509.9965826925</v>
          </cell>
          <cell r="Y32">
            <v>1283.8229684016444</v>
          </cell>
          <cell r="Z32">
            <v>0</v>
          </cell>
          <cell r="AA32">
            <v>0</v>
          </cell>
          <cell r="AB32">
            <v>1106797.8429563795</v>
          </cell>
          <cell r="AC32">
            <v>201992.54699999999</v>
          </cell>
          <cell r="AD32">
            <v>8720300.3865390737</v>
          </cell>
          <cell r="AE32">
            <v>1510.5318528562398</v>
          </cell>
          <cell r="AG32">
            <v>0</v>
          </cell>
          <cell r="AK32">
            <v>90.218344266434642</v>
          </cell>
          <cell r="AM32">
            <v>1283.8229684016444</v>
          </cell>
          <cell r="AN32">
            <v>0</v>
          </cell>
          <cell r="AO32">
            <v>1510.5318528562398</v>
          </cell>
        </row>
        <row r="34">
          <cell r="C34" t="str">
            <v>PT</v>
          </cell>
          <cell r="D34" t="str">
            <v>内部电镀</v>
          </cell>
          <cell r="H34" t="str">
            <v>Grand Total</v>
          </cell>
          <cell r="K34">
            <v>16</v>
          </cell>
          <cell r="N34">
            <v>1275.0999999999999</v>
          </cell>
          <cell r="O34">
            <v>1419.9699999999998</v>
          </cell>
          <cell r="P34">
            <v>4610772.21</v>
          </cell>
          <cell r="Q34">
            <v>10</v>
          </cell>
          <cell r="R34">
            <v>3</v>
          </cell>
          <cell r="S34">
            <v>353718.26000000007</v>
          </cell>
          <cell r="T34">
            <v>18419.8623184471</v>
          </cell>
          <cell r="U34">
            <v>271538.18604239996</v>
          </cell>
          <cell r="V34">
            <v>643676.30836084718</v>
          </cell>
          <cell r="W34">
            <v>10987094.752622867</v>
          </cell>
          <cell r="X34">
            <v>11630771.060983716</v>
          </cell>
          <cell r="Y34">
            <v>2014.6840569866126</v>
          </cell>
          <cell r="Z34">
            <v>0</v>
          </cell>
          <cell r="AA34">
            <v>0</v>
          </cell>
          <cell r="AB34">
            <v>1764774.1098900726</v>
          </cell>
          <cell r="AC34">
            <v>276646.33259999997</v>
          </cell>
          <cell r="AD34">
            <v>13672191.503473788</v>
          </cell>
          <cell r="AE34">
            <v>2368.2992384330137</v>
          </cell>
          <cell r="AG34">
            <v>0</v>
          </cell>
          <cell r="AK34">
            <v>55.748857471058983</v>
          </cell>
          <cell r="AM34">
            <v>1007.3420284933063</v>
          </cell>
          <cell r="AN34">
            <v>0</v>
          </cell>
          <cell r="AO34">
            <v>1184.1496192165068</v>
          </cell>
        </row>
        <row r="35">
          <cell r="W35">
            <v>0</v>
          </cell>
          <cell r="AB35">
            <v>0</v>
          </cell>
        </row>
        <row r="36">
          <cell r="AK36">
            <v>90.21834426643467</v>
          </cell>
          <cell r="AM36">
            <v>0</v>
          </cell>
          <cell r="AO36">
            <v>0</v>
          </cell>
        </row>
        <row r="37">
          <cell r="P37">
            <v>0</v>
          </cell>
          <cell r="W37">
            <v>10987094.752622867</v>
          </cell>
          <cell r="AB37">
            <v>1764774.1098900726</v>
          </cell>
        </row>
        <row r="38">
          <cell r="W38">
            <v>3662364.9175409558</v>
          </cell>
          <cell r="AB38">
            <v>588258.0366300242</v>
          </cell>
        </row>
      </sheetData>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3)"/>
      <sheetName val="Sheet1 (2)"/>
      <sheetName val="Sheet1"/>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ightedAve"/>
      <sheetName val="EPS -2001"/>
      <sheetName val="EPS -2000"/>
      <sheetName val="Options-2000"/>
      <sheetName val="Options_2000"/>
      <sheetName val="Cover Sheet"/>
    </sheetNames>
    <sheetDataSet>
      <sheetData sheetId="0"/>
      <sheetData sheetId="1"/>
      <sheetData sheetId="2"/>
      <sheetData sheetId="3"/>
      <sheetData sheetId="4"/>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sheetName val="Content"/>
      <sheetName val="Halfyr"/>
      <sheetName val="BalanceSheet"/>
      <sheetName val="Plbyhalf"/>
      <sheetName val="Cashflow"/>
      <sheetName val="GroupPL"/>
      <sheetName val="OtherSub"/>
      <sheetName val="Investments"/>
      <sheetName val="ShareMove"/>
      <sheetName val="WeightedAve"/>
      <sheetName val="Diluted"/>
      <sheetName val="NA"/>
      <sheetName val="Grptax"/>
      <sheetName val="TSSBtax"/>
      <sheetName val="Funds"/>
      <sheetName val="Analysis"/>
      <sheetName val="FixedAsset"/>
      <sheetName val="KeyRatios"/>
      <sheetName val="Segment"/>
      <sheetName val="Pioneer"/>
      <sheetName val="Headcount"/>
      <sheetName val="Space"/>
      <sheetName val="financials"/>
      <sheetName val="Forecast(not used)"/>
      <sheetName val="Dilute(not used)"/>
      <sheetName val="NTA (not used)"/>
      <sheetName val="cashflowcomp"/>
      <sheetName val="______"/>
      <sheetName val="汇总"/>
      <sheetName val="Options-20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2)"/>
      <sheetName val="Income Statement July 2006"/>
      <sheetName val="UPE Interco Sales"/>
      <sheetName val="Crs Listing - Jul 06"/>
      <sheetName val="Sheet1"/>
      <sheetName val="Shanghai"/>
      <sheetName val="Suzhou"/>
      <sheetName val="Munivac Workings"/>
      <sheetName val="Munivac Schedule Q"/>
      <sheetName val="0706 "/>
      <sheetName val="KE5Z-Jul2006 (With Adj)"/>
      <sheetName val="KE5Z-Jul2006"/>
      <sheetName val="germany"/>
      <sheetName val="Plbyhalf"/>
    </sheetNames>
    <sheetDataSet>
      <sheetData sheetId="0" refreshError="1">
        <row r="81">
          <cell r="A81" t="str">
            <v>APNPKODAK</v>
          </cell>
          <cell r="B81">
            <v>-9549</v>
          </cell>
          <cell r="C81">
            <v>-4424.7427366850143</v>
          </cell>
          <cell r="D81">
            <v>-5124.2572633149857</v>
          </cell>
        </row>
        <row r="82">
          <cell r="A82" t="str">
            <v>APNPSchneider</v>
          </cell>
          <cell r="B82">
            <v>0</v>
          </cell>
          <cell r="C82">
            <v>0</v>
          </cell>
          <cell r="D82">
            <v>0</v>
          </cell>
        </row>
        <row r="83">
          <cell r="A83" t="str">
            <v>APNPSwedish Match</v>
          </cell>
          <cell r="B83">
            <v>4591.25</v>
          </cell>
          <cell r="C83">
            <v>2127.4583820091184</v>
          </cell>
          <cell r="D83">
            <v>2463.7916179908816</v>
          </cell>
        </row>
        <row r="84">
          <cell r="A84" t="str">
            <v>APNPZeller</v>
          </cell>
          <cell r="B84">
            <v>197209.97784400001</v>
          </cell>
          <cell r="C84">
            <v>80903.355796086718</v>
          </cell>
          <cell r="D84">
            <v>116306.62204791329</v>
          </cell>
        </row>
        <row r="85">
          <cell r="A85" t="str">
            <v>APPIHP</v>
          </cell>
          <cell r="B85">
            <v>-33079.85</v>
          </cell>
          <cell r="C85">
            <v>30453.259920744917</v>
          </cell>
          <cell r="D85">
            <v>-63533.109920744915</v>
          </cell>
        </row>
        <row r="86">
          <cell r="A86" t="str">
            <v>APPIV - HP</v>
          </cell>
          <cell r="B86">
            <v>604.77</v>
          </cell>
          <cell r="C86">
            <v>280.23370665671757</v>
          </cell>
          <cell r="D86">
            <v>324.53629334328241</v>
          </cell>
        </row>
        <row r="87">
          <cell r="A87" t="str">
            <v>EUNPAspel</v>
          </cell>
          <cell r="B87">
            <v>98729.12</v>
          </cell>
          <cell r="C87">
            <v>45748.346069672552</v>
          </cell>
          <cell r="D87">
            <v>52980.773930327443</v>
          </cell>
        </row>
        <row r="88">
          <cell r="A88" t="str">
            <v>EUNPLegris</v>
          </cell>
          <cell r="B88">
            <v>41869.505600000004</v>
          </cell>
          <cell r="C88">
            <v>16343.952779262598</v>
          </cell>
          <cell r="D88">
            <v>25525.552820737408</v>
          </cell>
        </row>
        <row r="89">
          <cell r="A89" t="str">
            <v>EUNPSchneider</v>
          </cell>
          <cell r="B89">
            <v>96238.19</v>
          </cell>
          <cell r="C89">
            <v>44594.11793844511</v>
          </cell>
          <cell r="D89">
            <v>51644.072061554893</v>
          </cell>
        </row>
        <row r="90">
          <cell r="A90" t="str">
            <v>EUNPTyco</v>
          </cell>
          <cell r="B90">
            <v>161206</v>
          </cell>
          <cell r="C90">
            <v>74698.405865540321</v>
          </cell>
          <cell r="D90">
            <v>86507.594134459679</v>
          </cell>
        </row>
        <row r="91">
          <cell r="A91" t="str">
            <v>EUNPValeo</v>
          </cell>
          <cell r="B91">
            <v>148320.37183799999</v>
          </cell>
          <cell r="C91">
            <v>67560.279877518289</v>
          </cell>
          <cell r="D91">
            <v>80760.091960481703</v>
          </cell>
        </row>
        <row r="92">
          <cell r="A92" t="str">
            <v>EUNPZeller</v>
          </cell>
          <cell r="B92">
            <v>22944.84</v>
          </cell>
          <cell r="C92">
            <v>10632.004831333103</v>
          </cell>
          <cell r="D92">
            <v>12312.835168666898</v>
          </cell>
        </row>
        <row r="93">
          <cell r="A93" t="str">
            <v>SPNPBAXTER</v>
          </cell>
          <cell r="B93">
            <v>4901.84</v>
          </cell>
          <cell r="C93">
            <v>2271.377205612323</v>
          </cell>
          <cell r="D93">
            <v>2630.4627943876771</v>
          </cell>
        </row>
        <row r="94">
          <cell r="A94" t="str">
            <v>SPNPBD</v>
          </cell>
          <cell r="B94">
            <v>1529.26</v>
          </cell>
          <cell r="C94">
            <v>708.61682663136719</v>
          </cell>
          <cell r="D94">
            <v>820.6431733686328</v>
          </cell>
        </row>
        <row r="95">
          <cell r="A95" t="str">
            <v>SPNPNSP</v>
          </cell>
          <cell r="B95">
            <v>234.48</v>
          </cell>
          <cell r="C95">
            <v>108.65155271734235</v>
          </cell>
          <cell r="D95">
            <v>125.82844728265763</v>
          </cell>
        </row>
        <row r="96">
          <cell r="A96" t="str">
            <v>SPNPPROTOOL</v>
          </cell>
          <cell r="B96">
            <v>14383.81</v>
          </cell>
          <cell r="C96">
            <v>6665.0600925078306</v>
          </cell>
          <cell r="D96">
            <v>7718.7499074921689</v>
          </cell>
        </row>
        <row r="97">
          <cell r="A97" t="str">
            <v>SPNPSchneider</v>
          </cell>
          <cell r="B97">
            <v>11755.46</v>
          </cell>
          <cell r="C97">
            <v>5447.1553305467814</v>
          </cell>
          <cell r="D97">
            <v>6308.3046694532177</v>
          </cell>
        </row>
        <row r="98">
          <cell r="A98" t="str">
            <v>SPNPTyco</v>
          </cell>
          <cell r="B98">
            <v>2631</v>
          </cell>
          <cell r="C98">
            <v>1219.1326987347652</v>
          </cell>
          <cell r="D98">
            <v>1411.8673012652348</v>
          </cell>
        </row>
        <row r="99">
          <cell r="A99" t="str">
            <v>SPNPZeller</v>
          </cell>
          <cell r="B99">
            <v>5388.28</v>
          </cell>
          <cell r="C99">
            <v>2496.7800600298597</v>
          </cell>
          <cell r="D99">
            <v>2891.4999399701401</v>
          </cell>
        </row>
        <row r="100">
          <cell r="A100" t="str">
            <v>SPPIHP</v>
          </cell>
          <cell r="B100">
            <v>817589.89</v>
          </cell>
          <cell r="C100">
            <v>378848.56292434811</v>
          </cell>
          <cell r="D100">
            <v>438741.32707565191</v>
          </cell>
        </row>
        <row r="101">
          <cell r="A101" t="str">
            <v>SPPIV - HP</v>
          </cell>
          <cell r="B101">
            <v>405371.23107794469</v>
          </cell>
          <cell r="C101">
            <v>187837.82703667384</v>
          </cell>
          <cell r="D101">
            <v>217533.40404127084</v>
          </cell>
        </row>
        <row r="102">
          <cell r="A102" t="str">
            <v>USNPADVANCE</v>
          </cell>
          <cell r="B102">
            <v>-259.74</v>
          </cell>
          <cell r="C102">
            <v>-120.35633871887798</v>
          </cell>
          <cell r="D102">
            <v>-139.38366128112204</v>
          </cell>
        </row>
        <row r="103">
          <cell r="A103" t="str">
            <v>USNPKODAK</v>
          </cell>
          <cell r="B103">
            <v>28454.39</v>
          </cell>
          <cell r="C103">
            <v>13184.978058362416</v>
          </cell>
          <cell r="D103">
            <v>15269.411941637583</v>
          </cell>
        </row>
        <row r="104">
          <cell r="A104" t="str">
            <v>USNPOsram</v>
          </cell>
          <cell r="B104">
            <v>16310.63</v>
          </cell>
          <cell r="C104">
            <v>7557.8952375386634</v>
          </cell>
          <cell r="D104">
            <v>8752.7347624613358</v>
          </cell>
        </row>
        <row r="105">
          <cell r="A105" t="str">
            <v>USNPPortola</v>
          </cell>
          <cell r="B105">
            <v>12967.28</v>
          </cell>
          <cell r="C105">
            <v>6008.6792328579813</v>
          </cell>
          <cell r="D105">
            <v>6958.6007671420193</v>
          </cell>
        </row>
        <row r="106">
          <cell r="A106" t="str">
            <v>USNPProtool</v>
          </cell>
          <cell r="B106">
            <v>62597.16</v>
          </cell>
          <cell r="C106">
            <v>29005.794224223453</v>
          </cell>
          <cell r="D106">
            <v>33591.365775776547</v>
          </cell>
        </row>
        <row r="107">
          <cell r="A107" t="str">
            <v>USNPStryker</v>
          </cell>
          <cell r="B107">
            <v>211.58</v>
          </cell>
          <cell r="C107">
            <v>98.040325502965274</v>
          </cell>
          <cell r="D107">
            <v>113.53967449703474</v>
          </cell>
        </row>
        <row r="108">
          <cell r="A108" t="str">
            <v>USNPTyco</v>
          </cell>
          <cell r="B108">
            <v>848.36</v>
          </cell>
          <cell r="C108">
            <v>393.10658164143882</v>
          </cell>
          <cell r="D108">
            <v>455.25341835856119</v>
          </cell>
        </row>
        <row r="109">
          <cell r="A109" t="str">
            <v>USNPTycoHealthcare</v>
          </cell>
          <cell r="B109">
            <v>147411.57</v>
          </cell>
          <cell r="C109">
            <v>68306.448178954306</v>
          </cell>
          <cell r="D109">
            <v>79105.121821045701</v>
          </cell>
        </row>
        <row r="110">
          <cell r="A110" t="str">
            <v>USNPZELLER</v>
          </cell>
          <cell r="B110">
            <v>1213.6800000000076</v>
          </cell>
          <cell r="C110">
            <v>562.38577491464048</v>
          </cell>
          <cell r="D110">
            <v>651.29422508536709</v>
          </cell>
        </row>
        <row r="111">
          <cell r="A111" t="str">
            <v>USPIHP</v>
          </cell>
          <cell r="B111">
            <v>23096.9</v>
          </cell>
          <cell r="C111">
            <v>10702.465233526036</v>
          </cell>
          <cell r="D111">
            <v>12394.434766473965</v>
          </cell>
        </row>
        <row r="112">
          <cell r="A112" t="str">
            <v>SPPICANON</v>
          </cell>
          <cell r="B112">
            <v>671.78</v>
          </cell>
          <cell r="C112">
            <v>311.28428899887518</v>
          </cell>
          <cell r="D112">
            <v>360.49571100112479</v>
          </cell>
        </row>
        <row r="113">
          <cell r="A113" t="str">
            <v>SPPIEPSON</v>
          </cell>
          <cell r="B113">
            <v>67444.11</v>
          </cell>
          <cell r="C113">
            <v>31251.736920586987</v>
          </cell>
          <cell r="D113">
            <v>36192.37307941301</v>
          </cell>
        </row>
        <row r="114">
          <cell r="A114" t="str">
            <v>SPNPGES</v>
          </cell>
          <cell r="B114">
            <v>6070.88</v>
          </cell>
          <cell r="C114">
            <v>2389.9489301705944</v>
          </cell>
          <cell r="D114">
            <v>3680.9310698294057</v>
          </cell>
        </row>
        <row r="115">
          <cell r="A115" t="str">
            <v>USNCFluke</v>
          </cell>
          <cell r="B115">
            <v>2955.56</v>
          </cell>
          <cell r="C115">
            <v>1163.5277686356842</v>
          </cell>
          <cell r="D115">
            <v>1792.0322313643157</v>
          </cell>
        </row>
        <row r="116">
          <cell r="A116" t="str">
            <v>APNPJohnson</v>
          </cell>
          <cell r="B116">
            <v>1597.6</v>
          </cell>
          <cell r="C116">
            <v>628.93392899226171</v>
          </cell>
          <cell r="D116">
            <v>968.6660710077382</v>
          </cell>
        </row>
        <row r="117">
          <cell r="A117" t="str">
            <v>APNPRexam</v>
          </cell>
          <cell r="B117">
            <v>2078.7571799999996</v>
          </cell>
          <cell r="C117">
            <v>818.35310505650602</v>
          </cell>
          <cell r="D117">
            <v>1260.4040749434935</v>
          </cell>
        </row>
        <row r="118">
          <cell r="A118" t="str">
            <v>EUNPRexam</v>
          </cell>
          <cell r="B118">
            <v>27478.720000000001</v>
          </cell>
          <cell r="C118">
            <v>10817.663578666901</v>
          </cell>
          <cell r="D118">
            <v>16661.056421333102</v>
          </cell>
        </row>
        <row r="119">
          <cell r="A119" t="str">
            <v>APNPRockwell</v>
          </cell>
          <cell r="B119">
            <v>4329.905385</v>
          </cell>
          <cell r="C119">
            <v>1704.5721118883337</v>
          </cell>
          <cell r="D119">
            <v>2625.3332731116661</v>
          </cell>
        </row>
        <row r="120">
          <cell r="A120" t="str">
            <v>USNPRockwell</v>
          </cell>
          <cell r="B120">
            <v>5575.6239999999998</v>
          </cell>
          <cell r="C120">
            <v>2194.9794121829937</v>
          </cell>
          <cell r="D120">
            <v>3380.6445878170061</v>
          </cell>
        </row>
        <row r="121">
          <cell r="A121" t="str">
            <v>Univac Suzhou</v>
          </cell>
          <cell r="C121">
            <v>0</v>
          </cell>
          <cell r="D121">
            <v>0</v>
          </cell>
        </row>
        <row r="122">
          <cell r="A122" t="str">
            <v>APNPWincor</v>
          </cell>
          <cell r="B122">
            <v>-67.897999999999996</v>
          </cell>
          <cell r="C122">
            <v>-26.729691982171122</v>
          </cell>
          <cell r="D122">
            <v>-41.168308017828878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BS2002"/>
      <sheetName val="PL2002"/>
      <sheetName val="Translation"/>
      <sheetName val="MIProof"/>
      <sheetName val="IntercoBal"/>
      <sheetName val="ConsolEntries"/>
      <sheetName val="Seg Break"/>
      <sheetName val="Interest Se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s Forecast"/>
      <sheetName val="MATL"/>
      <sheetName val="Machine Capacity-2 Shift"/>
      <sheetName val="Machine Capacity -3 shift"/>
      <sheetName val="Module1"/>
      <sheetName val="Module2"/>
    </sheetNames>
    <sheetDataSet>
      <sheetData sheetId="0" refreshError="1">
        <row r="1">
          <cell r="B1" t="str">
            <v>Part Number</v>
          </cell>
          <cell r="J1">
            <v>36708</v>
          </cell>
          <cell r="K1">
            <v>36739</v>
          </cell>
          <cell r="L1">
            <v>36770</v>
          </cell>
          <cell r="M1">
            <v>36800</v>
          </cell>
          <cell r="N1">
            <v>36831</v>
          </cell>
          <cell r="O1">
            <v>36861</v>
          </cell>
          <cell r="AC1" t="str">
            <v>Cav-1</v>
          </cell>
          <cell r="AD1" t="str">
            <v>A60</v>
          </cell>
        </row>
      </sheetData>
      <sheetData sheetId="1"/>
      <sheetData sheetId="2"/>
      <sheetData sheetId="3"/>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cast2006"/>
      <sheetName val="Forcast2006 (2)"/>
      <sheetName val="Forcast2006 (3)"/>
      <sheetName val="Sheet1"/>
      <sheetName val="Sheet2"/>
      <sheetName val="Sheet3"/>
    </sheetNames>
    <sheetDataSet>
      <sheetData sheetId="0"/>
      <sheetData sheetId="1"/>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onsolid"/>
      <sheetName val="master"/>
    </sheetNames>
    <sheetDataSet>
      <sheetData sheetId="0" refreshError="1">
        <row r="9">
          <cell r="A9" t="str">
            <v>APNCACER</v>
          </cell>
          <cell r="B9">
            <v>23257.132016000003</v>
          </cell>
          <cell r="C9">
            <v>8341.4457368008334</v>
          </cell>
        </row>
        <row r="10">
          <cell r="A10" t="str">
            <v>APNPCiba</v>
          </cell>
          <cell r="B10">
            <v>9740.64</v>
          </cell>
          <cell r="C10">
            <v>2885.9448462553901</v>
          </cell>
        </row>
        <row r="11">
          <cell r="A11" t="str">
            <v>SPNPClearlab</v>
          </cell>
          <cell r="B11">
            <v>33739.199999999997</v>
          </cell>
          <cell r="C11">
            <v>9996.2087046415672</v>
          </cell>
        </row>
        <row r="12">
          <cell r="A12" t="str">
            <v>SPNPGES</v>
          </cell>
          <cell r="B12">
            <v>96350.61543679997</v>
          </cell>
          <cell r="C12">
            <v>40964.212819689274</v>
          </cell>
        </row>
        <row r="13">
          <cell r="A13" t="str">
            <v>APPIHP</v>
          </cell>
          <cell r="B13">
            <v>779908.05277599976</v>
          </cell>
          <cell r="C13">
            <v>433878.61055409757</v>
          </cell>
        </row>
        <row r="14">
          <cell r="A14" t="str">
            <v>EUPIHP</v>
          </cell>
          <cell r="B14">
            <v>11779.289280000001</v>
          </cell>
          <cell r="C14">
            <v>7159.8686206942893</v>
          </cell>
        </row>
        <row r="15">
          <cell r="A15" t="str">
            <v>SPPIHP</v>
          </cell>
          <cell r="B15">
            <v>633092.14696200006</v>
          </cell>
          <cell r="C15">
            <v>384815.79739598697</v>
          </cell>
        </row>
        <row r="16">
          <cell r="A16" t="str">
            <v>USPIHP</v>
          </cell>
          <cell r="B16">
            <v>38770.674957999996</v>
          </cell>
          <cell r="C16">
            <v>23566.187435964053</v>
          </cell>
        </row>
        <row r="17">
          <cell r="A17" t="str">
            <v>APPIV - HP</v>
          </cell>
          <cell r="B17">
            <v>322462.07885200006</v>
          </cell>
          <cell r="C17">
            <v>165485.78161778231</v>
          </cell>
        </row>
        <row r="18">
          <cell r="A18" t="str">
            <v>SPPIV - HP</v>
          </cell>
          <cell r="B18">
            <v>35804.823133999998</v>
          </cell>
          <cell r="C18">
            <v>21763.43780451205</v>
          </cell>
        </row>
        <row r="19">
          <cell r="A19" t="str">
            <v>SPNPLegris</v>
          </cell>
          <cell r="B19">
            <v>135</v>
          </cell>
          <cell r="C19">
            <v>127.34993152339705</v>
          </cell>
        </row>
        <row r="20">
          <cell r="A20" t="str">
            <v>APNPOsram</v>
          </cell>
          <cell r="B20">
            <v>25625.228854000001</v>
          </cell>
          <cell r="C20">
            <v>7592.2113069897059</v>
          </cell>
        </row>
        <row r="21">
          <cell r="A21" t="str">
            <v>USNPOsram</v>
          </cell>
          <cell r="B21">
            <v>58257.260160000005</v>
          </cell>
          <cell r="C21">
            <v>17260.38943187629</v>
          </cell>
        </row>
        <row r="22">
          <cell r="A22" t="str">
            <v>APNPPhilips</v>
          </cell>
          <cell r="B22">
            <v>60111.194254000002</v>
          </cell>
          <cell r="C22">
            <v>17809.67074643842</v>
          </cell>
        </row>
        <row r="23">
          <cell r="A23" t="str">
            <v>APNPRN</v>
          </cell>
          <cell r="B23">
            <v>16139.850322000002</v>
          </cell>
          <cell r="C23">
            <v>4781.8950147125142</v>
          </cell>
        </row>
        <row r="24">
          <cell r="A24" t="str">
            <v>APNPSchneider</v>
          </cell>
          <cell r="B24">
            <v>570515.59623999998</v>
          </cell>
          <cell r="C24">
            <v>239719.34547776563</v>
          </cell>
        </row>
        <row r="25">
          <cell r="A25" t="str">
            <v>EUNPSchneider</v>
          </cell>
          <cell r="B25">
            <v>294421.51</v>
          </cell>
          <cell r="C25">
            <v>155824.18046671024</v>
          </cell>
        </row>
        <row r="26">
          <cell r="A26" t="str">
            <v>APNPSony</v>
          </cell>
          <cell r="B26">
            <v>3659.7562800000001</v>
          </cell>
          <cell r="C26">
            <v>1084.3080921599401</v>
          </cell>
        </row>
        <row r="27">
          <cell r="A27" t="str">
            <v>SPNPSony</v>
          </cell>
          <cell r="B27">
            <v>2517.0551460000001</v>
          </cell>
          <cell r="C27">
            <v>745.75000475731667</v>
          </cell>
        </row>
        <row r="28">
          <cell r="A28" t="str">
            <v>USNPStryker</v>
          </cell>
          <cell r="B28">
            <v>23478.74945599999</v>
          </cell>
          <cell r="C28">
            <v>6956.2550293476315</v>
          </cell>
        </row>
        <row r="29">
          <cell r="A29" t="str">
            <v>SPNPTEC</v>
          </cell>
          <cell r="B29">
            <v>99024.064410000079</v>
          </cell>
          <cell r="C29">
            <v>52136.415090851908</v>
          </cell>
        </row>
        <row r="30">
          <cell r="A30" t="str">
            <v>APNPTyco</v>
          </cell>
          <cell r="B30">
            <v>26169.599999999999</v>
          </cell>
          <cell r="C30">
            <v>7753.4969209995497</v>
          </cell>
        </row>
        <row r="31">
          <cell r="A31" t="str">
            <v>SPNPTyco</v>
          </cell>
          <cell r="B31">
            <v>154458.45000000001</v>
          </cell>
          <cell r="C31">
            <v>57299.793291913207</v>
          </cell>
        </row>
        <row r="32">
          <cell r="A32" t="str">
            <v>USNPTyco</v>
          </cell>
          <cell r="B32">
            <v>16366.903248000001</v>
          </cell>
          <cell r="C32">
            <v>5538.9969282552793</v>
          </cell>
        </row>
        <row r="33">
          <cell r="A33" t="str">
            <v>EUNPValeo</v>
          </cell>
          <cell r="B33">
            <v>113930.14104</v>
          </cell>
          <cell r="C33">
            <v>34721.529239895615</v>
          </cell>
        </row>
        <row r="34">
          <cell r="A34" t="str">
            <v>SPNPWest</v>
          </cell>
          <cell r="B34">
            <v>69437</v>
          </cell>
          <cell r="C34">
            <v>20572.709009822305</v>
          </cell>
        </row>
        <row r="35">
          <cell r="A35" t="str">
            <v>APNPVorwerk</v>
          </cell>
          <cell r="B35">
            <v>961.06608000000006</v>
          </cell>
          <cell r="C35">
            <v>408.02982713720132</v>
          </cell>
        </row>
        <row r="36">
          <cell r="A36" t="str">
            <v>APNPValeo</v>
          </cell>
          <cell r="B36">
            <v>1116.25488</v>
          </cell>
          <cell r="C36">
            <v>473.91672144693462</v>
          </cell>
        </row>
        <row r="37">
          <cell r="A37" t="str">
            <v>APNPKodak</v>
          </cell>
          <cell r="B37">
            <v>22937.50992</v>
          </cell>
          <cell r="C37">
            <v>9738.3399564111569</v>
          </cell>
        </row>
        <row r="38">
          <cell r="A38" t="str">
            <v>APNPSharp</v>
          </cell>
          <cell r="B38">
            <v>129.44409300000001</v>
          </cell>
          <cell r="C38">
            <v>57.203148664619526</v>
          </cell>
        </row>
        <row r="39">
          <cell r="A39" t="str">
            <v>EUNPLegris</v>
          </cell>
          <cell r="B39">
            <v>6510</v>
          </cell>
          <cell r="C39">
            <v>1928.7747980751355</v>
          </cell>
        </row>
        <row r="40">
          <cell r="A40" t="str">
            <v>SPNPSchneider</v>
          </cell>
          <cell r="B40">
            <v>350</v>
          </cell>
          <cell r="C40">
            <v>103.69756978898579</v>
          </cell>
        </row>
        <row r="41">
          <cell r="A41" t="str">
            <v>EUNPStryker</v>
          </cell>
          <cell r="B41">
            <v>4318.4847399999999</v>
          </cell>
          <cell r="C41">
            <v>1279.4753505966289</v>
          </cell>
        </row>
        <row r="42">
          <cell r="A42" t="str">
            <v>USNPRockwell</v>
          </cell>
          <cell r="B42">
            <v>2427.6844799999999</v>
          </cell>
          <cell r="C42">
            <v>1030.6967432645906</v>
          </cell>
        </row>
        <row r="43">
          <cell r="A43" t="str">
            <v>APNPGES</v>
          </cell>
          <cell r="B43">
            <v>8112.9775999999993</v>
          </cell>
          <cell r="C43">
            <v>3444.4424962911876</v>
          </cell>
        </row>
      </sheetData>
      <sheetData sheetId="1" refreshError="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汇总表"/>
      <sheetName val="折旧表"/>
      <sheetName val="固定资产总清单"/>
      <sheetName val="固定资产总清单 (2)"/>
    </sheetNames>
    <sheetDataSet>
      <sheetData sheetId="0" refreshError="1"/>
      <sheetData sheetId="1" refreshError="1"/>
      <sheetData sheetId="2" refreshError="1">
        <row r="2">
          <cell r="B2" t="str">
            <v>使用
日期</v>
          </cell>
          <cell r="C2" t="str">
            <v>购买日期</v>
          </cell>
          <cell r="D2" t="str">
            <v>供应商明细</v>
          </cell>
          <cell r="F2" t="str">
            <v>编号</v>
          </cell>
          <cell r="G2" t="str">
            <v>资产名称</v>
          </cell>
          <cell r="I2" t="str">
            <v>型号名称</v>
          </cell>
          <cell r="J2" t="str">
            <v>编号名称</v>
          </cell>
          <cell r="L2" t="str">
            <v>公司内部
资产编号</v>
          </cell>
          <cell r="M2" t="str">
            <v>QTY</v>
          </cell>
          <cell r="N2" t="str">
            <v>币种</v>
          </cell>
          <cell r="O2" t="str">
            <v>Amount</v>
          </cell>
          <cell r="P2" t="str">
            <v>美元原币</v>
          </cell>
          <cell r="Q2" t="str">
            <v>预计净残值</v>
          </cell>
          <cell r="R2" t="str">
            <v>会计科目</v>
          </cell>
        </row>
        <row r="5">
          <cell r="B5" t="str">
            <v>02.06</v>
          </cell>
          <cell r="C5" t="str">
            <v>2002-06-20</v>
          </cell>
          <cell r="F5" t="str">
            <v>0101001</v>
          </cell>
          <cell r="G5" t="str">
            <v>土地</v>
          </cell>
          <cell r="M5">
            <v>1</v>
          </cell>
          <cell r="N5" t="str">
            <v>USD</v>
          </cell>
          <cell r="O5">
            <v>363714.01</v>
          </cell>
          <cell r="P5">
            <v>363714.01</v>
          </cell>
          <cell r="Q5">
            <v>14548.56</v>
          </cell>
        </row>
        <row r="6">
          <cell r="B6" t="str">
            <v>02.11</v>
          </cell>
          <cell r="C6" t="str">
            <v>2002-11-21</v>
          </cell>
          <cell r="F6" t="str">
            <v>0101002</v>
          </cell>
          <cell r="G6" t="str">
            <v>排污管道</v>
          </cell>
          <cell r="M6">
            <v>1</v>
          </cell>
          <cell r="N6" t="str">
            <v>USD</v>
          </cell>
          <cell r="O6">
            <v>12578.68</v>
          </cell>
          <cell r="P6">
            <v>12578.68</v>
          </cell>
          <cell r="Q6">
            <v>503.15</v>
          </cell>
        </row>
        <row r="7">
          <cell r="B7" t="str">
            <v>02.12</v>
          </cell>
          <cell r="C7" t="str">
            <v>2002-12.-22</v>
          </cell>
          <cell r="F7" t="str">
            <v>0101003</v>
          </cell>
          <cell r="G7" t="str">
            <v>围墙</v>
          </cell>
          <cell r="M7">
            <v>1</v>
          </cell>
          <cell r="N7" t="str">
            <v>RMB</v>
          </cell>
          <cell r="O7">
            <v>366930</v>
          </cell>
          <cell r="P7">
            <v>44315.22</v>
          </cell>
          <cell r="Q7">
            <v>1772.61</v>
          </cell>
        </row>
        <row r="8">
          <cell r="B8" t="str">
            <v>03.09</v>
          </cell>
          <cell r="C8" t="str">
            <v>2003-09-23</v>
          </cell>
          <cell r="D8" t="str">
            <v>广州秀珀装饰工程有限公司</v>
          </cell>
          <cell r="F8" t="str">
            <v>0101004</v>
          </cell>
          <cell r="G8" t="str">
            <v>秀珀地坪</v>
          </cell>
          <cell r="M8">
            <v>1</v>
          </cell>
          <cell r="N8" t="str">
            <v>RMB</v>
          </cell>
          <cell r="O8">
            <v>199568</v>
          </cell>
          <cell r="P8">
            <v>24102.42</v>
          </cell>
          <cell r="Q8">
            <v>964.1</v>
          </cell>
          <cell r="R8">
            <v>161003</v>
          </cell>
        </row>
        <row r="9">
          <cell r="B9" t="str">
            <v>03.10</v>
          </cell>
          <cell r="C9" t="str">
            <v>2003-10-20</v>
          </cell>
          <cell r="D9" t="str">
            <v>礼诺地坪（上海）有限公司</v>
          </cell>
          <cell r="F9" t="str">
            <v>0101005</v>
          </cell>
          <cell r="G9" t="str">
            <v>环氧礼诺地坪</v>
          </cell>
          <cell r="I9" t="str">
            <v>POLYESTER</v>
          </cell>
          <cell r="M9">
            <v>1</v>
          </cell>
          <cell r="N9" t="str">
            <v>RMB</v>
          </cell>
          <cell r="O9">
            <v>1058800</v>
          </cell>
          <cell r="P9">
            <v>127874.39</v>
          </cell>
          <cell r="Q9">
            <v>5114.9799999999996</v>
          </cell>
          <cell r="R9">
            <v>161003</v>
          </cell>
        </row>
        <row r="10">
          <cell r="B10" t="str">
            <v>03.10</v>
          </cell>
          <cell r="C10" t="str">
            <v>2003-10-20</v>
          </cell>
          <cell r="F10" t="str">
            <v>0101006</v>
          </cell>
          <cell r="G10" t="str">
            <v>厂房</v>
          </cell>
          <cell r="M10">
            <v>1</v>
          </cell>
          <cell r="N10" t="str">
            <v>USD</v>
          </cell>
          <cell r="O10">
            <v>3705653.13</v>
          </cell>
          <cell r="P10">
            <v>3916643.59</v>
          </cell>
          <cell r="Q10">
            <v>156665.74</v>
          </cell>
          <cell r="R10">
            <v>161003</v>
          </cell>
        </row>
        <row r="11">
          <cell r="B11" t="str">
            <v>00.08</v>
          </cell>
          <cell r="C11" t="str">
            <v>2000-08-20</v>
          </cell>
          <cell r="F11" t="str">
            <v>0101007</v>
          </cell>
          <cell r="G11" t="str">
            <v>工程款</v>
          </cell>
          <cell r="M11">
            <v>1</v>
          </cell>
          <cell r="N11" t="str">
            <v>RMB</v>
          </cell>
          <cell r="O11">
            <v>660276.04</v>
          </cell>
          <cell r="P11">
            <v>79551.33</v>
          </cell>
          <cell r="Q11">
            <v>0</v>
          </cell>
          <cell r="R11">
            <v>161003</v>
          </cell>
        </row>
        <row r="12">
          <cell r="B12" t="str">
            <v>00.09</v>
          </cell>
          <cell r="C12" t="str">
            <v>2000-09-20</v>
          </cell>
          <cell r="F12" t="str">
            <v>0101008</v>
          </cell>
          <cell r="G12" t="str">
            <v>环氧礼诺地坪</v>
          </cell>
          <cell r="M12">
            <v>1</v>
          </cell>
          <cell r="N12" t="str">
            <v>RMB</v>
          </cell>
          <cell r="O12">
            <v>400000</v>
          </cell>
          <cell r="P12">
            <v>48192.77</v>
          </cell>
          <cell r="Q12">
            <v>0</v>
          </cell>
          <cell r="R12">
            <v>161003</v>
          </cell>
        </row>
        <row r="14">
          <cell r="D14" t="str">
            <v>建筑类(厂区)</v>
          </cell>
          <cell r="G14" t="str">
            <v>小计</v>
          </cell>
        </row>
        <row r="16">
          <cell r="D16" t="str">
            <v>建筑类(公寓)</v>
          </cell>
          <cell r="G16" t="str">
            <v>小计</v>
          </cell>
        </row>
      </sheetData>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ditTIC10_12"/>
      <sheetName val="Cover"/>
      <sheetName val="before99"/>
      <sheetName val="Cum_Jun98"/>
      <sheetName val="Overall(Jan)"/>
      <sheetName val="Overall(Feb)"/>
      <sheetName val="stdby"/>
      <sheetName val="Overall(Mar)"/>
      <sheetName val="Overall(Apr)"/>
      <sheetName val="budget"/>
      <sheetName val="Low.k.j"/>
      <sheetName val="Overall(May )"/>
      <sheetName val="Overall(Jun)"/>
      <sheetName val="Overall( Jul )"/>
      <sheetName val="Jan_99"/>
      <sheetName val="Feb 99"/>
      <sheetName val="Mar_99"/>
      <sheetName val="APR_99"/>
      <sheetName val="MAY_99"/>
      <sheetName val="Jun_99"/>
      <sheetName val="Jul_99"/>
      <sheetName val="Cumul_99"/>
      <sheetName val="tot"/>
      <sheetName val="Sheet1"/>
      <sheetName val="Chua.Y.W(Jan-Mar)"/>
      <sheetName val="over"/>
      <sheetName val="Backup"/>
      <sheetName val="Printing"/>
      <sheetName val="Chg in Design"/>
      <sheetName val="Graph"/>
      <sheetName val="MAN HRS_99"/>
      <sheetName val="TIC_recon(Jan-May)"/>
      <sheetName val="MAH HRS_97"/>
      <sheetName val="SYS IRON"/>
      <sheetName val="DAMIEN"/>
      <sheetName val="Sheet3"/>
      <sheetName val="Audit_Summary"/>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AEKL"/>
      <sheetName val="BS2002"/>
      <sheetName val="MC RATE"/>
      <sheetName val="3330"/>
      <sheetName val="TR0-7 31072003 (3)"/>
      <sheetName val="Permanent 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折旧表"/>
      <sheetName val="固定资产总清单"/>
    </sheetNames>
    <sheetDataSet>
      <sheetData sheetId="0" refreshError="1"/>
      <sheetData sheetId="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
      <sheetName val="10000"/>
      <sheetName val="20000"/>
      <sheetName val="30000"/>
      <sheetName val="WAP (Main Office)"/>
      <sheetName val="Consol"/>
      <sheetName val="Eliminating entries"/>
      <sheetName val="Reclassifications for SAS 1"/>
      <sheetName val="Rationalisation"/>
      <sheetName val="Inventory"/>
      <sheetName val="Conso. FA"/>
      <sheetName val="fixed assets translation"/>
      <sheetName val="Notes To the Accounts"/>
      <sheetName val="Cashflow"/>
      <sheetName val="Unrealised Exchange Apportion"/>
      <sheetName val="Sheet10"/>
      <sheetName val="Sheet11"/>
      <sheetName val="Sheet12"/>
      <sheetName val="Sheet13"/>
      <sheetName val="Sheet14"/>
      <sheetName val="Sheet15"/>
      <sheetName val="Sheet16"/>
      <sheetName val="Sheet1"/>
      <sheetName val="sumdepn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Index"/>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Consol"/>
    </sheetNames>
    <sheetDataSet>
      <sheetData sheetId="0" refreshError="1">
        <row r="13">
          <cell r="A13">
            <v>39568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ram"/>
      <sheetName val="customer"/>
      <sheetName val="SD"/>
      <sheetName val="FI"/>
    </sheetNames>
    <sheetDataSet>
      <sheetData sheetId="0" refreshError="1"/>
      <sheetData sheetId="1"/>
      <sheetData sheetId="2"/>
      <sheetData sheetId="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EL"/>
      <sheetName val="ATPL"/>
      <sheetName val="AE TECH GP"/>
      <sheetName val="AE RUBBER"/>
      <sheetName val="LIAN JUN"/>
      <sheetName val="A EUROPE"/>
      <sheetName val="GR_Summary"/>
      <sheetName val="30-SEP"/>
      <sheetName val="31 Dec 05"/>
      <sheetName val="31 AUG 07"/>
      <sheetName val="31 OCT 07"/>
      <sheetName val="Sheet1"/>
      <sheetName val="31 DEC 07"/>
      <sheetName val="31 MARCH 08"/>
      <sheetName val="30 JUNE 08"/>
      <sheetName val="31 AUG 08"/>
      <sheetName val="30 SEPT 08"/>
      <sheetName val="31 Oct 08"/>
      <sheetName val="30 Nov 08"/>
      <sheetName val="31 Dec 08"/>
      <sheetName val="31 DEC 06"/>
      <sheetName val="30 SEPT 06"/>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预算"/>
      <sheetName val="Fixed Assets Schedule06-09"/>
      <sheetName val="CashFlow hatl"/>
      <sheetName val="trialbal-AThz"/>
      <sheetName val="HZAT BS"/>
      <sheetName val="HZAT PL Mfg"/>
      <sheetName val="Inc Stmt"/>
      <sheetName val="Summary"/>
      <sheetName val="Graph-china0609"/>
      <sheetName val="HK tr0608"/>
      <sheetName val="ATHK PL 0609"/>
      <sheetName val="ATHK BS 0609"/>
      <sheetName val="111 HZAT BS"/>
      <sheetName val="111 HZAT PL Mfg"/>
      <sheetName val="111 Summary"/>
      <sheetName val="111 Inc Stmt"/>
      <sheetName val="111 ATHK BS"/>
      <sheetName val="111 ATHK PL"/>
      <sheetName val="营业部VA03.12"/>
      <sheetName val="VA-03.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THZ PL Mfg 0604"/>
    </sheetNames>
    <sheetDataSet>
      <sheetData sheetId="0">
        <row r="3">
          <cell r="B3" t="str">
            <v/>
          </cell>
          <cell r="C3" t="str">
            <v xml:space="preserve">LAST YTD </v>
          </cell>
          <cell r="D3" t="str">
            <v xml:space="preserve">LAST YTD </v>
          </cell>
          <cell r="E3" t="str">
            <v xml:space="preserve">LAST YTD </v>
          </cell>
          <cell r="F3" t="str">
            <v xml:space="preserve">LAST YTD </v>
          </cell>
          <cell r="G3" t="str">
            <v xml:space="preserve">LAST YTD </v>
          </cell>
          <cell r="H3" t="str">
            <v xml:space="preserve">LAST YTD </v>
          </cell>
          <cell r="I3" t="str">
            <v xml:space="preserve">LAST YTD </v>
          </cell>
          <cell r="J3" t="str">
            <v xml:space="preserve">LAST YTD </v>
          </cell>
          <cell r="K3" t="str">
            <v xml:space="preserve">LAST YTD </v>
          </cell>
          <cell r="L3" t="str">
            <v xml:space="preserve">LAST YTD </v>
          </cell>
          <cell r="M3" t="str">
            <v xml:space="preserve">LAST YTD </v>
          </cell>
          <cell r="N3" t="str">
            <v xml:space="preserve">LAST YTD </v>
          </cell>
          <cell r="O3" t="str">
            <v xml:space="preserve">LAST YTD </v>
          </cell>
          <cell r="P3" t="str">
            <v xml:space="preserve">LAST YTD </v>
          </cell>
          <cell r="Q3" t="str">
            <v xml:space="preserve">LAST YTD </v>
          </cell>
          <cell r="R3" t="str">
            <v xml:space="preserve">LAST YTD </v>
          </cell>
          <cell r="S3" t="str">
            <v xml:space="preserve">LAST YTD </v>
          </cell>
          <cell r="T3" t="str">
            <v xml:space="preserve">LAST YTD </v>
          </cell>
          <cell r="U3" t="str">
            <v xml:space="preserve">LAST YTD </v>
          </cell>
          <cell r="V3" t="str">
            <v xml:space="preserve">LAST YTD </v>
          </cell>
          <cell r="W3" t="str">
            <v xml:space="preserve">LAST YTD </v>
          </cell>
          <cell r="X3" t="str">
            <v xml:space="preserve">LAST YTD </v>
          </cell>
          <cell r="Y3" t="str">
            <v xml:space="preserve">LAST YTD </v>
          </cell>
          <cell r="Z3" t="str">
            <v xml:space="preserve">LAST YTD </v>
          </cell>
          <cell r="AA3" t="str">
            <v xml:space="preserve">LAST YTD </v>
          </cell>
          <cell r="AB3" t="str">
            <v xml:space="preserve">LAST YTD </v>
          </cell>
          <cell r="AC3" t="str">
            <v xml:space="preserve">LAST YTD </v>
          </cell>
          <cell r="AD3" t="str">
            <v xml:space="preserve">LAST YTD </v>
          </cell>
          <cell r="AE3" t="str">
            <v xml:space="preserve">LAST YTD </v>
          </cell>
          <cell r="AF3" t="str">
            <v xml:space="preserve">LAST YTD </v>
          </cell>
          <cell r="AG3" t="str">
            <v xml:space="preserve">LAST YTD </v>
          </cell>
          <cell r="AH3" t="str">
            <v xml:space="preserve">LAST YTD </v>
          </cell>
          <cell r="AI3" t="str">
            <v xml:space="preserve">LAST YTD </v>
          </cell>
          <cell r="AJ3" t="str">
            <v xml:space="preserve">LAST YTD </v>
          </cell>
          <cell r="AK3" t="str">
            <v xml:space="preserve">LAST YTD </v>
          </cell>
          <cell r="AL3" t="str">
            <v xml:space="preserve">LAST YTD </v>
          </cell>
          <cell r="AM3" t="str">
            <v xml:space="preserve">LAST YTD </v>
          </cell>
          <cell r="AN3" t="str">
            <v xml:space="preserve">LAST YTD </v>
          </cell>
          <cell r="AO3" t="str">
            <v xml:space="preserve">LAST YTD </v>
          </cell>
          <cell r="AP3" t="str">
            <v xml:space="preserve">LAST YTD </v>
          </cell>
          <cell r="AQ3" t="str">
            <v xml:space="preserve">LAST YTD </v>
          </cell>
          <cell r="AR3" t="str">
            <v xml:space="preserve">LAST YTD </v>
          </cell>
          <cell r="AS3" t="str">
            <v xml:space="preserve">LAST YTD </v>
          </cell>
          <cell r="AT3" t="str">
            <v xml:space="preserve">LAST YTD </v>
          </cell>
          <cell r="AU3" t="str">
            <v xml:space="preserve">LAST YTD </v>
          </cell>
          <cell r="AV3" t="str">
            <v xml:space="preserve">LAST YTD </v>
          </cell>
          <cell r="AW3" t="str">
            <v xml:space="preserve">LAST YTD </v>
          </cell>
          <cell r="AX3" t="str">
            <v xml:space="preserve">LAST YTD </v>
          </cell>
          <cell r="AY3" t="str">
            <v xml:space="preserve">LAST YTD </v>
          </cell>
          <cell r="AZ3" t="str">
            <v xml:space="preserve">LAST YTD </v>
          </cell>
          <cell r="BA3" t="str">
            <v xml:space="preserve">LAST YTD </v>
          </cell>
          <cell r="BB3" t="str">
            <v>This Year To Date - May  2006</v>
          </cell>
          <cell r="BE3" t="str">
            <v>Last Month</v>
          </cell>
          <cell r="BF3" t="str">
            <v>Last Month</v>
          </cell>
          <cell r="BG3" t="str">
            <v>Last Month</v>
          </cell>
          <cell r="BH3" t="str">
            <v>Last Month</v>
          </cell>
          <cell r="BI3" t="str">
            <v>Last Month</v>
          </cell>
          <cell r="BJ3" t="str">
            <v>Last Month</v>
          </cell>
          <cell r="BK3" t="str">
            <v>Last Month</v>
          </cell>
          <cell r="BL3" t="str">
            <v>Last Month</v>
          </cell>
          <cell r="BM3" t="str">
            <v>Last Month</v>
          </cell>
          <cell r="BN3" t="str">
            <v>Last Month</v>
          </cell>
          <cell r="BO3" t="str">
            <v>Last Month</v>
          </cell>
          <cell r="BP3" t="str">
            <v>Last Month</v>
          </cell>
          <cell r="BQ3" t="str">
            <v>Last Month</v>
          </cell>
          <cell r="BR3" t="str">
            <v>Last Month</v>
          </cell>
          <cell r="BS3" t="str">
            <v>Last Month</v>
          </cell>
          <cell r="BT3" t="str">
            <v>Last Month</v>
          </cell>
          <cell r="BU3" t="str">
            <v>Last Month</v>
          </cell>
          <cell r="BV3" t="str">
            <v>Last Month</v>
          </cell>
          <cell r="BW3" t="str">
            <v>Last Month</v>
          </cell>
          <cell r="BX3" t="str">
            <v>Last Month</v>
          </cell>
          <cell r="BY3" t="str">
            <v>Last Month</v>
          </cell>
          <cell r="BZ3" t="str">
            <v>Last Month</v>
          </cell>
          <cell r="CA3" t="str">
            <v>Last Month</v>
          </cell>
          <cell r="CB3" t="str">
            <v>Last Month</v>
          </cell>
          <cell r="CC3" t="str">
            <v>Last Month</v>
          </cell>
          <cell r="CD3" t="str">
            <v>Last Month</v>
          </cell>
          <cell r="CE3" t="str">
            <v>Last Month</v>
          </cell>
          <cell r="CF3" t="str">
            <v>Last Month</v>
          </cell>
          <cell r="CG3" t="str">
            <v>Last Month</v>
          </cell>
          <cell r="CH3" t="str">
            <v xml:space="preserve">Last </v>
          </cell>
          <cell r="CI3" t="str">
            <v xml:space="preserve">Last </v>
          </cell>
          <cell r="CJ3" t="str">
            <v xml:space="preserve">Last </v>
          </cell>
          <cell r="CK3" t="str">
            <v xml:space="preserve">Last </v>
          </cell>
          <cell r="CL3" t="str">
            <v xml:space="preserve">Last </v>
          </cell>
          <cell r="CM3" t="str">
            <v xml:space="preserve">Last </v>
          </cell>
          <cell r="CN3" t="str">
            <v xml:space="preserve">Last </v>
          </cell>
          <cell r="CO3" t="str">
            <v xml:space="preserve">Last </v>
          </cell>
          <cell r="CP3" t="str">
            <v xml:space="preserve">Last </v>
          </cell>
          <cell r="CQ3" t="str">
            <v xml:space="preserve">Last </v>
          </cell>
          <cell r="CR3" t="str">
            <v xml:space="preserve">Last </v>
          </cell>
          <cell r="CS3" t="str">
            <v xml:space="preserve">Last </v>
          </cell>
          <cell r="CT3" t="str">
            <v xml:space="preserve">Last </v>
          </cell>
          <cell r="CU3" t="str">
            <v xml:space="preserve">Last </v>
          </cell>
          <cell r="CV3" t="str">
            <v xml:space="preserve">Last </v>
          </cell>
          <cell r="CW3" t="str">
            <v xml:space="preserve">Last </v>
          </cell>
          <cell r="CX3" t="str">
            <v xml:space="preserve">Last </v>
          </cell>
          <cell r="CZ3" t="str">
            <v>This Month -May  2006</v>
          </cell>
        </row>
        <row r="4">
          <cell r="B4" t="str">
            <v>All Amount in US$</v>
          </cell>
          <cell r="Z4">
            <v>37987</v>
          </cell>
          <cell r="AA4">
            <v>38018</v>
          </cell>
          <cell r="AB4">
            <v>38047</v>
          </cell>
          <cell r="AC4">
            <v>38078</v>
          </cell>
          <cell r="AD4">
            <v>38108</v>
          </cell>
          <cell r="AE4">
            <v>38139</v>
          </cell>
          <cell r="AF4">
            <v>38169</v>
          </cell>
          <cell r="AG4">
            <v>38200</v>
          </cell>
          <cell r="AH4">
            <v>38231</v>
          </cell>
          <cell r="AI4">
            <v>38261</v>
          </cell>
          <cell r="AJ4">
            <v>38292</v>
          </cell>
          <cell r="AK4">
            <v>38322</v>
          </cell>
          <cell r="AL4">
            <v>38353</v>
          </cell>
          <cell r="AM4">
            <v>38384</v>
          </cell>
          <cell r="AN4">
            <v>38412</v>
          </cell>
          <cell r="AO4">
            <v>38443</v>
          </cell>
          <cell r="AP4">
            <v>38473</v>
          </cell>
          <cell r="AQ4">
            <v>38504</v>
          </cell>
          <cell r="AR4">
            <v>38534</v>
          </cell>
          <cell r="AS4">
            <v>38565</v>
          </cell>
          <cell r="AT4">
            <v>38596</v>
          </cell>
          <cell r="AU4">
            <v>38626</v>
          </cell>
          <cell r="AV4">
            <v>38657</v>
          </cell>
          <cell r="AW4">
            <v>38687</v>
          </cell>
          <cell r="AX4">
            <v>38718</v>
          </cell>
          <cell r="AY4">
            <v>38749</v>
          </cell>
          <cell r="AZ4">
            <v>38777</v>
          </cell>
          <cell r="BA4">
            <v>38808</v>
          </cell>
          <cell r="BB4" t="str">
            <v>Actual</v>
          </cell>
          <cell r="BC4" t="str">
            <v>Budget</v>
          </cell>
          <cell r="BD4" t="str">
            <v>Var</v>
          </cell>
          <cell r="CH4" t="str">
            <v>Month</v>
          </cell>
          <cell r="CI4" t="str">
            <v>Month</v>
          </cell>
          <cell r="CJ4" t="str">
            <v>Month</v>
          </cell>
          <cell r="CK4" t="str">
            <v>Month</v>
          </cell>
          <cell r="CL4" t="str">
            <v>Month</v>
          </cell>
          <cell r="CM4" t="str">
            <v>Month</v>
          </cell>
          <cell r="CN4" t="str">
            <v>Month</v>
          </cell>
          <cell r="CO4" t="str">
            <v>Month</v>
          </cell>
          <cell r="CP4" t="str">
            <v>Month</v>
          </cell>
          <cell r="CQ4" t="str">
            <v>Month</v>
          </cell>
          <cell r="CR4" t="str">
            <v>Month</v>
          </cell>
          <cell r="CS4" t="str">
            <v>Month</v>
          </cell>
          <cell r="CT4" t="str">
            <v>Month</v>
          </cell>
          <cell r="CU4" t="str">
            <v>Month</v>
          </cell>
          <cell r="CV4" t="str">
            <v>Month</v>
          </cell>
          <cell r="CW4" t="str">
            <v>Month</v>
          </cell>
          <cell r="CX4" t="str">
            <v>Month</v>
          </cell>
          <cell r="CZ4" t="str">
            <v>Actual</v>
          </cell>
          <cell r="DA4" t="str">
            <v>Budget</v>
          </cell>
          <cell r="DB4" t="str">
            <v>Var</v>
          </cell>
        </row>
        <row r="5">
          <cell r="C5" t="str">
            <v>Jun 2000</v>
          </cell>
          <cell r="D5" t="str">
            <v>Dec 2000</v>
          </cell>
          <cell r="E5" t="str">
            <v>Jun 2001</v>
          </cell>
          <cell r="F5" t="str">
            <v>Jun 2001
-adjust</v>
          </cell>
          <cell r="G5" t="str">
            <v>Jun 2001
Report Amount</v>
          </cell>
          <cell r="H5">
            <v>37226</v>
          </cell>
          <cell r="I5">
            <v>37408</v>
          </cell>
          <cell r="J5" t="str">
            <v>Jun 2002
-adjust</v>
          </cell>
          <cell r="K5" t="str">
            <v>Jun 2002
Report Amount</v>
          </cell>
          <cell r="L5">
            <v>37438</v>
          </cell>
          <cell r="M5">
            <v>37591</v>
          </cell>
          <cell r="N5">
            <v>37622</v>
          </cell>
          <cell r="O5">
            <v>37653</v>
          </cell>
          <cell r="P5">
            <v>37681</v>
          </cell>
          <cell r="Q5">
            <v>37712</v>
          </cell>
          <cell r="R5">
            <v>37742</v>
          </cell>
          <cell r="S5">
            <v>37773</v>
          </cell>
          <cell r="T5">
            <v>37803</v>
          </cell>
          <cell r="U5">
            <v>37834</v>
          </cell>
          <cell r="V5">
            <v>37865</v>
          </cell>
          <cell r="W5">
            <v>37895</v>
          </cell>
          <cell r="X5">
            <v>37926</v>
          </cell>
          <cell r="Y5">
            <v>37956</v>
          </cell>
          <cell r="Z5" t="str">
            <v>US$</v>
          </cell>
          <cell r="AA5" t="str">
            <v>US$</v>
          </cell>
          <cell r="AB5" t="str">
            <v>US$</v>
          </cell>
          <cell r="AC5" t="str">
            <v>US$</v>
          </cell>
          <cell r="AD5" t="str">
            <v>US$</v>
          </cell>
          <cell r="AE5" t="str">
            <v>US$</v>
          </cell>
          <cell r="AF5" t="str">
            <v>US$</v>
          </cell>
          <cell r="AG5" t="str">
            <v>US$</v>
          </cell>
          <cell r="AH5" t="str">
            <v>US$</v>
          </cell>
          <cell r="AI5" t="str">
            <v>US$</v>
          </cell>
          <cell r="AJ5" t="str">
            <v>US$</v>
          </cell>
          <cell r="AK5" t="str">
            <v>US$</v>
          </cell>
          <cell r="AL5" t="str">
            <v>US$</v>
          </cell>
          <cell r="AM5" t="str">
            <v>US$</v>
          </cell>
          <cell r="AN5" t="str">
            <v>US$</v>
          </cell>
          <cell r="AO5" t="str">
            <v>US$</v>
          </cell>
          <cell r="AP5" t="str">
            <v>US$</v>
          </cell>
          <cell r="AQ5" t="str">
            <v>US$</v>
          </cell>
          <cell r="AR5" t="str">
            <v>US$</v>
          </cell>
          <cell r="AS5" t="str">
            <v>US$</v>
          </cell>
          <cell r="AT5" t="str">
            <v>US$</v>
          </cell>
          <cell r="AU5" t="str">
            <v>US$</v>
          </cell>
          <cell r="AV5" t="str">
            <v>US$</v>
          </cell>
          <cell r="AW5" t="str">
            <v>US$</v>
          </cell>
          <cell r="AX5" t="str">
            <v>US$</v>
          </cell>
          <cell r="AY5" t="str">
            <v>US$</v>
          </cell>
          <cell r="AZ5" t="str">
            <v>US$</v>
          </cell>
          <cell r="BA5" t="str">
            <v>US$</v>
          </cell>
          <cell r="BB5" t="str">
            <v>US$</v>
          </cell>
          <cell r="BC5" t="str">
            <v>US$</v>
          </cell>
          <cell r="BD5" t="str">
            <v>US$</v>
          </cell>
          <cell r="BE5" t="str">
            <v>Jun 2000</v>
          </cell>
          <cell r="BF5" t="str">
            <v>Dec 2000</v>
          </cell>
          <cell r="BG5" t="str">
            <v>Jun 2001</v>
          </cell>
          <cell r="BH5" t="str">
            <v>Dec 2001</v>
          </cell>
          <cell r="BI5">
            <v>37408</v>
          </cell>
          <cell r="BJ5">
            <v>37591</v>
          </cell>
          <cell r="BK5">
            <v>37622</v>
          </cell>
          <cell r="BL5">
            <v>37653</v>
          </cell>
          <cell r="BM5">
            <v>37681</v>
          </cell>
          <cell r="BN5">
            <v>37712</v>
          </cell>
          <cell r="BO5">
            <v>37742</v>
          </cell>
          <cell r="BP5">
            <v>37773</v>
          </cell>
          <cell r="BQ5">
            <v>37803</v>
          </cell>
          <cell r="BR5">
            <v>37834</v>
          </cell>
          <cell r="BS5">
            <v>37865</v>
          </cell>
          <cell r="BT5">
            <v>37895</v>
          </cell>
          <cell r="BU5">
            <v>37926</v>
          </cell>
          <cell r="BV5">
            <v>37956</v>
          </cell>
          <cell r="BW5">
            <v>37987</v>
          </cell>
          <cell r="BX5">
            <v>38018</v>
          </cell>
          <cell r="BY5">
            <v>38047</v>
          </cell>
          <cell r="BZ5">
            <v>38078</v>
          </cell>
          <cell r="CA5">
            <v>38108</v>
          </cell>
          <cell r="CB5">
            <v>38139</v>
          </cell>
          <cell r="CC5">
            <v>38169</v>
          </cell>
          <cell r="CD5">
            <v>38200</v>
          </cell>
          <cell r="CE5">
            <v>38231</v>
          </cell>
          <cell r="CF5">
            <v>38261</v>
          </cell>
          <cell r="CG5">
            <v>38292</v>
          </cell>
          <cell r="CH5">
            <v>38322</v>
          </cell>
          <cell r="CI5">
            <v>38353</v>
          </cell>
          <cell r="CJ5">
            <v>38384</v>
          </cell>
          <cell r="CK5">
            <v>38412</v>
          </cell>
          <cell r="CL5">
            <v>38443</v>
          </cell>
          <cell r="CM5">
            <v>38473</v>
          </cell>
          <cell r="CN5">
            <v>38504</v>
          </cell>
          <cell r="CO5">
            <v>38534</v>
          </cell>
          <cell r="CP5">
            <v>38565</v>
          </cell>
          <cell r="CQ5">
            <v>38596</v>
          </cell>
          <cell r="CR5">
            <v>38626</v>
          </cell>
          <cell r="CS5">
            <v>38657</v>
          </cell>
          <cell r="CT5">
            <v>38687</v>
          </cell>
          <cell r="CU5">
            <v>38718</v>
          </cell>
          <cell r="CV5">
            <v>38749</v>
          </cell>
          <cell r="CW5">
            <v>38777</v>
          </cell>
          <cell r="CX5">
            <v>38808</v>
          </cell>
          <cell r="CZ5" t="str">
            <v>US$</v>
          </cell>
          <cell r="DA5" t="str">
            <v>US$</v>
          </cell>
          <cell r="DB5" t="str">
            <v>US$</v>
          </cell>
        </row>
        <row r="6">
          <cell r="B6" t="str">
            <v>Income :</v>
          </cell>
        </row>
        <row r="7">
          <cell r="B7" t="str">
            <v>Stamping Sales</v>
          </cell>
          <cell r="C7">
            <v>0</v>
          </cell>
          <cell r="D7">
            <v>923588.72</v>
          </cell>
          <cell r="E7">
            <v>1925200.08</v>
          </cell>
          <cell r="G7">
            <v>1925200.08</v>
          </cell>
          <cell r="H7">
            <v>2152605.1</v>
          </cell>
          <cell r="I7">
            <v>5899531.9400000004</v>
          </cell>
          <cell r="K7">
            <v>5899531.9400000004</v>
          </cell>
          <cell r="L7">
            <v>621847.07999999996</v>
          </cell>
          <cell r="M7">
            <v>3649932.76</v>
          </cell>
          <cell r="N7">
            <v>4530077.55</v>
          </cell>
          <cell r="O7">
            <v>5050483.72</v>
          </cell>
          <cell r="P7">
            <v>5610290.8399999999</v>
          </cell>
          <cell r="Q7">
            <v>6208709.3300000001</v>
          </cell>
          <cell r="R7">
            <v>6619418.9800000004</v>
          </cell>
          <cell r="S7">
            <v>7113750.4100000001</v>
          </cell>
          <cell r="T7">
            <v>629181.26</v>
          </cell>
          <cell r="U7">
            <v>1356460.52</v>
          </cell>
          <cell r="V7">
            <v>2225470.5099999998</v>
          </cell>
          <cell r="W7">
            <v>3457454.49</v>
          </cell>
          <cell r="X7">
            <v>4482263.3499999996</v>
          </cell>
          <cell r="Y7">
            <v>5513124.5300000003</v>
          </cell>
          <cell r="Z7">
            <v>6252600.7599999998</v>
          </cell>
          <cell r="AA7">
            <v>7218576.0499999998</v>
          </cell>
          <cell r="AB7">
            <v>7931169.6500000004</v>
          </cell>
          <cell r="AC7">
            <v>8790338.7200000007</v>
          </cell>
          <cell r="AD7">
            <v>9678116.9299999997</v>
          </cell>
          <cell r="AE7">
            <v>10454271.859999999</v>
          </cell>
          <cell r="AF7">
            <v>831251.63</v>
          </cell>
          <cell r="AG7">
            <v>1559026.46</v>
          </cell>
          <cell r="AH7">
            <v>2410898.15</v>
          </cell>
          <cell r="AI7">
            <v>3127470.58</v>
          </cell>
          <cell r="AJ7">
            <v>3759129.35</v>
          </cell>
          <cell r="AK7">
            <v>4321171.38</v>
          </cell>
          <cell r="AL7">
            <v>4943293.03</v>
          </cell>
          <cell r="AM7">
            <v>5324446.1399999997</v>
          </cell>
          <cell r="AN7">
            <v>5938814.4799999995</v>
          </cell>
          <cell r="AO7">
            <v>6638968.4699999997</v>
          </cell>
          <cell r="AP7">
            <v>7203236.21</v>
          </cell>
          <cell r="AQ7">
            <v>7890259.0899999999</v>
          </cell>
          <cell r="AR7">
            <v>684876.49</v>
          </cell>
          <cell r="AS7">
            <v>1618993.66</v>
          </cell>
          <cell r="AT7">
            <v>2505451.83</v>
          </cell>
          <cell r="AU7">
            <v>3240276.56</v>
          </cell>
          <cell r="AV7">
            <v>4188821.65</v>
          </cell>
          <cell r="AW7">
            <v>5179469.04</v>
          </cell>
          <cell r="AX7">
            <v>6005644.7800000003</v>
          </cell>
          <cell r="AY7">
            <v>6973929.4100000001</v>
          </cell>
          <cell r="AZ7">
            <v>8081790.1100000003</v>
          </cell>
          <cell r="BA7">
            <v>9201669.7100000009</v>
          </cell>
          <cell r="BB7">
            <v>9201669.7100000009</v>
          </cell>
          <cell r="BC7">
            <v>8961540.5563824996</v>
          </cell>
          <cell r="BD7">
            <v>240129.15361750126</v>
          </cell>
          <cell r="BE7">
            <v>0</v>
          </cell>
          <cell r="BF7">
            <v>105523.48</v>
          </cell>
          <cell r="BG7">
            <v>229319.98</v>
          </cell>
          <cell r="BH7">
            <v>709389.31</v>
          </cell>
          <cell r="BI7">
            <v>768649.3900000006</v>
          </cell>
          <cell r="BJ7">
            <v>617451.97</v>
          </cell>
          <cell r="BK7">
            <v>880144.79</v>
          </cell>
          <cell r="BL7">
            <v>520406.17</v>
          </cell>
          <cell r="BM7">
            <v>559807.12</v>
          </cell>
          <cell r="BN7">
            <v>598418.49</v>
          </cell>
          <cell r="BO7">
            <v>410709.65</v>
          </cell>
          <cell r="BP7">
            <v>494331.43</v>
          </cell>
          <cell r="BQ7">
            <v>629181.26</v>
          </cell>
          <cell r="BR7">
            <v>727279.26</v>
          </cell>
          <cell r="BS7">
            <v>869009.99</v>
          </cell>
          <cell r="BT7">
            <v>1231983.98</v>
          </cell>
          <cell r="BU7">
            <v>1024808.86</v>
          </cell>
          <cell r="BV7">
            <v>1030861.18</v>
          </cell>
          <cell r="BW7">
            <v>739476.23</v>
          </cell>
          <cell r="BX7">
            <v>965975.29</v>
          </cell>
          <cell r="BY7">
            <v>712593.60000000056</v>
          </cell>
          <cell r="BZ7">
            <v>1010508.77</v>
          </cell>
          <cell r="CA7">
            <v>887778.20999999903</v>
          </cell>
          <cell r="CB7">
            <v>776154.93</v>
          </cell>
          <cell r="CC7">
            <v>831251.63</v>
          </cell>
          <cell r="CD7">
            <v>727774.83</v>
          </cell>
          <cell r="CE7">
            <v>851871.69</v>
          </cell>
          <cell r="CF7">
            <v>716572.43</v>
          </cell>
          <cell r="CG7">
            <v>631658.77</v>
          </cell>
          <cell r="CH7">
            <v>562042.03</v>
          </cell>
          <cell r="CI7">
            <v>622121.65</v>
          </cell>
          <cell r="CJ7">
            <v>381153.11</v>
          </cell>
          <cell r="CK7">
            <v>614368.34</v>
          </cell>
          <cell r="CL7">
            <v>700153.99</v>
          </cell>
          <cell r="CM7">
            <v>564267.74</v>
          </cell>
          <cell r="CN7">
            <v>687022.88</v>
          </cell>
          <cell r="CO7">
            <v>684876.49</v>
          </cell>
          <cell r="CP7">
            <v>934117.17</v>
          </cell>
          <cell r="CQ7">
            <v>886458.17</v>
          </cell>
          <cell r="CR7">
            <v>734824.73</v>
          </cell>
          <cell r="CS7">
            <v>948545.09</v>
          </cell>
          <cell r="CT7">
            <v>990647.39</v>
          </cell>
          <cell r="CU7">
            <v>826175.74</v>
          </cell>
          <cell r="CV7">
            <v>968284.63</v>
          </cell>
          <cell r="CW7">
            <v>1107860.7</v>
          </cell>
          <cell r="CX7">
            <v>1119879.6000000001</v>
          </cell>
          <cell r="CZ7">
            <v>1119879.6000000001</v>
          </cell>
          <cell r="DA7">
            <v>1040602.3119174999</v>
          </cell>
          <cell r="DB7">
            <v>79277.288082500221</v>
          </cell>
        </row>
        <row r="8">
          <cell r="B8" t="str">
            <v>Stamping Sales - AHIL</v>
          </cell>
          <cell r="AC8">
            <v>237911.14</v>
          </cell>
          <cell r="AD8">
            <v>288881.7</v>
          </cell>
          <cell r="AE8">
            <v>352718.18</v>
          </cell>
          <cell r="AF8">
            <v>62095.14</v>
          </cell>
          <cell r="AG8">
            <v>136135.07999999999</v>
          </cell>
          <cell r="AH8">
            <v>243105.55</v>
          </cell>
          <cell r="AI8">
            <v>330311.38</v>
          </cell>
          <cell r="AJ8">
            <v>472417.02</v>
          </cell>
          <cell r="AK8">
            <v>582185.81000000006</v>
          </cell>
          <cell r="AL8">
            <v>719517.23</v>
          </cell>
          <cell r="AM8">
            <v>774683.93</v>
          </cell>
          <cell r="AN8">
            <v>884203.63</v>
          </cell>
          <cell r="AO8">
            <v>929920.03</v>
          </cell>
          <cell r="AP8">
            <v>987738.89</v>
          </cell>
          <cell r="AQ8">
            <v>1029223.31</v>
          </cell>
          <cell r="AR8">
            <v>37431.800000000003</v>
          </cell>
          <cell r="AS8">
            <v>53918.14</v>
          </cell>
          <cell r="AT8">
            <v>80222.009999999995</v>
          </cell>
          <cell r="AU8">
            <v>120522.97</v>
          </cell>
          <cell r="AV8">
            <v>158901.85999999999</v>
          </cell>
          <cell r="AW8">
            <v>196103.48</v>
          </cell>
          <cell r="AX8">
            <v>220821.7</v>
          </cell>
          <cell r="AY8">
            <v>233902.94</v>
          </cell>
          <cell r="AZ8">
            <v>251462.88</v>
          </cell>
          <cell r="BA8">
            <v>260520.27</v>
          </cell>
          <cell r="BB8">
            <v>260520.27</v>
          </cell>
          <cell r="BC8">
            <v>233902.94</v>
          </cell>
          <cell r="BD8">
            <v>26617.33</v>
          </cell>
          <cell r="BZ8">
            <v>86571.44</v>
          </cell>
          <cell r="CA8">
            <v>50970.559999999998</v>
          </cell>
          <cell r="CB8">
            <v>63836.480000000003</v>
          </cell>
          <cell r="CC8">
            <v>62095.14</v>
          </cell>
          <cell r="CD8">
            <v>74039.94</v>
          </cell>
          <cell r="CE8">
            <v>106970.47</v>
          </cell>
          <cell r="CF8">
            <v>87205.83</v>
          </cell>
          <cell r="CG8">
            <v>142105.64000000001</v>
          </cell>
          <cell r="CH8">
            <v>109768.79</v>
          </cell>
          <cell r="CI8">
            <v>137331.42000000001</v>
          </cell>
          <cell r="CJ8">
            <v>55166.70000000007</v>
          </cell>
          <cell r="CK8">
            <v>109519.7</v>
          </cell>
          <cell r="CL8">
            <v>45716.4</v>
          </cell>
          <cell r="CM8">
            <v>57818.86</v>
          </cell>
          <cell r="CN8">
            <v>41484.42</v>
          </cell>
          <cell r="CO8">
            <v>37431.800000000003</v>
          </cell>
          <cell r="CP8">
            <v>16486.34</v>
          </cell>
          <cell r="CQ8">
            <v>26303.87</v>
          </cell>
          <cell r="CR8">
            <v>40300.959999999999</v>
          </cell>
          <cell r="CS8">
            <v>38378.89</v>
          </cell>
          <cell r="CT8">
            <v>37201.620000000003</v>
          </cell>
          <cell r="CU8">
            <v>24718.22</v>
          </cell>
          <cell r="CV8">
            <v>13081.24</v>
          </cell>
          <cell r="CW8">
            <v>17559.939999999999</v>
          </cell>
          <cell r="CX8">
            <v>9057.3899999999849</v>
          </cell>
          <cell r="CZ8">
            <v>9057.3899999999849</v>
          </cell>
          <cell r="DA8">
            <v>0</v>
          </cell>
          <cell r="DB8">
            <v>9057.3899999999849</v>
          </cell>
        </row>
        <row r="9">
          <cell r="B9" t="str">
            <v>Scrap Sales</v>
          </cell>
          <cell r="C9">
            <v>0</v>
          </cell>
          <cell r="D9">
            <v>7331.22</v>
          </cell>
          <cell r="E9">
            <v>26887.02</v>
          </cell>
          <cell r="G9">
            <v>26887.02</v>
          </cell>
          <cell r="H9">
            <v>14356.02</v>
          </cell>
          <cell r="I9">
            <v>32528.93</v>
          </cell>
          <cell r="K9">
            <v>32528.93</v>
          </cell>
          <cell r="L9">
            <v>10162.469999999999</v>
          </cell>
          <cell r="M9">
            <v>59829.58</v>
          </cell>
          <cell r="N9">
            <v>71777.53</v>
          </cell>
          <cell r="O9">
            <v>80284.05</v>
          </cell>
          <cell r="P9">
            <v>88224.95</v>
          </cell>
          <cell r="Q9">
            <v>98283.87</v>
          </cell>
          <cell r="R9">
            <v>104965.27</v>
          </cell>
          <cell r="S9">
            <v>114578.79</v>
          </cell>
          <cell r="T9">
            <v>14164.42</v>
          </cell>
          <cell r="U9">
            <v>30579.33</v>
          </cell>
          <cell r="V9">
            <v>53183.22</v>
          </cell>
          <cell r="W9">
            <v>83133.570000000007</v>
          </cell>
          <cell r="X9">
            <v>107239.62</v>
          </cell>
          <cell r="Y9">
            <v>132920.1</v>
          </cell>
          <cell r="Z9">
            <v>148815.28</v>
          </cell>
          <cell r="AA9">
            <v>176050.39</v>
          </cell>
          <cell r="AB9">
            <v>196756.15</v>
          </cell>
          <cell r="AC9">
            <v>219941.22</v>
          </cell>
          <cell r="AD9">
            <v>250122.2</v>
          </cell>
          <cell r="AE9">
            <v>272728.62</v>
          </cell>
          <cell r="AF9">
            <v>27030.55</v>
          </cell>
          <cell r="AG9">
            <v>51172.86</v>
          </cell>
          <cell r="AH9">
            <v>81307.64</v>
          </cell>
          <cell r="AI9">
            <v>111190.16</v>
          </cell>
          <cell r="AJ9">
            <v>137590.25</v>
          </cell>
          <cell r="AK9">
            <v>156331.81</v>
          </cell>
          <cell r="AL9">
            <v>182408.64</v>
          </cell>
          <cell r="AM9">
            <v>191237.48</v>
          </cell>
          <cell r="AN9">
            <v>211049.32</v>
          </cell>
          <cell r="AO9">
            <v>234028.23</v>
          </cell>
          <cell r="AP9">
            <v>252464.75</v>
          </cell>
          <cell r="AQ9">
            <v>272956.15999999997</v>
          </cell>
          <cell r="AR9">
            <v>21478.27</v>
          </cell>
          <cell r="AS9">
            <v>52274.68</v>
          </cell>
          <cell r="AT9">
            <v>80281.460000000006</v>
          </cell>
          <cell r="AU9">
            <v>111599.66</v>
          </cell>
          <cell r="AV9">
            <v>147810.87</v>
          </cell>
          <cell r="AW9">
            <v>176949.52</v>
          </cell>
          <cell r="AX9">
            <v>199133.01</v>
          </cell>
          <cell r="AY9">
            <v>224807.71</v>
          </cell>
          <cell r="AZ9">
            <v>261502.13</v>
          </cell>
          <cell r="BA9">
            <v>296902.34000000003</v>
          </cell>
          <cell r="BB9">
            <v>296902.34000000003</v>
          </cell>
          <cell r="BC9">
            <v>293851.04455855</v>
          </cell>
          <cell r="BD9">
            <v>3051.2954414500273</v>
          </cell>
          <cell r="BE9">
            <v>0</v>
          </cell>
          <cell r="BF9">
            <v>-2443.7199999999998</v>
          </cell>
          <cell r="BG9">
            <v>2449.64</v>
          </cell>
          <cell r="BH9">
            <v>2392.67</v>
          </cell>
          <cell r="BI9">
            <v>5013.22</v>
          </cell>
          <cell r="BJ9">
            <v>12251.05</v>
          </cell>
          <cell r="BK9">
            <v>11947.95</v>
          </cell>
          <cell r="BL9">
            <v>8506.52</v>
          </cell>
          <cell r="BM9">
            <v>7940.8999999999942</v>
          </cell>
          <cell r="BN9">
            <v>10058.92</v>
          </cell>
          <cell r="BO9">
            <v>6681.4000000000087</v>
          </cell>
          <cell r="BP9">
            <v>9613.5199999999895</v>
          </cell>
          <cell r="BQ9">
            <v>14164.42</v>
          </cell>
          <cell r="BR9">
            <v>16414.91</v>
          </cell>
          <cell r="BS9">
            <v>22603.89</v>
          </cell>
          <cell r="BT9">
            <v>29950.35</v>
          </cell>
          <cell r="BU9">
            <v>24106.05</v>
          </cell>
          <cell r="BV9">
            <v>25680.48</v>
          </cell>
          <cell r="BW9">
            <v>15895.18</v>
          </cell>
          <cell r="BX9">
            <v>27235.11</v>
          </cell>
          <cell r="BY9">
            <v>20705.759999999998</v>
          </cell>
          <cell r="BZ9">
            <v>23185.07</v>
          </cell>
          <cell r="CA9">
            <v>30180.98</v>
          </cell>
          <cell r="CB9">
            <v>22606.42</v>
          </cell>
          <cell r="CC9">
            <v>27030.55</v>
          </cell>
          <cell r="CD9">
            <v>24142.31</v>
          </cell>
          <cell r="CE9">
            <v>30134.78</v>
          </cell>
          <cell r="CF9">
            <v>29882.52</v>
          </cell>
          <cell r="CG9">
            <v>26400.09</v>
          </cell>
          <cell r="CH9">
            <v>18741.560000000001</v>
          </cell>
          <cell r="CI9">
            <v>26076.83</v>
          </cell>
          <cell r="CJ9">
            <v>8828.84</v>
          </cell>
          <cell r="CK9">
            <v>19811.84</v>
          </cell>
          <cell r="CL9">
            <v>22978.91</v>
          </cell>
          <cell r="CM9">
            <v>18436.52</v>
          </cell>
          <cell r="CN9">
            <v>20491.41</v>
          </cell>
          <cell r="CO9">
            <v>21478.27</v>
          </cell>
          <cell r="CP9">
            <v>30796.41</v>
          </cell>
          <cell r="CQ9">
            <v>28006.78</v>
          </cell>
          <cell r="CR9">
            <v>31318.2</v>
          </cell>
          <cell r="CS9">
            <v>36211.21</v>
          </cell>
          <cell r="CT9">
            <v>29138.65</v>
          </cell>
          <cell r="CU9">
            <v>22183.49</v>
          </cell>
          <cell r="CV9">
            <v>25674.7</v>
          </cell>
          <cell r="CW9">
            <v>36694.42</v>
          </cell>
          <cell r="CX9">
            <v>35400.21</v>
          </cell>
          <cell r="CZ9">
            <v>35400.21</v>
          </cell>
          <cell r="DA9">
            <v>36147.238203449997</v>
          </cell>
          <cell r="DB9">
            <v>-747.02820344997599</v>
          </cell>
        </row>
        <row r="10">
          <cell r="B10" t="str">
            <v>Tooling Sales - AHIL</v>
          </cell>
          <cell r="AC10">
            <v>7709.85</v>
          </cell>
          <cell r="AD10">
            <v>7709.85</v>
          </cell>
          <cell r="AE10">
            <v>7709.85</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23427.66</v>
          </cell>
          <cell r="AW10">
            <v>37068.129999999997</v>
          </cell>
          <cell r="AX10">
            <v>37725.75</v>
          </cell>
          <cell r="AY10">
            <v>38042.44</v>
          </cell>
          <cell r="AZ10">
            <v>42058.38</v>
          </cell>
          <cell r="BA10">
            <v>42469.71</v>
          </cell>
          <cell r="BB10">
            <v>42469.71</v>
          </cell>
          <cell r="BC10">
            <v>0</v>
          </cell>
          <cell r="BD10">
            <v>42469.71</v>
          </cell>
          <cell r="BZ10">
            <v>7709.85</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23427.66</v>
          </cell>
          <cell r="CT10">
            <v>13640.47</v>
          </cell>
          <cell r="CU10">
            <v>657.62000000000262</v>
          </cell>
          <cell r="CV10">
            <v>316.69000000000233</v>
          </cell>
          <cell r="CW10">
            <v>4015.94</v>
          </cell>
          <cell r="CX10">
            <v>411.33000000000175</v>
          </cell>
          <cell r="CZ10">
            <v>411.33000000000175</v>
          </cell>
          <cell r="DA10">
            <v>0</v>
          </cell>
          <cell r="DB10">
            <v>411.33000000000175</v>
          </cell>
        </row>
        <row r="11">
          <cell r="B11" t="str">
            <v>Tooling Sales</v>
          </cell>
          <cell r="C11">
            <v>0</v>
          </cell>
          <cell r="D11">
            <v>221480</v>
          </cell>
          <cell r="E11">
            <v>275590</v>
          </cell>
          <cell r="G11">
            <v>275590</v>
          </cell>
          <cell r="H11">
            <v>81391.75</v>
          </cell>
          <cell r="I11">
            <v>523425.75</v>
          </cell>
          <cell r="K11">
            <v>523425.75</v>
          </cell>
          <cell r="L11">
            <v>130959.5</v>
          </cell>
          <cell r="M11">
            <v>440317</v>
          </cell>
          <cell r="N11">
            <v>481542</v>
          </cell>
          <cell r="O11">
            <v>496969.5</v>
          </cell>
          <cell r="P11">
            <v>648227</v>
          </cell>
          <cell r="Q11">
            <v>698007</v>
          </cell>
          <cell r="R11">
            <v>774007</v>
          </cell>
          <cell r="S11">
            <v>849671.75</v>
          </cell>
          <cell r="T11">
            <v>154660</v>
          </cell>
          <cell r="U11">
            <v>254885</v>
          </cell>
          <cell r="V11">
            <v>310460</v>
          </cell>
          <cell r="W11">
            <v>310460</v>
          </cell>
          <cell r="X11">
            <v>521255.5</v>
          </cell>
          <cell r="Y11">
            <v>957468.9</v>
          </cell>
          <cell r="Z11">
            <v>980268.9</v>
          </cell>
          <cell r="AA11">
            <v>984638.9</v>
          </cell>
          <cell r="AB11">
            <v>1062681.3999999999</v>
          </cell>
          <cell r="AC11">
            <v>1201048.8999999999</v>
          </cell>
          <cell r="AD11">
            <v>1244273.8999999999</v>
          </cell>
          <cell r="AE11">
            <v>1345562.9</v>
          </cell>
          <cell r="AF11">
            <v>190</v>
          </cell>
          <cell r="AG11">
            <v>22800</v>
          </cell>
          <cell r="AH11">
            <v>213232.25</v>
          </cell>
          <cell r="AI11">
            <v>523568.75</v>
          </cell>
          <cell r="AJ11">
            <v>681777</v>
          </cell>
          <cell r="AK11">
            <v>743527</v>
          </cell>
          <cell r="AL11">
            <v>924141</v>
          </cell>
          <cell r="AM11">
            <v>1024326.6</v>
          </cell>
          <cell r="AN11">
            <v>1172099.1000000001</v>
          </cell>
          <cell r="AO11">
            <v>1343289.1</v>
          </cell>
          <cell r="AP11">
            <v>1371789.1</v>
          </cell>
          <cell r="AQ11">
            <v>1426984.1</v>
          </cell>
          <cell r="AR11">
            <v>165062.5</v>
          </cell>
          <cell r="AS11">
            <v>198882.5</v>
          </cell>
          <cell r="AT11">
            <v>303952.5</v>
          </cell>
          <cell r="AU11">
            <v>370452.5</v>
          </cell>
          <cell r="AV11">
            <v>546005.65</v>
          </cell>
          <cell r="AW11">
            <v>702442.15</v>
          </cell>
          <cell r="AX11">
            <v>768927.9</v>
          </cell>
          <cell r="AY11">
            <v>877370.4</v>
          </cell>
          <cell r="AZ11">
            <v>951945.4</v>
          </cell>
          <cell r="BA11">
            <v>977001.4</v>
          </cell>
          <cell r="BB11">
            <v>977001.4</v>
          </cell>
          <cell r="BC11">
            <v>1152989.2</v>
          </cell>
          <cell r="BD11">
            <v>-175987.8</v>
          </cell>
          <cell r="BE11">
            <v>0</v>
          </cell>
          <cell r="BF11">
            <v>0</v>
          </cell>
          <cell r="BG11">
            <v>6860</v>
          </cell>
          <cell r="BH11">
            <v>73502.75</v>
          </cell>
          <cell r="BI11">
            <v>97750</v>
          </cell>
          <cell r="BJ11">
            <v>54230</v>
          </cell>
          <cell r="BK11">
            <v>41225</v>
          </cell>
          <cell r="BL11">
            <v>15427.5</v>
          </cell>
          <cell r="BM11">
            <v>151257.5</v>
          </cell>
          <cell r="BN11">
            <v>49780</v>
          </cell>
          <cell r="BO11">
            <v>76000</v>
          </cell>
          <cell r="BP11">
            <v>75664.75</v>
          </cell>
          <cell r="BQ11">
            <v>154660</v>
          </cell>
          <cell r="BR11">
            <v>100225</v>
          </cell>
          <cell r="BS11">
            <v>55575</v>
          </cell>
          <cell r="BT11">
            <v>0</v>
          </cell>
          <cell r="BU11">
            <v>210795.5</v>
          </cell>
          <cell r="BV11">
            <v>436213.4</v>
          </cell>
          <cell r="BW11">
            <v>22800</v>
          </cell>
          <cell r="BX11">
            <v>4370</v>
          </cell>
          <cell r="BY11">
            <v>78042.499999999884</v>
          </cell>
          <cell r="BZ11">
            <v>138367.5</v>
          </cell>
          <cell r="CA11">
            <v>43225</v>
          </cell>
          <cell r="CB11">
            <v>101289</v>
          </cell>
          <cell r="CC11">
            <v>190</v>
          </cell>
          <cell r="CD11">
            <v>22610</v>
          </cell>
          <cell r="CE11">
            <v>190432.25</v>
          </cell>
          <cell r="CF11">
            <v>310336.5</v>
          </cell>
          <cell r="CG11">
            <v>158208.25</v>
          </cell>
          <cell r="CH11">
            <v>61750</v>
          </cell>
          <cell r="CI11">
            <v>180614</v>
          </cell>
          <cell r="CJ11">
            <v>100185.60000000001</v>
          </cell>
          <cell r="CK11">
            <v>147772.5</v>
          </cell>
          <cell r="CL11">
            <v>171190</v>
          </cell>
          <cell r="CM11">
            <v>28500</v>
          </cell>
          <cell r="CN11">
            <v>55195</v>
          </cell>
          <cell r="CO11">
            <v>165062.5</v>
          </cell>
          <cell r="CP11">
            <v>33820</v>
          </cell>
          <cell r="CQ11">
            <v>105070</v>
          </cell>
          <cell r="CR11">
            <v>66500</v>
          </cell>
          <cell r="CS11">
            <v>175553.15</v>
          </cell>
          <cell r="CT11">
            <v>156436.5</v>
          </cell>
          <cell r="CU11">
            <v>66485.75</v>
          </cell>
          <cell r="CV11">
            <v>108442.5</v>
          </cell>
          <cell r="CW11">
            <v>74575</v>
          </cell>
          <cell r="CX11">
            <v>25056</v>
          </cell>
          <cell r="CZ11">
            <v>25056</v>
          </cell>
          <cell r="DA11">
            <v>138217.78</v>
          </cell>
          <cell r="DB11">
            <v>-113161.78</v>
          </cell>
        </row>
        <row r="12">
          <cell r="B12" t="str">
            <v>Total Turnover</v>
          </cell>
          <cell r="C12">
            <v>0</v>
          </cell>
          <cell r="D12">
            <v>1152399.94</v>
          </cell>
          <cell r="E12">
            <v>2227677.1</v>
          </cell>
          <cell r="F12">
            <v>0</v>
          </cell>
          <cell r="G12">
            <v>2227677.1</v>
          </cell>
          <cell r="H12">
            <v>2248352.87</v>
          </cell>
          <cell r="I12">
            <v>6455486.6200000001</v>
          </cell>
          <cell r="J12">
            <v>0</v>
          </cell>
          <cell r="K12">
            <v>6455486.6200000001</v>
          </cell>
          <cell r="L12">
            <v>762969.05</v>
          </cell>
          <cell r="M12">
            <v>4150079.34</v>
          </cell>
          <cell r="N12">
            <v>5083397.08</v>
          </cell>
          <cell r="O12">
            <v>5627737.2699999996</v>
          </cell>
          <cell r="P12">
            <v>6346742.79</v>
          </cell>
          <cell r="Q12">
            <v>7005000.2000000002</v>
          </cell>
          <cell r="R12">
            <v>7498391.25</v>
          </cell>
          <cell r="S12">
            <v>8078000.9500000002</v>
          </cell>
          <cell r="T12">
            <v>798005.68</v>
          </cell>
          <cell r="U12">
            <v>1641924.85</v>
          </cell>
          <cell r="V12">
            <v>2589113.73</v>
          </cell>
          <cell r="W12">
            <v>3851048.06</v>
          </cell>
          <cell r="X12">
            <v>5110758.47</v>
          </cell>
          <cell r="Y12">
            <v>6603513.5300000003</v>
          </cell>
          <cell r="Z12">
            <v>7381684.9400000004</v>
          </cell>
          <cell r="AA12">
            <v>8379265.3399999999</v>
          </cell>
          <cell r="AB12">
            <v>9190607.2000000011</v>
          </cell>
          <cell r="AC12">
            <v>10456949.830000002</v>
          </cell>
          <cell r="AD12">
            <v>11469104.579999998</v>
          </cell>
          <cell r="AE12">
            <v>12432991.409999998</v>
          </cell>
          <cell r="AF12">
            <v>920567.32</v>
          </cell>
          <cell r="AG12">
            <v>1769134.4</v>
          </cell>
          <cell r="AH12">
            <v>2948543.59</v>
          </cell>
          <cell r="AI12">
            <v>4092540.87</v>
          </cell>
          <cell r="AJ12">
            <v>5050913.62</v>
          </cell>
          <cell r="AK12">
            <v>5803215.9999999991</v>
          </cell>
          <cell r="AL12">
            <v>6769359.8999999994</v>
          </cell>
          <cell r="AM12">
            <v>7314694.1500000004</v>
          </cell>
          <cell r="AN12">
            <v>8206166.5299999993</v>
          </cell>
          <cell r="AO12">
            <v>9146205.8300000001</v>
          </cell>
          <cell r="AP12">
            <v>9815228.9499999993</v>
          </cell>
          <cell r="AQ12">
            <v>10619422.66</v>
          </cell>
          <cell r="AR12">
            <v>908849.06</v>
          </cell>
          <cell r="AS12">
            <v>1924068.98</v>
          </cell>
          <cell r="AT12">
            <v>2969907.8</v>
          </cell>
          <cell r="AU12">
            <v>3842851.69</v>
          </cell>
          <cell r="AV12">
            <v>5064967.6900000004</v>
          </cell>
          <cell r="AW12">
            <v>6292032.3200000003</v>
          </cell>
          <cell r="AX12">
            <v>7232253.1400000006</v>
          </cell>
          <cell r="AY12">
            <v>8348052.9000000013</v>
          </cell>
          <cell r="AZ12">
            <v>9588758.9000000022</v>
          </cell>
          <cell r="BA12">
            <v>10778563.430000002</v>
          </cell>
          <cell r="BB12">
            <v>10778563.430000002</v>
          </cell>
          <cell r="BC12">
            <v>10681734.80094105</v>
          </cell>
          <cell r="BD12">
            <v>136279.68905895139</v>
          </cell>
          <cell r="BE12">
            <v>0</v>
          </cell>
          <cell r="BF12">
            <v>103079.76</v>
          </cell>
          <cell r="BG12">
            <v>238629.62</v>
          </cell>
          <cell r="BH12">
            <v>785284.73</v>
          </cell>
          <cell r="BI12">
            <v>871412.61000000057</v>
          </cell>
          <cell r="BJ12">
            <v>683933.02</v>
          </cell>
          <cell r="BK12">
            <v>933317.74</v>
          </cell>
          <cell r="BL12">
            <v>544340.18999999994</v>
          </cell>
          <cell r="BM12">
            <v>719005.52</v>
          </cell>
          <cell r="BN12">
            <v>658257.41</v>
          </cell>
          <cell r="BO12">
            <v>493391.05</v>
          </cell>
          <cell r="BP12">
            <v>579609.69999999995</v>
          </cell>
          <cell r="BQ12">
            <v>798005.68</v>
          </cell>
          <cell r="BR12">
            <v>843919.17</v>
          </cell>
          <cell r="BS12">
            <v>947188.88</v>
          </cell>
          <cell r="BT12">
            <v>1261934.33</v>
          </cell>
          <cell r="BU12">
            <v>1259710.4099999999</v>
          </cell>
          <cell r="BV12">
            <v>1492755.06</v>
          </cell>
          <cell r="BW12">
            <v>778171.41</v>
          </cell>
          <cell r="BX12">
            <v>997580.4</v>
          </cell>
          <cell r="BY12">
            <v>811341.86</v>
          </cell>
          <cell r="BZ12">
            <v>1266342.6299999999</v>
          </cell>
          <cell r="CA12">
            <v>1012154.75</v>
          </cell>
          <cell r="CB12">
            <v>963886.83</v>
          </cell>
          <cell r="CC12">
            <v>920567.32</v>
          </cell>
          <cell r="CD12">
            <v>848567.08</v>
          </cell>
          <cell r="CE12">
            <v>1179409.19</v>
          </cell>
          <cell r="CF12">
            <v>1143997.28</v>
          </cell>
          <cell r="CG12">
            <v>958372.75</v>
          </cell>
          <cell r="CH12">
            <v>752302.38</v>
          </cell>
          <cell r="CI12">
            <v>966143.9</v>
          </cell>
          <cell r="CJ12">
            <v>545334.25</v>
          </cell>
          <cell r="CK12">
            <v>891472.38</v>
          </cell>
          <cell r="CL12">
            <v>940039.3</v>
          </cell>
          <cell r="CM12">
            <v>669023.12</v>
          </cell>
          <cell r="CN12">
            <v>804193.71</v>
          </cell>
          <cell r="CO12">
            <v>908849.06</v>
          </cell>
          <cell r="CP12">
            <v>1015219.92</v>
          </cell>
          <cell r="CQ12">
            <v>1045838.82</v>
          </cell>
          <cell r="CR12">
            <v>872943.89</v>
          </cell>
          <cell r="CS12">
            <v>1222116</v>
          </cell>
          <cell r="CT12">
            <v>1227064.6299999999</v>
          </cell>
          <cell r="CU12">
            <v>940220.82</v>
          </cell>
          <cell r="CV12">
            <v>1115799.76</v>
          </cell>
          <cell r="CW12">
            <v>1240706</v>
          </cell>
          <cell r="CX12">
            <v>1189804.53</v>
          </cell>
          <cell r="CZ12">
            <v>1189804.53</v>
          </cell>
          <cell r="DA12">
            <v>1214967.33012095</v>
          </cell>
          <cell r="DB12">
            <v>-25162.800120949978</v>
          </cell>
        </row>
        <row r="13">
          <cell r="G13">
            <v>0</v>
          </cell>
          <cell r="K13">
            <v>0</v>
          </cell>
          <cell r="BC13">
            <v>0</v>
          </cell>
          <cell r="BD13">
            <v>0</v>
          </cell>
          <cell r="DA13">
            <v>0</v>
          </cell>
          <cell r="DB13">
            <v>0</v>
          </cell>
        </row>
        <row r="14">
          <cell r="B14" t="str">
            <v>Cost of Goods Sold</v>
          </cell>
          <cell r="G14">
            <v>0</v>
          </cell>
          <cell r="K14">
            <v>0</v>
          </cell>
          <cell r="BC14">
            <v>0</v>
          </cell>
          <cell r="BD14">
            <v>0</v>
          </cell>
          <cell r="DA14">
            <v>0</v>
          </cell>
          <cell r="DB14">
            <v>0</v>
          </cell>
        </row>
        <row r="15">
          <cell r="B15" t="str">
            <v>Opening Stock - FG</v>
          </cell>
          <cell r="C15">
            <v>0</v>
          </cell>
          <cell r="D15">
            <v>20797</v>
          </cell>
          <cell r="E15">
            <v>20797</v>
          </cell>
          <cell r="G15">
            <v>20797</v>
          </cell>
          <cell r="H15">
            <v>35768.639999999999</v>
          </cell>
          <cell r="I15">
            <v>35768.639999999999</v>
          </cell>
          <cell r="K15">
            <v>35768.639999999999</v>
          </cell>
          <cell r="L15">
            <v>67927.87</v>
          </cell>
          <cell r="M15">
            <v>67927.87</v>
          </cell>
          <cell r="N15">
            <v>67927.87</v>
          </cell>
          <cell r="O15">
            <v>67927.87</v>
          </cell>
          <cell r="P15">
            <v>67927.87</v>
          </cell>
          <cell r="Q15">
            <v>67927.87</v>
          </cell>
          <cell r="R15">
            <v>67927.87</v>
          </cell>
          <cell r="S15">
            <v>67927.87</v>
          </cell>
          <cell r="T15">
            <v>266049.14</v>
          </cell>
          <cell r="U15">
            <v>266049.14</v>
          </cell>
          <cell r="V15">
            <v>266049.14</v>
          </cell>
          <cell r="W15">
            <v>266049.14</v>
          </cell>
          <cell r="X15">
            <v>266049.14</v>
          </cell>
          <cell r="Y15">
            <v>266049.14</v>
          </cell>
          <cell r="Z15">
            <v>266049.14</v>
          </cell>
          <cell r="AA15">
            <v>266049.14</v>
          </cell>
          <cell r="AB15">
            <v>266049.14</v>
          </cell>
          <cell r="AC15">
            <v>266049.14</v>
          </cell>
          <cell r="AD15">
            <v>266049.14</v>
          </cell>
          <cell r="AE15">
            <v>266049.14</v>
          </cell>
          <cell r="AF15">
            <v>389965.63</v>
          </cell>
          <cell r="AG15">
            <v>389965.63</v>
          </cell>
          <cell r="AH15">
            <v>389965.63</v>
          </cell>
          <cell r="AI15">
            <v>389965.63</v>
          </cell>
          <cell r="AJ15">
            <v>389965.63</v>
          </cell>
          <cell r="AK15">
            <v>389965.63</v>
          </cell>
          <cell r="AL15">
            <v>389965.63</v>
          </cell>
          <cell r="AM15">
            <v>389965.63</v>
          </cell>
          <cell r="AN15">
            <v>389965.63</v>
          </cell>
          <cell r="AO15">
            <v>389965.63</v>
          </cell>
          <cell r="AP15">
            <v>389965.63</v>
          </cell>
          <cell r="AQ15">
            <v>389965.63</v>
          </cell>
          <cell r="AR15">
            <v>443306.79</v>
          </cell>
          <cell r="AS15">
            <v>443306.79</v>
          </cell>
          <cell r="AT15">
            <v>443306.79</v>
          </cell>
          <cell r="AU15">
            <v>443306.79</v>
          </cell>
          <cell r="AV15">
            <v>443306.79</v>
          </cell>
          <cell r="AW15">
            <v>443306.79</v>
          </cell>
          <cell r="AX15">
            <v>443306.79</v>
          </cell>
          <cell r="AY15">
            <v>443306.79</v>
          </cell>
          <cell r="AZ15">
            <v>443306.79</v>
          </cell>
          <cell r="BA15">
            <v>443306.79</v>
          </cell>
          <cell r="BB15">
            <v>443306.79</v>
          </cell>
          <cell r="BC15">
            <v>3719474.24</v>
          </cell>
          <cell r="BD15">
            <v>-3276167.45</v>
          </cell>
          <cell r="BE15">
            <v>16935.07</v>
          </cell>
          <cell r="BF15">
            <v>14047.97</v>
          </cell>
          <cell r="BG15">
            <v>24701.439999999999</v>
          </cell>
          <cell r="BH15">
            <v>37747.9</v>
          </cell>
          <cell r="BI15">
            <v>44941.75</v>
          </cell>
          <cell r="BJ15">
            <v>117343.34</v>
          </cell>
          <cell r="BK15">
            <v>154833.57</v>
          </cell>
          <cell r="BL15">
            <v>110802.33</v>
          </cell>
          <cell r="BM15">
            <v>137978.73000000001</v>
          </cell>
          <cell r="BN15">
            <v>119915.29</v>
          </cell>
          <cell r="BO15">
            <v>106953.13</v>
          </cell>
          <cell r="BP15">
            <v>252633.02</v>
          </cell>
          <cell r="BQ15">
            <v>266049.14</v>
          </cell>
          <cell r="BR15">
            <v>232718.03</v>
          </cell>
          <cell r="BS15">
            <v>244164.42</v>
          </cell>
          <cell r="BT15">
            <v>319673.93</v>
          </cell>
          <cell r="BU15">
            <v>449398.26</v>
          </cell>
          <cell r="BV15">
            <v>411814.45</v>
          </cell>
          <cell r="BW15">
            <v>296704.57</v>
          </cell>
          <cell r="BX15">
            <v>297599.21000000002</v>
          </cell>
          <cell r="BY15">
            <v>327277.03999999998</v>
          </cell>
          <cell r="BZ15">
            <v>348593.57</v>
          </cell>
          <cell r="CA15">
            <v>319711.06</v>
          </cell>
          <cell r="CB15">
            <v>316902.78000000003</v>
          </cell>
          <cell r="CC15">
            <v>389965.63</v>
          </cell>
          <cell r="CD15">
            <v>435729.54</v>
          </cell>
          <cell r="CE15">
            <v>500651.43</v>
          </cell>
          <cell r="CF15">
            <v>463258.33</v>
          </cell>
          <cell r="CG15">
            <v>338724.66</v>
          </cell>
          <cell r="CH15">
            <v>349002.35</v>
          </cell>
          <cell r="CI15">
            <v>388652.49</v>
          </cell>
          <cell r="CJ15">
            <v>463718.95</v>
          </cell>
          <cell r="CK15">
            <v>455071.85</v>
          </cell>
          <cell r="CL15">
            <v>386710.28</v>
          </cell>
          <cell r="CM15">
            <v>326022.13</v>
          </cell>
          <cell r="CN15">
            <v>405206.66</v>
          </cell>
          <cell r="CO15">
            <v>443306.79</v>
          </cell>
          <cell r="CP15">
            <v>393199.21</v>
          </cell>
          <cell r="CQ15">
            <v>422204.59</v>
          </cell>
          <cell r="CR15">
            <v>394432.18</v>
          </cell>
          <cell r="CS15">
            <v>425468.77</v>
          </cell>
          <cell r="CT15">
            <v>397325.08</v>
          </cell>
          <cell r="CU15">
            <v>320089.40000000002</v>
          </cell>
          <cell r="CV15">
            <v>324980.46000000002</v>
          </cell>
          <cell r="CW15">
            <v>299233.88</v>
          </cell>
          <cell r="CX15">
            <v>299434.13</v>
          </cell>
          <cell r="CZ15">
            <v>299434.13</v>
          </cell>
          <cell r="DA15">
            <v>299233.88</v>
          </cell>
          <cell r="DB15">
            <v>200.25</v>
          </cell>
        </row>
        <row r="16">
          <cell r="B16" t="str">
            <v>Production Cost</v>
          </cell>
          <cell r="C16">
            <v>217019.18</v>
          </cell>
          <cell r="D16">
            <v>1287862</v>
          </cell>
          <cell r="E16">
            <v>2423002.21</v>
          </cell>
          <cell r="F16">
            <v>-96144.53</v>
          </cell>
          <cell r="G16">
            <v>2326857.6800000002</v>
          </cell>
          <cell r="H16">
            <v>1488606.84</v>
          </cell>
          <cell r="I16">
            <v>3559825.3</v>
          </cell>
          <cell r="K16">
            <v>3559825.3</v>
          </cell>
          <cell r="L16">
            <v>433160.51</v>
          </cell>
          <cell r="M16">
            <v>2356254.2799999998</v>
          </cell>
          <cell r="N16">
            <v>2790807.76</v>
          </cell>
          <cell r="O16">
            <v>3149874.31</v>
          </cell>
          <cell r="P16">
            <v>3565062.65</v>
          </cell>
          <cell r="Q16">
            <v>3951642.13</v>
          </cell>
          <cell r="R16">
            <v>4311922.96</v>
          </cell>
          <cell r="S16">
            <v>4693497.3600000003</v>
          </cell>
          <cell r="T16">
            <v>517243.69</v>
          </cell>
          <cell r="U16">
            <v>1036347.5</v>
          </cell>
          <cell r="V16">
            <v>1742501.65</v>
          </cell>
          <cell r="W16">
            <v>2609332.9500000002</v>
          </cell>
          <cell r="X16">
            <v>3475898.01</v>
          </cell>
          <cell r="Y16">
            <v>4318557.07</v>
          </cell>
          <cell r="Z16">
            <v>4913191.4000000004</v>
          </cell>
          <cell r="AA16">
            <v>5635993.3799999999</v>
          </cell>
          <cell r="AB16">
            <v>6321744.4699999988</v>
          </cell>
          <cell r="AC16">
            <v>7065772.5599999987</v>
          </cell>
          <cell r="AD16">
            <v>7773267.5699999984</v>
          </cell>
          <cell r="AE16">
            <v>8493621.7899999972</v>
          </cell>
          <cell r="AF16">
            <v>682997.76000000001</v>
          </cell>
          <cell r="AG16">
            <v>1422589.23</v>
          </cell>
          <cell r="AH16">
            <v>2188796.1800000002</v>
          </cell>
          <cell r="AI16">
            <v>2824355.36</v>
          </cell>
          <cell r="AJ16">
            <v>3553147.49</v>
          </cell>
          <cell r="AK16">
            <v>4168930.78</v>
          </cell>
          <cell r="AL16">
            <v>4839921.59</v>
          </cell>
          <cell r="AM16">
            <v>5273176.57</v>
          </cell>
          <cell r="AN16">
            <v>5921765.0500000007</v>
          </cell>
          <cell r="AO16">
            <v>6576962.7199999988</v>
          </cell>
          <cell r="AP16">
            <v>7195231.620000001</v>
          </cell>
          <cell r="AQ16">
            <v>7778563.3800000008</v>
          </cell>
          <cell r="AR16">
            <v>679601.05</v>
          </cell>
          <cell r="AS16">
            <v>1504124.5</v>
          </cell>
          <cell r="AT16">
            <v>2358027.16</v>
          </cell>
          <cell r="AU16">
            <v>3155687.61</v>
          </cell>
          <cell r="AV16">
            <v>4012399.66</v>
          </cell>
          <cell r="AW16">
            <v>4905946.3499999996</v>
          </cell>
          <cell r="AX16">
            <v>5636160.0500000007</v>
          </cell>
          <cell r="AY16">
            <v>6356843.8800000008</v>
          </cell>
          <cell r="AZ16">
            <v>7222618.1200000001</v>
          </cell>
          <cell r="BA16">
            <v>8100695.4600000009</v>
          </cell>
          <cell r="BB16">
            <v>8100695.4600000009</v>
          </cell>
          <cell r="BC16">
            <v>8179056.73303275</v>
          </cell>
          <cell r="BD16">
            <v>-78361.273032749072</v>
          </cell>
          <cell r="BE16">
            <v>49866.77</v>
          </cell>
          <cell r="BF16">
            <v>184281.3</v>
          </cell>
          <cell r="BG16">
            <v>218259.16</v>
          </cell>
          <cell r="BH16">
            <v>265841.96000000002</v>
          </cell>
          <cell r="BI16">
            <v>428338.85</v>
          </cell>
          <cell r="BJ16">
            <v>544455</v>
          </cell>
          <cell r="BK16">
            <v>556153.48</v>
          </cell>
          <cell r="BL16">
            <v>489706.55</v>
          </cell>
          <cell r="BM16">
            <v>568828.34</v>
          </cell>
          <cell r="BN16">
            <v>502139.48</v>
          </cell>
          <cell r="BO16">
            <v>501200.83</v>
          </cell>
          <cell r="BP16">
            <v>381574.40000000002</v>
          </cell>
          <cell r="BQ16">
            <v>517243.69</v>
          </cell>
          <cell r="BR16">
            <v>519103.81</v>
          </cell>
          <cell r="BS16">
            <v>706154.15</v>
          </cell>
          <cell r="BT16">
            <v>866831.3</v>
          </cell>
          <cell r="BU16">
            <v>866565.06000000122</v>
          </cell>
          <cell r="BV16">
            <v>842659.05999999773</v>
          </cell>
          <cell r="BW16">
            <v>594634.33000000112</v>
          </cell>
          <cell r="BX16">
            <v>722801.98000000068</v>
          </cell>
          <cell r="BY16">
            <v>685751.08999999659</v>
          </cell>
          <cell r="BZ16">
            <v>744028.09</v>
          </cell>
          <cell r="CA16">
            <v>707495.01</v>
          </cell>
          <cell r="CB16">
            <v>720354.21999999916</v>
          </cell>
          <cell r="CC16">
            <v>682997.76000000001</v>
          </cell>
          <cell r="CD16">
            <v>739591.47</v>
          </cell>
          <cell r="CE16">
            <v>766206.95</v>
          </cell>
          <cell r="CF16">
            <v>635559.18000000005</v>
          </cell>
          <cell r="CG16">
            <v>728792.13</v>
          </cell>
          <cell r="CH16">
            <v>615783.29</v>
          </cell>
          <cell r="CI16">
            <v>670990.81000000006</v>
          </cell>
          <cell r="CJ16">
            <v>433254.98</v>
          </cell>
          <cell r="CK16">
            <v>648588.48</v>
          </cell>
          <cell r="CL16">
            <v>655197.67000000004</v>
          </cell>
          <cell r="CM16">
            <v>618268.9</v>
          </cell>
          <cell r="CN16">
            <v>583331.76</v>
          </cell>
          <cell r="CO16">
            <v>679601.05</v>
          </cell>
          <cell r="CP16">
            <v>824523.45</v>
          </cell>
          <cell r="CQ16">
            <v>853902.66</v>
          </cell>
          <cell r="CR16">
            <v>797660.45</v>
          </cell>
          <cell r="CS16">
            <v>856712.05</v>
          </cell>
          <cell r="CT16">
            <v>893546.69</v>
          </cell>
          <cell r="CU16">
            <v>730213.7</v>
          </cell>
          <cell r="CV16">
            <v>720683.83</v>
          </cell>
          <cell r="CW16">
            <v>865774.24</v>
          </cell>
          <cell r="CX16">
            <v>878077.34</v>
          </cell>
          <cell r="CZ16">
            <v>878077.34</v>
          </cell>
          <cell r="DA16">
            <v>938669.82559153624</v>
          </cell>
          <cell r="DB16">
            <v>-60592.485591536388</v>
          </cell>
        </row>
        <row r="17">
          <cell r="B17" t="str">
            <v>Closing Stock - FG</v>
          </cell>
          <cell r="C17">
            <v>-20796.95</v>
          </cell>
          <cell r="D17">
            <v>-36216.31</v>
          </cell>
          <cell r="E17">
            <v>-35768.639999999999</v>
          </cell>
          <cell r="G17">
            <v>-35768.639999999999</v>
          </cell>
          <cell r="H17">
            <v>-60065.49</v>
          </cell>
          <cell r="I17">
            <v>-67927.87</v>
          </cell>
          <cell r="K17">
            <v>-67927.87</v>
          </cell>
          <cell r="L17">
            <v>-110825.34</v>
          </cell>
          <cell r="M17">
            <v>-276433.57</v>
          </cell>
          <cell r="N17">
            <v>-241442.33</v>
          </cell>
          <cell r="O17">
            <v>-291618.73</v>
          </cell>
          <cell r="P17">
            <v>-235475.29</v>
          </cell>
          <cell r="Q17">
            <v>-247873.13</v>
          </cell>
          <cell r="R17">
            <v>-252633.02</v>
          </cell>
          <cell r="S17">
            <v>-266049.14</v>
          </cell>
          <cell r="T17">
            <v>-232718.03</v>
          </cell>
          <cell r="U17">
            <v>-244164.42</v>
          </cell>
          <cell r="V17">
            <v>-319673.93</v>
          </cell>
          <cell r="W17">
            <v>-449398.26</v>
          </cell>
          <cell r="X17">
            <v>-411814.45</v>
          </cell>
          <cell r="Y17">
            <v>-296704.57</v>
          </cell>
          <cell r="Z17">
            <v>-297599.21000000002</v>
          </cell>
          <cell r="AA17">
            <v>-327277.03999999998</v>
          </cell>
          <cell r="AB17">
            <v>-348593.57</v>
          </cell>
          <cell r="AC17">
            <v>-319711.06</v>
          </cell>
          <cell r="AD17">
            <v>-316902.78000000003</v>
          </cell>
          <cell r="AE17">
            <v>-389965.63</v>
          </cell>
          <cell r="AF17">
            <v>-435729.54</v>
          </cell>
          <cell r="AG17">
            <v>-500651.43</v>
          </cell>
          <cell r="AH17">
            <v>-463258.33</v>
          </cell>
          <cell r="AI17">
            <v>-338724.66</v>
          </cell>
          <cell r="AJ17">
            <v>-349002.35</v>
          </cell>
          <cell r="AK17">
            <v>-388652.49</v>
          </cell>
          <cell r="AL17">
            <v>-463718.95</v>
          </cell>
          <cell r="AM17">
            <v>-455071.85</v>
          </cell>
          <cell r="AN17">
            <v>-386710.28</v>
          </cell>
          <cell r="AO17">
            <v>-326022.13</v>
          </cell>
          <cell r="AP17">
            <v>-405206.66</v>
          </cell>
          <cell r="AQ17">
            <v>-443306.79</v>
          </cell>
          <cell r="AR17">
            <v>-393199.21</v>
          </cell>
          <cell r="AS17">
            <v>-422204.59</v>
          </cell>
          <cell r="AT17">
            <v>-394432.18</v>
          </cell>
          <cell r="AU17">
            <v>-425468.77</v>
          </cell>
          <cell r="AV17">
            <v>-397325.08</v>
          </cell>
          <cell r="AW17">
            <v>-320089.40000000002</v>
          </cell>
          <cell r="AX17">
            <v>-324980.46000000002</v>
          </cell>
          <cell r="AY17">
            <v>-299233.88</v>
          </cell>
          <cell r="AZ17">
            <v>-299434.13</v>
          </cell>
          <cell r="BA17">
            <v>-422595.75</v>
          </cell>
          <cell r="BB17">
            <v>-422595.75</v>
          </cell>
          <cell r="BC17">
            <v>-3575401.33</v>
          </cell>
          <cell r="BD17">
            <v>3152805.58</v>
          </cell>
          <cell r="BE17">
            <v>-20796.95</v>
          </cell>
          <cell r="BF17">
            <v>-36216.31</v>
          </cell>
          <cell r="BG17">
            <v>-35768.639999999999</v>
          </cell>
          <cell r="BH17">
            <v>-60065.49</v>
          </cell>
          <cell r="BI17">
            <v>-67927.87</v>
          </cell>
          <cell r="BJ17">
            <v>-276433.57</v>
          </cell>
          <cell r="BK17">
            <v>-241442.33</v>
          </cell>
          <cell r="BL17">
            <v>-291618.73</v>
          </cell>
          <cell r="BM17">
            <v>-235475.29</v>
          </cell>
          <cell r="BN17">
            <v>-247873.13</v>
          </cell>
          <cell r="BO17">
            <v>-252633.02</v>
          </cell>
          <cell r="BP17">
            <v>-266049.14</v>
          </cell>
          <cell r="BQ17">
            <v>-232718.03</v>
          </cell>
          <cell r="BR17">
            <v>-244164.42</v>
          </cell>
          <cell r="BS17">
            <v>-319673.93</v>
          </cell>
          <cell r="BT17">
            <v>-449398.26</v>
          </cell>
          <cell r="BU17">
            <v>-411814.45</v>
          </cell>
          <cell r="BV17">
            <v>-296704.57</v>
          </cell>
          <cell r="BW17">
            <v>-297599.21000000002</v>
          </cell>
          <cell r="BX17">
            <v>-327277.03999999998</v>
          </cell>
          <cell r="BY17">
            <v>-348593.57</v>
          </cell>
          <cell r="BZ17">
            <v>-319711.06</v>
          </cell>
          <cell r="CA17">
            <v>-316902.78000000003</v>
          </cell>
          <cell r="CB17">
            <v>-389965.63</v>
          </cell>
          <cell r="CC17">
            <v>-435729.54</v>
          </cell>
          <cell r="CD17">
            <v>-500651.43</v>
          </cell>
          <cell r="CE17">
            <v>-463258.33</v>
          </cell>
          <cell r="CF17">
            <v>-338724.66</v>
          </cell>
          <cell r="CG17">
            <v>-349002.35</v>
          </cell>
          <cell r="CH17">
            <v>-388652.49</v>
          </cell>
          <cell r="CI17">
            <v>-463718.95</v>
          </cell>
          <cell r="CJ17">
            <v>-455071.85</v>
          </cell>
          <cell r="CK17">
            <v>-386710.28</v>
          </cell>
          <cell r="CL17">
            <v>-326022.13</v>
          </cell>
          <cell r="CM17">
            <v>-405206.66</v>
          </cell>
          <cell r="CN17">
            <v>-443306.79</v>
          </cell>
          <cell r="CO17">
            <v>-393199.21</v>
          </cell>
          <cell r="CP17">
            <v>-422204.59</v>
          </cell>
          <cell r="CQ17">
            <v>-394432.18</v>
          </cell>
          <cell r="CR17">
            <v>-425468.77</v>
          </cell>
          <cell r="CS17">
            <v>-397325.08</v>
          </cell>
          <cell r="CT17">
            <v>-320089.40000000002</v>
          </cell>
          <cell r="CU17">
            <v>-324980.46000000002</v>
          </cell>
          <cell r="CV17">
            <v>-299233.88</v>
          </cell>
          <cell r="CW17">
            <v>-299434.13</v>
          </cell>
          <cell r="CX17">
            <v>-422595.75</v>
          </cell>
          <cell r="CZ17">
            <v>-422595.75</v>
          </cell>
          <cell r="DA17">
            <v>-299233.88</v>
          </cell>
          <cell r="DB17">
            <v>-123361.87</v>
          </cell>
        </row>
        <row r="18">
          <cell r="C18">
            <v>196222.23</v>
          </cell>
          <cell r="D18">
            <v>1272442.69</v>
          </cell>
          <cell r="E18">
            <v>2408030.5699999998</v>
          </cell>
          <cell r="F18">
            <v>-96144.53</v>
          </cell>
          <cell r="G18">
            <v>2311886.04</v>
          </cell>
          <cell r="H18">
            <v>1464309.99</v>
          </cell>
          <cell r="I18">
            <v>3527666.07</v>
          </cell>
          <cell r="K18">
            <v>3527666.07</v>
          </cell>
          <cell r="L18">
            <v>390263.03999999998</v>
          </cell>
          <cell r="M18">
            <v>2147748.58</v>
          </cell>
          <cell r="N18">
            <v>2617293.2999999998</v>
          </cell>
          <cell r="O18">
            <v>2926183.45</v>
          </cell>
          <cell r="P18">
            <v>3397515.23</v>
          </cell>
          <cell r="Q18">
            <v>3771696.87</v>
          </cell>
          <cell r="R18">
            <v>4127217.81</v>
          </cell>
          <cell r="S18">
            <v>4495376.09</v>
          </cell>
          <cell r="T18">
            <v>550574.80000000005</v>
          </cell>
          <cell r="U18">
            <v>1058232.22</v>
          </cell>
          <cell r="V18">
            <v>1688876.86</v>
          </cell>
          <cell r="W18">
            <v>2425983.83</v>
          </cell>
          <cell r="X18">
            <v>3330132.7</v>
          </cell>
          <cell r="Y18">
            <v>4287901.6399999997</v>
          </cell>
          <cell r="Z18">
            <v>4881641.33</v>
          </cell>
          <cell r="AA18">
            <v>5574765.4799999995</v>
          </cell>
          <cell r="AB18">
            <v>6239200.0399999982</v>
          </cell>
          <cell r="AC18">
            <v>7012110.6399999987</v>
          </cell>
          <cell r="AD18">
            <v>7722413.9299999978</v>
          </cell>
          <cell r="AE18">
            <v>8369705.299999998</v>
          </cell>
          <cell r="AF18">
            <v>637233.85</v>
          </cell>
          <cell r="AG18">
            <v>1311903.43</v>
          </cell>
          <cell r="AH18">
            <v>2115503.48</v>
          </cell>
          <cell r="AI18">
            <v>2875596.33</v>
          </cell>
          <cell r="AJ18">
            <v>3594110.77</v>
          </cell>
          <cell r="AK18">
            <v>4170243.92</v>
          </cell>
          <cell r="AL18">
            <v>4766168.2699999996</v>
          </cell>
          <cell r="AM18">
            <v>5208070.3499999996</v>
          </cell>
          <cell r="AN18">
            <v>5925020.4000000004</v>
          </cell>
          <cell r="AO18">
            <v>6640906.2199999988</v>
          </cell>
          <cell r="AP18">
            <v>7179990.5900000008</v>
          </cell>
          <cell r="AQ18">
            <v>7725222.2200000007</v>
          </cell>
          <cell r="AR18">
            <v>729708.63</v>
          </cell>
          <cell r="AS18">
            <v>1525226.7</v>
          </cell>
          <cell r="AT18">
            <v>2406901.77</v>
          </cell>
          <cell r="AU18">
            <v>3173525.63</v>
          </cell>
          <cell r="AV18">
            <v>4058381.37</v>
          </cell>
          <cell r="AW18">
            <v>5029163.74</v>
          </cell>
          <cell r="AX18">
            <v>5754486.3800000008</v>
          </cell>
          <cell r="AY18">
            <v>6500916.790000001</v>
          </cell>
          <cell r="AZ18">
            <v>7366490.7800000003</v>
          </cell>
          <cell r="BA18">
            <v>8121406.5</v>
          </cell>
          <cell r="BB18">
            <v>8121406.5</v>
          </cell>
          <cell r="BC18">
            <v>8323129.6430327501</v>
          </cell>
          <cell r="BD18">
            <v>-201723.14303275011</v>
          </cell>
          <cell r="BE18">
            <v>46004.89</v>
          </cell>
          <cell r="BF18">
            <v>162112.95999999999</v>
          </cell>
          <cell r="BG18">
            <v>207191.96</v>
          </cell>
          <cell r="BH18">
            <v>243524.37</v>
          </cell>
          <cell r="BI18">
            <v>405352.73</v>
          </cell>
          <cell r="BJ18">
            <v>385364.77</v>
          </cell>
          <cell r="BK18">
            <v>469544.72</v>
          </cell>
          <cell r="BL18">
            <v>308890.15000000002</v>
          </cell>
          <cell r="BM18">
            <v>471331.78</v>
          </cell>
          <cell r="BN18">
            <v>374181.64</v>
          </cell>
          <cell r="BO18">
            <v>355520.94</v>
          </cell>
          <cell r="BP18">
            <v>368158.28</v>
          </cell>
          <cell r="BQ18">
            <v>550574.80000000005</v>
          </cell>
          <cell r="BR18">
            <v>507657.42</v>
          </cell>
          <cell r="BS18">
            <v>630644.64</v>
          </cell>
          <cell r="BT18">
            <v>737106.97</v>
          </cell>
          <cell r="BU18">
            <v>904148.87000000128</v>
          </cell>
          <cell r="BV18">
            <v>957768.93999999762</v>
          </cell>
          <cell r="BW18">
            <v>593739.69000000111</v>
          </cell>
          <cell r="BX18">
            <v>693124.15000000061</v>
          </cell>
          <cell r="BY18">
            <v>664434.55999999656</v>
          </cell>
          <cell r="BZ18">
            <v>772910.6</v>
          </cell>
          <cell r="CA18">
            <v>710303.29</v>
          </cell>
          <cell r="CB18">
            <v>647291.36999999918</v>
          </cell>
          <cell r="CC18">
            <v>637233.85</v>
          </cell>
          <cell r="CD18">
            <v>674669.58</v>
          </cell>
          <cell r="CE18">
            <v>803600.05</v>
          </cell>
          <cell r="CF18">
            <v>760092.85</v>
          </cell>
          <cell r="CG18">
            <v>718514.44</v>
          </cell>
          <cell r="CH18">
            <v>576133.15</v>
          </cell>
          <cell r="CI18">
            <v>595924.35</v>
          </cell>
          <cell r="CJ18">
            <v>441902.08000000002</v>
          </cell>
          <cell r="CK18">
            <v>716950.05</v>
          </cell>
          <cell r="CL18">
            <v>715885.82</v>
          </cell>
          <cell r="CM18">
            <v>539084.37</v>
          </cell>
          <cell r="CN18">
            <v>545231.63</v>
          </cell>
          <cell r="CO18">
            <v>729708.63</v>
          </cell>
          <cell r="CP18">
            <v>795518.07</v>
          </cell>
          <cell r="CQ18">
            <v>881675.07</v>
          </cell>
          <cell r="CR18">
            <v>766623.86</v>
          </cell>
          <cell r="CS18">
            <v>884855.74</v>
          </cell>
          <cell r="CT18">
            <v>970782.37</v>
          </cell>
          <cell r="CU18">
            <v>725322.64</v>
          </cell>
          <cell r="CV18">
            <v>746430.41</v>
          </cell>
          <cell r="CW18">
            <v>865573.99</v>
          </cell>
          <cell r="CX18">
            <v>754915.72</v>
          </cell>
          <cell r="CZ18">
            <v>754915.72</v>
          </cell>
          <cell r="DA18">
            <v>938669.82559153612</v>
          </cell>
          <cell r="DB18">
            <v>-183754.10559153638</v>
          </cell>
        </row>
        <row r="19">
          <cell r="B19" t="str">
            <v>Gross Profit</v>
          </cell>
          <cell r="C19">
            <v>-196222.23</v>
          </cell>
          <cell r="D19">
            <v>-120042.75</v>
          </cell>
          <cell r="E19">
            <v>-180353.47</v>
          </cell>
          <cell r="F19">
            <v>96144.53</v>
          </cell>
          <cell r="G19">
            <v>-84208.939999999944</v>
          </cell>
          <cell r="H19">
            <v>784042.88</v>
          </cell>
          <cell r="I19">
            <v>2927820.55</v>
          </cell>
          <cell r="J19">
            <v>0</v>
          </cell>
          <cell r="K19">
            <v>2927820.55</v>
          </cell>
          <cell r="L19">
            <v>372706.01</v>
          </cell>
          <cell r="M19">
            <v>2002330.76</v>
          </cell>
          <cell r="N19">
            <v>2466103.7799999998</v>
          </cell>
          <cell r="O19">
            <v>2701553.82</v>
          </cell>
          <cell r="P19">
            <v>2949227.56</v>
          </cell>
          <cell r="Q19">
            <v>3233303.33</v>
          </cell>
          <cell r="R19">
            <v>3371173.44</v>
          </cell>
          <cell r="S19">
            <v>3582624.86</v>
          </cell>
          <cell r="T19">
            <v>247430.88</v>
          </cell>
          <cell r="U19">
            <v>583692.63</v>
          </cell>
          <cell r="V19">
            <v>900236.87</v>
          </cell>
          <cell r="W19">
            <v>1425064.23</v>
          </cell>
          <cell r="X19">
            <v>1780625.77</v>
          </cell>
          <cell r="Y19">
            <v>2315611.89</v>
          </cell>
          <cell r="Z19">
            <v>2500043.61</v>
          </cell>
          <cell r="AA19">
            <v>2804499.86</v>
          </cell>
          <cell r="AB19">
            <v>2951407.16</v>
          </cell>
          <cell r="AC19">
            <v>3444839.19</v>
          </cell>
          <cell r="AD19">
            <v>3746690.65</v>
          </cell>
          <cell r="AE19">
            <v>4063286.11</v>
          </cell>
          <cell r="AF19">
            <v>283333.46999999997</v>
          </cell>
          <cell r="AG19">
            <v>457230.97</v>
          </cell>
          <cell r="AH19">
            <v>833040.11</v>
          </cell>
          <cell r="AI19">
            <v>1216944.54</v>
          </cell>
          <cell r="AJ19">
            <v>1456802.85</v>
          </cell>
          <cell r="AK19">
            <v>1632972.08</v>
          </cell>
          <cell r="AL19">
            <v>2003191.63</v>
          </cell>
          <cell r="AM19">
            <v>2106623.7999999998</v>
          </cell>
          <cell r="AN19">
            <v>2281146.13</v>
          </cell>
          <cell r="AO19">
            <v>2505299.61</v>
          </cell>
          <cell r="AP19">
            <v>2635238.36</v>
          </cell>
          <cell r="AQ19">
            <v>2894200.44</v>
          </cell>
          <cell r="AR19">
            <v>179140.43</v>
          </cell>
          <cell r="AS19">
            <v>398842.28</v>
          </cell>
          <cell r="AT19">
            <v>563006.03</v>
          </cell>
          <cell r="AU19">
            <v>669326.06000000052</v>
          </cell>
          <cell r="AV19">
            <v>1006586.32</v>
          </cell>
          <cell r="AW19">
            <v>1262868.58</v>
          </cell>
          <cell r="AX19">
            <v>1477766.76</v>
          </cell>
          <cell r="AY19">
            <v>1847136.11</v>
          </cell>
          <cell r="AZ19">
            <v>2222268.12</v>
          </cell>
          <cell r="BA19">
            <v>2657156.9300000002</v>
          </cell>
          <cell r="BB19">
            <v>2657156.9300000002</v>
          </cell>
          <cell r="BC19">
            <v>2358605.1579083004</v>
          </cell>
          <cell r="BD19">
            <v>338002.83209170151</v>
          </cell>
          <cell r="BE19">
            <v>-46004.89</v>
          </cell>
          <cell r="BF19">
            <v>-59033.2</v>
          </cell>
          <cell r="BG19">
            <v>31437.66</v>
          </cell>
          <cell r="BH19">
            <v>541760.36</v>
          </cell>
          <cell r="BI19">
            <v>466059.88000000059</v>
          </cell>
          <cell r="BJ19">
            <v>298568.25</v>
          </cell>
          <cell r="BK19">
            <v>463773.02</v>
          </cell>
          <cell r="BL19">
            <v>235450.04</v>
          </cell>
          <cell r="BM19">
            <v>247673.74</v>
          </cell>
          <cell r="BN19">
            <v>284075.77</v>
          </cell>
          <cell r="BO19">
            <v>137870.10999999999</v>
          </cell>
          <cell r="BP19">
            <v>211451.42</v>
          </cell>
          <cell r="BQ19">
            <v>247430.88</v>
          </cell>
          <cell r="BR19">
            <v>336261.75</v>
          </cell>
          <cell r="BS19">
            <v>316544.24</v>
          </cell>
          <cell r="BT19">
            <v>524827.36</v>
          </cell>
          <cell r="BU19">
            <v>355561.53999999864</v>
          </cell>
          <cell r="BV19">
            <v>534986.12000000244</v>
          </cell>
          <cell r="BW19">
            <v>184431.71999999892</v>
          </cell>
          <cell r="BX19">
            <v>304456.24999999942</v>
          </cell>
          <cell r="BY19">
            <v>146907.30000000389</v>
          </cell>
          <cell r="BZ19">
            <v>493432.03</v>
          </cell>
          <cell r="CA19">
            <v>301851.45999999903</v>
          </cell>
          <cell r="CB19">
            <v>316595.46000000089</v>
          </cell>
          <cell r="CC19">
            <v>283333.46999999997</v>
          </cell>
          <cell r="CD19">
            <v>173897.5</v>
          </cell>
          <cell r="CE19">
            <v>375809.14</v>
          </cell>
          <cell r="CF19">
            <v>383904.43</v>
          </cell>
          <cell r="CG19">
            <v>239858.31</v>
          </cell>
          <cell r="CH19">
            <v>176169.23</v>
          </cell>
          <cell r="CI19">
            <v>370219.55</v>
          </cell>
          <cell r="CJ19">
            <v>103432.17</v>
          </cell>
          <cell r="CK19">
            <v>174522.33</v>
          </cell>
          <cell r="CL19">
            <v>224153.48</v>
          </cell>
          <cell r="CM19">
            <v>129938.75</v>
          </cell>
          <cell r="CN19">
            <v>258962.08</v>
          </cell>
          <cell r="CO19">
            <v>179140.43</v>
          </cell>
          <cell r="CP19">
            <v>219701.85</v>
          </cell>
          <cell r="CQ19">
            <v>164163.75</v>
          </cell>
          <cell r="CR19">
            <v>106320.03</v>
          </cell>
          <cell r="CS19">
            <v>337260.26</v>
          </cell>
          <cell r="CT19">
            <v>256282.26</v>
          </cell>
          <cell r="CU19">
            <v>214898.18</v>
          </cell>
          <cell r="CV19">
            <v>369369.35</v>
          </cell>
          <cell r="CW19">
            <v>375132.01</v>
          </cell>
          <cell r="CX19">
            <v>434888.81</v>
          </cell>
          <cell r="CZ19">
            <v>434888.81</v>
          </cell>
          <cell r="DA19">
            <v>276297.50452941388</v>
          </cell>
          <cell r="DB19">
            <v>158591.30547058641</v>
          </cell>
        </row>
        <row r="20">
          <cell r="B20" t="str">
            <v>Other Income</v>
          </cell>
          <cell r="G20">
            <v>0</v>
          </cell>
          <cell r="K20">
            <v>0</v>
          </cell>
          <cell r="BC20">
            <v>0</v>
          </cell>
          <cell r="BD20">
            <v>0</v>
          </cell>
          <cell r="DA20">
            <v>0</v>
          </cell>
          <cell r="DB20">
            <v>0</v>
          </cell>
        </row>
        <row r="21">
          <cell r="B21" t="str">
            <v>Rent   Sales</v>
          </cell>
          <cell r="AX21">
            <v>295.93</v>
          </cell>
          <cell r="AY21">
            <v>591.86</v>
          </cell>
          <cell r="AZ21">
            <v>887.79</v>
          </cell>
          <cell r="BA21">
            <v>1183.72</v>
          </cell>
          <cell r="BB21">
            <v>1183.72</v>
          </cell>
          <cell r="BD21">
            <v>1183.72</v>
          </cell>
          <cell r="CU21">
            <v>295.93</v>
          </cell>
          <cell r="CV21">
            <v>295.93</v>
          </cell>
          <cell r="CW21">
            <v>295.93</v>
          </cell>
          <cell r="CX21">
            <v>295.93</v>
          </cell>
          <cell r="CZ21">
            <v>295.93</v>
          </cell>
          <cell r="DB21">
            <v>295.93</v>
          </cell>
        </row>
        <row r="22">
          <cell r="B22" t="str">
            <v>Interest Income Received</v>
          </cell>
          <cell r="G22">
            <v>0</v>
          </cell>
          <cell r="K22">
            <v>0</v>
          </cell>
          <cell r="BC22">
            <v>0</v>
          </cell>
          <cell r="BD22">
            <v>0</v>
          </cell>
          <cell r="DA22">
            <v>0</v>
          </cell>
          <cell r="DB22">
            <v>0</v>
          </cell>
        </row>
        <row r="23">
          <cell r="B23" t="str">
            <v>Net Foreign Exchange Gain</v>
          </cell>
          <cell r="G23">
            <v>0</v>
          </cell>
          <cell r="K23">
            <v>0</v>
          </cell>
          <cell r="BC23">
            <v>0</v>
          </cell>
          <cell r="BD23">
            <v>0</v>
          </cell>
          <cell r="DA23">
            <v>0</v>
          </cell>
          <cell r="DB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295.93</v>
          </cell>
          <cell r="AY24">
            <v>591.86</v>
          </cell>
          <cell r="AZ24">
            <v>887.79</v>
          </cell>
          <cell r="BA24">
            <v>1183.72</v>
          </cell>
          <cell r="BB24">
            <v>1183.72</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295.93</v>
          </cell>
          <cell r="CV24">
            <v>295.93</v>
          </cell>
          <cell r="CW24">
            <v>295.93</v>
          </cell>
          <cell r="CX24">
            <v>295.93</v>
          </cell>
          <cell r="CZ24">
            <v>295.93</v>
          </cell>
          <cell r="DA24">
            <v>0</v>
          </cell>
          <cell r="DB24">
            <v>295.93</v>
          </cell>
        </row>
        <row r="25">
          <cell r="C25">
            <v>-196222.23</v>
          </cell>
          <cell r="D25">
            <v>-120042.75</v>
          </cell>
          <cell r="E25">
            <v>-180353.47</v>
          </cell>
          <cell r="F25">
            <v>96144.53</v>
          </cell>
          <cell r="G25">
            <v>-84208.939999999944</v>
          </cell>
          <cell r="H25">
            <v>784042.88</v>
          </cell>
          <cell r="I25">
            <v>2927820.55</v>
          </cell>
          <cell r="J25">
            <v>0</v>
          </cell>
          <cell r="K25">
            <v>2927820.55</v>
          </cell>
          <cell r="L25">
            <v>372706.01</v>
          </cell>
          <cell r="M25">
            <v>2002330.76</v>
          </cell>
          <cell r="N25">
            <v>2466103.7799999998</v>
          </cell>
          <cell r="O25">
            <v>2701553.82</v>
          </cell>
          <cell r="P25">
            <v>2949227.56</v>
          </cell>
          <cell r="Q25">
            <v>3233303.33</v>
          </cell>
          <cell r="R25">
            <v>3371173.44</v>
          </cell>
          <cell r="S25">
            <v>3582624.86</v>
          </cell>
          <cell r="T25">
            <v>247430.88</v>
          </cell>
          <cell r="U25">
            <v>583692.63</v>
          </cell>
          <cell r="V25">
            <v>900236.87</v>
          </cell>
          <cell r="W25">
            <v>1425064.23</v>
          </cell>
          <cell r="X25">
            <v>1780625.77</v>
          </cell>
          <cell r="Y25">
            <v>2315611.89</v>
          </cell>
          <cell r="Z25">
            <v>2500043.61</v>
          </cell>
          <cell r="AA25">
            <v>2804499.86</v>
          </cell>
          <cell r="AB25">
            <v>2951407.16</v>
          </cell>
          <cell r="AC25">
            <v>3444839.19</v>
          </cell>
          <cell r="AD25">
            <v>3746690.65</v>
          </cell>
          <cell r="AE25">
            <v>4063286.11</v>
          </cell>
          <cell r="AF25">
            <v>283333.46999999997</v>
          </cell>
          <cell r="AG25">
            <v>457230.97</v>
          </cell>
          <cell r="AH25">
            <v>833040.11</v>
          </cell>
          <cell r="AI25">
            <v>1216944.54</v>
          </cell>
          <cell r="AJ25">
            <v>1456802.85</v>
          </cell>
          <cell r="AK25">
            <v>1632972.08</v>
          </cell>
          <cell r="AL25">
            <v>2003191.63</v>
          </cell>
          <cell r="AM25">
            <v>2106623.7999999998</v>
          </cell>
          <cell r="AN25">
            <v>2281146.13</v>
          </cell>
          <cell r="AO25">
            <v>2505299.61</v>
          </cell>
          <cell r="AP25">
            <v>2635238.36</v>
          </cell>
          <cell r="AQ25">
            <v>2894200.44</v>
          </cell>
          <cell r="AR25">
            <v>179140.43</v>
          </cell>
          <cell r="AS25">
            <v>398842.28</v>
          </cell>
          <cell r="AT25">
            <v>563006.03000000073</v>
          </cell>
          <cell r="AU25">
            <v>669326.06000000006</v>
          </cell>
          <cell r="AV25">
            <v>1006586.32</v>
          </cell>
          <cell r="AW25">
            <v>1262868.58</v>
          </cell>
          <cell r="AX25">
            <v>1478062.69</v>
          </cell>
          <cell r="AY25">
            <v>1847727.97</v>
          </cell>
          <cell r="AZ25">
            <v>2223155.91</v>
          </cell>
          <cell r="BA25">
            <v>2658340.65</v>
          </cell>
          <cell r="BB25">
            <v>2658340.65</v>
          </cell>
          <cell r="BC25">
            <v>2358605.1579083004</v>
          </cell>
          <cell r="BD25">
            <v>338002.83209170151</v>
          </cell>
          <cell r="BE25">
            <v>-46004.89</v>
          </cell>
          <cell r="BF25">
            <v>-59033.2</v>
          </cell>
          <cell r="BG25">
            <v>31437.66</v>
          </cell>
          <cell r="BH25">
            <v>541760.36</v>
          </cell>
          <cell r="BI25">
            <v>466059.88000000059</v>
          </cell>
          <cell r="BJ25">
            <v>298568.25</v>
          </cell>
          <cell r="BK25">
            <v>463773.02</v>
          </cell>
          <cell r="BL25">
            <v>235450.04</v>
          </cell>
          <cell r="BM25">
            <v>247673.74</v>
          </cell>
          <cell r="BN25">
            <v>284075.77</v>
          </cell>
          <cell r="BO25">
            <v>137870.10999999999</v>
          </cell>
          <cell r="BP25">
            <v>211451.42</v>
          </cell>
          <cell r="BQ25">
            <v>247430.88</v>
          </cell>
          <cell r="BR25">
            <v>336261.75</v>
          </cell>
          <cell r="BS25">
            <v>316544.24</v>
          </cell>
          <cell r="BT25">
            <v>524827.36</v>
          </cell>
          <cell r="BU25">
            <v>355561.53999999864</v>
          </cell>
          <cell r="BV25">
            <v>534986.12000000244</v>
          </cell>
          <cell r="BW25">
            <v>184431.71999999892</v>
          </cell>
          <cell r="BX25">
            <v>304456.24999999942</v>
          </cell>
          <cell r="BY25">
            <v>146907.30000000389</v>
          </cell>
          <cell r="BZ25">
            <v>493432.03</v>
          </cell>
          <cell r="CA25">
            <v>301851.45999999903</v>
          </cell>
          <cell r="CB25">
            <v>316595.46000000089</v>
          </cell>
          <cell r="CC25">
            <v>283333.46999999997</v>
          </cell>
          <cell r="CD25">
            <v>173897.5</v>
          </cell>
          <cell r="CE25">
            <v>375809.14</v>
          </cell>
          <cell r="CF25">
            <v>383904.43</v>
          </cell>
          <cell r="CG25">
            <v>239858.31</v>
          </cell>
          <cell r="CH25">
            <v>176169.23</v>
          </cell>
          <cell r="CI25">
            <v>370219.55</v>
          </cell>
          <cell r="CJ25">
            <v>103432.17</v>
          </cell>
          <cell r="CK25">
            <v>174522.33</v>
          </cell>
          <cell r="CL25">
            <v>224153.48</v>
          </cell>
          <cell r="CM25">
            <v>129938.75</v>
          </cell>
          <cell r="CN25">
            <v>258962.08</v>
          </cell>
          <cell r="CO25">
            <v>179140.43</v>
          </cell>
          <cell r="CP25">
            <v>219701.85</v>
          </cell>
          <cell r="CQ25">
            <v>164163.75</v>
          </cell>
          <cell r="CR25">
            <v>106320.03</v>
          </cell>
          <cell r="CS25">
            <v>337260.26</v>
          </cell>
          <cell r="CT25">
            <v>256282.26</v>
          </cell>
          <cell r="CU25">
            <v>215194.11</v>
          </cell>
          <cell r="CV25">
            <v>369665.28000000003</v>
          </cell>
          <cell r="CW25">
            <v>375427.94</v>
          </cell>
          <cell r="CX25">
            <v>435184.74</v>
          </cell>
          <cell r="CZ25">
            <v>435184.74</v>
          </cell>
          <cell r="DA25">
            <v>276297.50452941388</v>
          </cell>
          <cell r="DB25">
            <v>158887.2354705864</v>
          </cell>
        </row>
        <row r="26">
          <cell r="B26" t="str">
            <v>Finance &amp; Admin Expenses :</v>
          </cell>
          <cell r="G26">
            <v>0</v>
          </cell>
          <cell r="K26">
            <v>0</v>
          </cell>
          <cell r="BC26">
            <v>0</v>
          </cell>
          <cell r="BD26">
            <v>0</v>
          </cell>
          <cell r="DA26">
            <v>0</v>
          </cell>
          <cell r="DB26">
            <v>0</v>
          </cell>
        </row>
        <row r="27">
          <cell r="B27" t="str">
            <v>Printing &amp; Stationery</v>
          </cell>
          <cell r="C27">
            <v>2974.17</v>
          </cell>
          <cell r="D27">
            <v>7396.45</v>
          </cell>
          <cell r="E27">
            <v>10639.01</v>
          </cell>
          <cell r="G27">
            <v>10639.01</v>
          </cell>
          <cell r="H27">
            <v>-239.42</v>
          </cell>
          <cell r="I27">
            <v>1672.8</v>
          </cell>
          <cell r="K27">
            <v>1672.8</v>
          </cell>
          <cell r="L27">
            <v>436.92</v>
          </cell>
          <cell r="M27">
            <v>3603.66</v>
          </cell>
          <cell r="N27">
            <v>4191.8999999999996</v>
          </cell>
          <cell r="O27">
            <v>4308.04</v>
          </cell>
          <cell r="P27">
            <v>4731.8</v>
          </cell>
          <cell r="Q27">
            <v>5336.56</v>
          </cell>
          <cell r="R27">
            <v>6579.29</v>
          </cell>
          <cell r="S27">
            <v>7456.2</v>
          </cell>
          <cell r="T27">
            <v>432.57</v>
          </cell>
          <cell r="U27">
            <v>3881.4</v>
          </cell>
          <cell r="V27">
            <v>6298.37</v>
          </cell>
          <cell r="W27">
            <v>8600.43</v>
          </cell>
          <cell r="X27">
            <v>24116.97</v>
          </cell>
          <cell r="Y27">
            <v>26639.52</v>
          </cell>
          <cell r="Z27">
            <v>28553.119999999999</v>
          </cell>
          <cell r="AA27">
            <v>29854.21</v>
          </cell>
          <cell r="AB27">
            <v>33962.28</v>
          </cell>
          <cell r="AC27">
            <v>35440.769999999997</v>
          </cell>
          <cell r="AD27">
            <v>37044.519999999997</v>
          </cell>
          <cell r="AE27">
            <v>40854.559999999998</v>
          </cell>
          <cell r="AF27">
            <v>1733.18</v>
          </cell>
          <cell r="AG27">
            <v>10961.41</v>
          </cell>
          <cell r="AH27">
            <v>14606.01</v>
          </cell>
          <cell r="AI27">
            <v>17352.27</v>
          </cell>
          <cell r="AJ27">
            <v>20917.830000000002</v>
          </cell>
          <cell r="AK27">
            <v>22133.74</v>
          </cell>
          <cell r="AL27">
            <v>23580.28</v>
          </cell>
          <cell r="AM27">
            <v>24612.43</v>
          </cell>
          <cell r="AN27">
            <v>27179.22</v>
          </cell>
          <cell r="AO27">
            <v>28911.9</v>
          </cell>
          <cell r="AP27">
            <v>30844.9</v>
          </cell>
          <cell r="AQ27">
            <v>32645.11</v>
          </cell>
          <cell r="AR27">
            <v>221.75</v>
          </cell>
          <cell r="AS27">
            <v>1149.48</v>
          </cell>
          <cell r="AT27">
            <v>5694.33</v>
          </cell>
          <cell r="AU27">
            <v>7425.28</v>
          </cell>
          <cell r="AV27">
            <v>9827.39</v>
          </cell>
          <cell r="AW27">
            <v>10380.129999999999</v>
          </cell>
          <cell r="AX27">
            <v>12113.1</v>
          </cell>
          <cell r="AY27">
            <v>14144.33</v>
          </cell>
          <cell r="AZ27">
            <v>15832.74</v>
          </cell>
          <cell r="BA27">
            <v>18051.900000000001</v>
          </cell>
          <cell r="BB27">
            <v>18051.900000000001</v>
          </cell>
          <cell r="BC27">
            <v>17442.125957885852</v>
          </cell>
          <cell r="BD27">
            <v>609.77404211414978</v>
          </cell>
          <cell r="BE27">
            <v>1103.97</v>
          </cell>
          <cell r="BF27">
            <v>582.46</v>
          </cell>
          <cell r="BG27">
            <v>414.31</v>
          </cell>
          <cell r="BH27">
            <v>-896.72</v>
          </cell>
          <cell r="BI27">
            <v>612.5</v>
          </cell>
          <cell r="BJ27">
            <v>300.72000000000003</v>
          </cell>
          <cell r="BK27">
            <v>588.24</v>
          </cell>
          <cell r="BL27">
            <v>116.14</v>
          </cell>
          <cell r="BM27">
            <v>423.76</v>
          </cell>
          <cell r="BN27">
            <v>604.76</v>
          </cell>
          <cell r="BO27">
            <v>1242.73</v>
          </cell>
          <cell r="BP27">
            <v>876.91</v>
          </cell>
          <cell r="BQ27">
            <v>432.57</v>
          </cell>
          <cell r="BR27">
            <v>3448.83</v>
          </cell>
          <cell r="BS27">
            <v>2416.9699999999998</v>
          </cell>
          <cell r="BT27">
            <v>2302.06</v>
          </cell>
          <cell r="BU27">
            <v>15516.54</v>
          </cell>
          <cell r="BV27">
            <v>2522.5500000000002</v>
          </cell>
          <cell r="BW27">
            <v>1913.6</v>
          </cell>
          <cell r="BX27">
            <v>1301.0899999999999</v>
          </cell>
          <cell r="BY27">
            <v>4108.07</v>
          </cell>
          <cell r="BZ27">
            <v>1478.49</v>
          </cell>
          <cell r="CA27">
            <v>1603.75</v>
          </cell>
          <cell r="CB27">
            <v>3810.04</v>
          </cell>
          <cell r="CC27">
            <v>1733.18</v>
          </cell>
          <cell r="CD27">
            <v>9228.23</v>
          </cell>
          <cell r="CE27">
            <v>3644.6</v>
          </cell>
          <cell r="CF27">
            <v>2746.26</v>
          </cell>
          <cell r="CG27">
            <v>3565.56</v>
          </cell>
          <cell r="CH27">
            <v>1215.9100000000001</v>
          </cell>
          <cell r="CI27">
            <v>1446.54</v>
          </cell>
          <cell r="CJ27">
            <v>1032.1500000000001</v>
          </cell>
          <cell r="CK27">
            <v>2566.79</v>
          </cell>
          <cell r="CL27">
            <v>1732.68</v>
          </cell>
          <cell r="CM27">
            <v>1933</v>
          </cell>
          <cell r="CN27">
            <v>1800.21</v>
          </cell>
          <cell r="CO27">
            <v>221.75</v>
          </cell>
          <cell r="CP27">
            <v>927.73</v>
          </cell>
          <cell r="CQ27">
            <v>4544.8500000000004</v>
          </cell>
          <cell r="CR27">
            <v>1730.95</v>
          </cell>
          <cell r="CS27">
            <v>2402.11</v>
          </cell>
          <cell r="CT27">
            <v>552.74</v>
          </cell>
          <cell r="CU27">
            <v>1732.97</v>
          </cell>
          <cell r="CV27">
            <v>2031.23</v>
          </cell>
          <cell r="CW27">
            <v>1688.41</v>
          </cell>
          <cell r="CX27">
            <v>2219.16</v>
          </cell>
          <cell r="CZ27">
            <v>2219.16</v>
          </cell>
          <cell r="DA27">
            <v>1726.5419869746509</v>
          </cell>
          <cell r="DB27">
            <v>492.61801302534991</v>
          </cell>
        </row>
        <row r="28">
          <cell r="B28" t="str">
            <v>Travelling Exp</v>
          </cell>
          <cell r="C28">
            <v>4850.43</v>
          </cell>
          <cell r="D28">
            <v>11243.35</v>
          </cell>
          <cell r="E28">
            <v>16692.099999999999</v>
          </cell>
          <cell r="G28">
            <v>16692.099999999999</v>
          </cell>
          <cell r="H28">
            <v>4540.3999999999996</v>
          </cell>
          <cell r="I28">
            <v>16733.95</v>
          </cell>
          <cell r="K28">
            <v>16733.95</v>
          </cell>
          <cell r="L28">
            <v>6037.08</v>
          </cell>
          <cell r="M28">
            <v>24659.14</v>
          </cell>
          <cell r="N28">
            <v>30168.47</v>
          </cell>
          <cell r="O28">
            <v>31758.46</v>
          </cell>
          <cell r="P28">
            <v>36283.99</v>
          </cell>
          <cell r="Q28">
            <v>41114.44</v>
          </cell>
          <cell r="R28">
            <v>44415.46</v>
          </cell>
          <cell r="S28">
            <v>46183.81</v>
          </cell>
          <cell r="T28">
            <v>1444.06</v>
          </cell>
          <cell r="U28">
            <v>2538.64</v>
          </cell>
          <cell r="V28">
            <v>5721.72</v>
          </cell>
          <cell r="W28">
            <v>10671.48</v>
          </cell>
          <cell r="X28">
            <v>19951.64</v>
          </cell>
          <cell r="Y28">
            <v>24314.05</v>
          </cell>
          <cell r="Z28">
            <v>25430.92</v>
          </cell>
          <cell r="AA28">
            <v>30315.200000000001</v>
          </cell>
          <cell r="AB28">
            <v>35007.050000000003</v>
          </cell>
          <cell r="AC28">
            <v>40126.78</v>
          </cell>
          <cell r="AD28">
            <v>45279.06</v>
          </cell>
          <cell r="AE28">
            <v>46370.2</v>
          </cell>
          <cell r="AF28">
            <v>5227.0200000000004</v>
          </cell>
          <cell r="AG28">
            <v>6693.16</v>
          </cell>
          <cell r="AH28">
            <v>7806.31</v>
          </cell>
          <cell r="AI28">
            <v>10846.68</v>
          </cell>
          <cell r="AJ28">
            <v>13706.8</v>
          </cell>
          <cell r="AK28">
            <v>20395.36</v>
          </cell>
          <cell r="AL28">
            <v>21503.97</v>
          </cell>
          <cell r="AM28">
            <v>23016.76</v>
          </cell>
          <cell r="AN28">
            <v>26643.87</v>
          </cell>
          <cell r="AO28">
            <v>30530.36</v>
          </cell>
          <cell r="AP28">
            <v>34127.589999999997</v>
          </cell>
          <cell r="AQ28">
            <v>39782.97</v>
          </cell>
          <cell r="AR28">
            <v>720.31</v>
          </cell>
          <cell r="AS28">
            <v>4390.62</v>
          </cell>
          <cell r="AT28">
            <v>8955.18</v>
          </cell>
          <cell r="AU28">
            <v>12512.43</v>
          </cell>
          <cell r="AV28">
            <v>16246.89</v>
          </cell>
          <cell r="AW28">
            <v>18231.32</v>
          </cell>
          <cell r="AX28">
            <v>20507.53</v>
          </cell>
          <cell r="AY28">
            <v>22549.46</v>
          </cell>
          <cell r="AZ28">
            <v>23223.31</v>
          </cell>
          <cell r="BA28">
            <v>24213.93</v>
          </cell>
          <cell r="BB28">
            <v>24213.93</v>
          </cell>
          <cell r="BC28">
            <v>28138.428235117273</v>
          </cell>
          <cell r="BD28">
            <v>-3924.498235117273</v>
          </cell>
          <cell r="BE28">
            <v>1079.03</v>
          </cell>
          <cell r="BF28">
            <v>1947.61</v>
          </cell>
          <cell r="BG28">
            <v>1424.82</v>
          </cell>
          <cell r="BH28">
            <v>1104.22</v>
          </cell>
          <cell r="BI28">
            <v>4142.8599999999997</v>
          </cell>
          <cell r="BJ28">
            <v>6697.66</v>
          </cell>
          <cell r="BK28">
            <v>5509.33</v>
          </cell>
          <cell r="BL28">
            <v>1589.99</v>
          </cell>
          <cell r="BM28">
            <v>4525.53</v>
          </cell>
          <cell r="BN28">
            <v>4830.45</v>
          </cell>
          <cell r="BO28">
            <v>3301.02</v>
          </cell>
          <cell r="BP28">
            <v>1768.35</v>
          </cell>
          <cell r="BQ28">
            <v>1444.06</v>
          </cell>
          <cell r="BR28">
            <v>1094.58</v>
          </cell>
          <cell r="BS28">
            <v>3183.08</v>
          </cell>
          <cell r="BT28">
            <v>4949.76</v>
          </cell>
          <cell r="BU28">
            <v>9280.16</v>
          </cell>
          <cell r="BV28">
            <v>4362.41</v>
          </cell>
          <cell r="BW28">
            <v>1116.8699999999999</v>
          </cell>
          <cell r="BX28">
            <v>4884.28</v>
          </cell>
          <cell r="BY28">
            <v>4691.8500000000004</v>
          </cell>
          <cell r="BZ28">
            <v>5119.7299999999996</v>
          </cell>
          <cell r="CA28">
            <v>5152.28</v>
          </cell>
          <cell r="CB28">
            <v>1091.1400000000001</v>
          </cell>
          <cell r="CC28">
            <v>5227.0200000000004</v>
          </cell>
          <cell r="CD28">
            <v>1466.14</v>
          </cell>
          <cell r="CE28">
            <v>1113.1500000000001</v>
          </cell>
          <cell r="CF28">
            <v>3040.37</v>
          </cell>
          <cell r="CG28">
            <v>2860.12</v>
          </cell>
          <cell r="CH28">
            <v>6688.56</v>
          </cell>
          <cell r="CI28">
            <v>1108.6099999999999</v>
          </cell>
          <cell r="CJ28">
            <v>1512.79</v>
          </cell>
          <cell r="CK28">
            <v>3627.11</v>
          </cell>
          <cell r="CL28">
            <v>3886.49</v>
          </cell>
          <cell r="CM28">
            <v>3597.23</v>
          </cell>
          <cell r="CN28">
            <v>5655.38</v>
          </cell>
          <cell r="CO28">
            <v>720.31</v>
          </cell>
          <cell r="CP28">
            <v>3670.31</v>
          </cell>
          <cell r="CQ28">
            <v>4564.5600000000004</v>
          </cell>
          <cell r="CR28">
            <v>3557.25</v>
          </cell>
          <cell r="CS28">
            <v>3734.46</v>
          </cell>
          <cell r="CT28">
            <v>1984.43</v>
          </cell>
          <cell r="CU28">
            <v>2276.21</v>
          </cell>
          <cell r="CV28">
            <v>2041.93</v>
          </cell>
          <cell r="CW28">
            <v>673.84999999999945</v>
          </cell>
          <cell r="CX28">
            <v>990.6200000000008</v>
          </cell>
          <cell r="CZ28">
            <v>990.6200000000008</v>
          </cell>
          <cell r="DA28">
            <v>2926.0719720160423</v>
          </cell>
          <cell r="DB28">
            <v>-1935.4519720160415</v>
          </cell>
        </row>
        <row r="29">
          <cell r="B29" t="str">
            <v>Entertainment Exp</v>
          </cell>
          <cell r="C29">
            <v>0</v>
          </cell>
          <cell r="D29">
            <v>1559.74</v>
          </cell>
          <cell r="E29">
            <v>2236.1999999999998</v>
          </cell>
          <cell r="G29">
            <v>2236.1999999999998</v>
          </cell>
          <cell r="H29">
            <v>0</v>
          </cell>
          <cell r="I29">
            <v>0</v>
          </cell>
          <cell r="K29">
            <v>0</v>
          </cell>
          <cell r="L29">
            <v>0</v>
          </cell>
          <cell r="M29">
            <v>2050.7199999999998</v>
          </cell>
          <cell r="N29">
            <v>2050.7199999999998</v>
          </cell>
          <cell r="O29">
            <v>2050.7199999999998</v>
          </cell>
          <cell r="P29">
            <v>2050.7199999999998</v>
          </cell>
          <cell r="Q29">
            <v>2050.7199999999998</v>
          </cell>
          <cell r="R29">
            <v>2050.7199999999998</v>
          </cell>
          <cell r="S29">
            <v>2050.7199999999998</v>
          </cell>
          <cell r="T29">
            <v>44.69</v>
          </cell>
          <cell r="U29">
            <v>44.69</v>
          </cell>
          <cell r="V29">
            <v>44.69</v>
          </cell>
          <cell r="W29">
            <v>44.69</v>
          </cell>
          <cell r="X29">
            <v>44.69</v>
          </cell>
          <cell r="Y29">
            <v>44.69</v>
          </cell>
          <cell r="Z29">
            <v>44.69</v>
          </cell>
          <cell r="AA29">
            <v>44.69</v>
          </cell>
          <cell r="AB29">
            <v>44.69</v>
          </cell>
          <cell r="AC29">
            <v>44.69</v>
          </cell>
          <cell r="AD29">
            <v>44.69</v>
          </cell>
          <cell r="AE29">
            <v>44.69</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2050.7199999999998</v>
          </cell>
          <cell r="BK29">
            <v>0</v>
          </cell>
          <cell r="BL29">
            <v>0</v>
          </cell>
          <cell r="BM29">
            <v>0</v>
          </cell>
          <cell r="BN29">
            <v>0</v>
          </cell>
          <cell r="BO29">
            <v>0</v>
          </cell>
          <cell r="BP29">
            <v>0</v>
          </cell>
          <cell r="BQ29">
            <v>44.69</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Z29">
            <v>0</v>
          </cell>
          <cell r="DA29">
            <v>0</v>
          </cell>
          <cell r="DB29">
            <v>0</v>
          </cell>
        </row>
        <row r="30">
          <cell r="B30" t="str">
            <v>Advertisement</v>
          </cell>
          <cell r="C30">
            <v>0</v>
          </cell>
          <cell r="D30">
            <v>700</v>
          </cell>
          <cell r="E30">
            <v>700</v>
          </cell>
          <cell r="G30">
            <v>700</v>
          </cell>
          <cell r="H30">
            <v>0</v>
          </cell>
          <cell r="I30">
            <v>0</v>
          </cell>
          <cell r="K30">
            <v>0</v>
          </cell>
          <cell r="L30">
            <v>0</v>
          </cell>
          <cell r="M30">
            <v>0</v>
          </cell>
          <cell r="N30">
            <v>138.88999999999999</v>
          </cell>
          <cell r="O30">
            <v>138.88999999999999</v>
          </cell>
          <cell r="P30">
            <v>138.88999999999999</v>
          </cell>
          <cell r="Q30">
            <v>138.88999999999999</v>
          </cell>
          <cell r="R30">
            <v>138.88999999999999</v>
          </cell>
          <cell r="S30">
            <v>138.88999999999999</v>
          </cell>
          <cell r="T30">
            <v>0</v>
          </cell>
          <cell r="U30">
            <v>0</v>
          </cell>
          <cell r="V30">
            <v>0</v>
          </cell>
          <cell r="W30">
            <v>2717.39</v>
          </cell>
          <cell r="X30">
            <v>2958.94</v>
          </cell>
          <cell r="Y30">
            <v>3135.27</v>
          </cell>
          <cell r="Z30">
            <v>3135.27</v>
          </cell>
          <cell r="AA30">
            <v>3135.27</v>
          </cell>
          <cell r="AB30">
            <v>3135.27</v>
          </cell>
          <cell r="AC30">
            <v>3135.27</v>
          </cell>
          <cell r="AD30">
            <v>3135.27</v>
          </cell>
          <cell r="AE30">
            <v>3135.27</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138.88999999999999</v>
          </cell>
          <cell r="BL30">
            <v>0</v>
          </cell>
          <cell r="BM30">
            <v>0</v>
          </cell>
          <cell r="BN30">
            <v>0</v>
          </cell>
          <cell r="BO30">
            <v>0</v>
          </cell>
          <cell r="BP30">
            <v>0</v>
          </cell>
          <cell r="BQ30">
            <v>0</v>
          </cell>
          <cell r="BR30">
            <v>0</v>
          </cell>
          <cell r="BS30">
            <v>0</v>
          </cell>
          <cell r="BT30">
            <v>2717.39</v>
          </cell>
          <cell r="BU30">
            <v>241.55</v>
          </cell>
          <cell r="BV30">
            <v>176.33</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Z30">
            <v>0</v>
          </cell>
          <cell r="DA30">
            <v>0</v>
          </cell>
          <cell r="DB30">
            <v>0</v>
          </cell>
        </row>
        <row r="31">
          <cell r="B31" t="str">
            <v>Telecommunication</v>
          </cell>
          <cell r="C31">
            <v>43.54</v>
          </cell>
          <cell r="D31">
            <v>4969.9399999999996</v>
          </cell>
          <cell r="E31">
            <v>8878.98</v>
          </cell>
          <cell r="G31">
            <v>8878.98</v>
          </cell>
          <cell r="H31">
            <v>3466.77</v>
          </cell>
          <cell r="I31">
            <v>8752.3799999999992</v>
          </cell>
          <cell r="K31">
            <v>8752.3799999999992</v>
          </cell>
          <cell r="L31">
            <v>969.35</v>
          </cell>
          <cell r="M31">
            <v>5125.3900000000003</v>
          </cell>
          <cell r="N31">
            <v>5705.1</v>
          </cell>
          <cell r="O31">
            <v>6650.7</v>
          </cell>
          <cell r="P31">
            <v>7585.98</v>
          </cell>
          <cell r="Q31">
            <v>8636.67</v>
          </cell>
          <cell r="R31">
            <v>10357.61</v>
          </cell>
          <cell r="S31">
            <v>11513.26</v>
          </cell>
          <cell r="T31">
            <v>702.71</v>
          </cell>
          <cell r="U31">
            <v>1506.03</v>
          </cell>
          <cell r="V31">
            <v>2526.89</v>
          </cell>
          <cell r="W31">
            <v>3644.86</v>
          </cell>
          <cell r="X31">
            <v>4964.21</v>
          </cell>
          <cell r="Y31">
            <v>5315.19</v>
          </cell>
          <cell r="Z31">
            <v>6947.68</v>
          </cell>
          <cell r="AA31">
            <v>8456.24</v>
          </cell>
          <cell r="AB31">
            <v>9633.2999999999993</v>
          </cell>
          <cell r="AC31">
            <v>10816.5</v>
          </cell>
          <cell r="AD31">
            <v>11439.67</v>
          </cell>
          <cell r="AE31">
            <v>11475.98</v>
          </cell>
          <cell r="AF31">
            <v>711.36</v>
          </cell>
          <cell r="AG31">
            <v>2078.0300000000002</v>
          </cell>
          <cell r="AH31">
            <v>2701.28</v>
          </cell>
          <cell r="AI31">
            <v>3590.09</v>
          </cell>
          <cell r="AJ31">
            <v>4146.71</v>
          </cell>
          <cell r="AK31">
            <v>4916.37</v>
          </cell>
          <cell r="AL31">
            <v>5799.79</v>
          </cell>
          <cell r="AM31">
            <v>6593.46</v>
          </cell>
          <cell r="AN31">
            <v>7345.55</v>
          </cell>
          <cell r="AO31">
            <v>8519.5400000000009</v>
          </cell>
          <cell r="AP31">
            <v>9461.09</v>
          </cell>
          <cell r="AQ31">
            <v>10215.790000000001</v>
          </cell>
          <cell r="AR31">
            <v>646.91</v>
          </cell>
          <cell r="AS31">
            <v>1452.72</v>
          </cell>
          <cell r="AT31">
            <v>2247.8000000000002</v>
          </cell>
          <cell r="AU31">
            <v>3148.16</v>
          </cell>
          <cell r="AV31">
            <v>4049.17</v>
          </cell>
          <cell r="AW31">
            <v>2689.34</v>
          </cell>
          <cell r="AX31">
            <v>3353</v>
          </cell>
          <cell r="AY31">
            <v>3967.49</v>
          </cell>
          <cell r="AZ31">
            <v>4622.8599999999997</v>
          </cell>
          <cell r="BA31">
            <v>5312.91</v>
          </cell>
          <cell r="BB31">
            <v>5312.91</v>
          </cell>
          <cell r="BC31">
            <v>5259.2389784476436</v>
          </cell>
          <cell r="BD31">
            <v>53.671021552356251</v>
          </cell>
          <cell r="BE31">
            <v>53.01</v>
          </cell>
          <cell r="BF31">
            <v>654.75</v>
          </cell>
          <cell r="BG31">
            <v>1172</v>
          </cell>
          <cell r="BH31">
            <v>301.89</v>
          </cell>
          <cell r="BI31">
            <v>1133.28</v>
          </cell>
          <cell r="BJ31">
            <v>1224.78</v>
          </cell>
          <cell r="BK31">
            <v>579.71</v>
          </cell>
          <cell r="BL31">
            <v>945.6</v>
          </cell>
          <cell r="BM31">
            <v>935.28</v>
          </cell>
          <cell r="BN31">
            <v>1050.69</v>
          </cell>
          <cell r="BO31">
            <v>1720.94</v>
          </cell>
          <cell r="BP31">
            <v>1155.6500000000001</v>
          </cell>
          <cell r="BQ31">
            <v>702.71</v>
          </cell>
          <cell r="BR31">
            <v>803.32</v>
          </cell>
          <cell r="BS31">
            <v>1020.86</v>
          </cell>
          <cell r="BT31">
            <v>1117.97</v>
          </cell>
          <cell r="BU31">
            <v>1319.35</v>
          </cell>
          <cell r="BV31">
            <v>350.98</v>
          </cell>
          <cell r="BW31">
            <v>1632.49</v>
          </cell>
          <cell r="BX31">
            <v>1508.56</v>
          </cell>
          <cell r="BY31">
            <v>1177.06</v>
          </cell>
          <cell r="BZ31">
            <v>1183.2</v>
          </cell>
          <cell r="CA31">
            <v>623.16999999999996</v>
          </cell>
          <cell r="CB31">
            <v>36.3100000000004</v>
          </cell>
          <cell r="CC31">
            <v>711.36</v>
          </cell>
          <cell r="CD31">
            <v>1366.67</v>
          </cell>
          <cell r="CE31">
            <v>623.25</v>
          </cell>
          <cell r="CF31">
            <v>888.81</v>
          </cell>
          <cell r="CG31">
            <v>556.62</v>
          </cell>
          <cell r="CH31">
            <v>769.66</v>
          </cell>
          <cell r="CI31">
            <v>883.42000000000053</v>
          </cell>
          <cell r="CJ31">
            <v>793.67</v>
          </cell>
          <cell r="CK31">
            <v>752.0900000000006</v>
          </cell>
          <cell r="CL31">
            <v>1173.99</v>
          </cell>
          <cell r="CM31">
            <v>941.55000000000064</v>
          </cell>
          <cell r="CN31">
            <v>754.69999999999936</v>
          </cell>
          <cell r="CO31">
            <v>646.91</v>
          </cell>
          <cell r="CP31">
            <v>805.81</v>
          </cell>
          <cell r="CQ31">
            <v>795.08</v>
          </cell>
          <cell r="CR31">
            <v>900.36</v>
          </cell>
          <cell r="CS31">
            <v>901.01</v>
          </cell>
          <cell r="CT31">
            <v>-1359.83</v>
          </cell>
          <cell r="CU31">
            <v>663.66</v>
          </cell>
          <cell r="CV31">
            <v>614.49</v>
          </cell>
          <cell r="CW31">
            <v>655.37</v>
          </cell>
          <cell r="CX31">
            <v>690.05</v>
          </cell>
          <cell r="CZ31">
            <v>690.05</v>
          </cell>
          <cell r="DA31">
            <v>676.28770136259163</v>
          </cell>
          <cell r="DB31">
            <v>13.762298637407866</v>
          </cell>
        </row>
        <row r="32">
          <cell r="B32" t="str">
            <v>Water &amp; Electricity</v>
          </cell>
          <cell r="C32">
            <v>1598.92</v>
          </cell>
          <cell r="D32">
            <v>5246.45</v>
          </cell>
          <cell r="E32">
            <v>11350.14</v>
          </cell>
          <cell r="G32">
            <v>11350.14</v>
          </cell>
          <cell r="H32">
            <v>16163.56</v>
          </cell>
          <cell r="I32">
            <v>26898.04</v>
          </cell>
          <cell r="K32">
            <v>26898.04</v>
          </cell>
          <cell r="L32">
            <v>1596.37</v>
          </cell>
          <cell r="M32">
            <v>11605.83</v>
          </cell>
          <cell r="N32">
            <v>13274.68</v>
          </cell>
          <cell r="O32">
            <v>15043.17</v>
          </cell>
          <cell r="P32">
            <v>16069.2</v>
          </cell>
          <cell r="Q32">
            <v>17179.73</v>
          </cell>
          <cell r="R32">
            <v>18749.509999999998</v>
          </cell>
          <cell r="S32">
            <v>21588.639999999999</v>
          </cell>
          <cell r="T32">
            <v>962.35</v>
          </cell>
          <cell r="U32">
            <v>5160.7700000000004</v>
          </cell>
          <cell r="V32">
            <v>7998.6</v>
          </cell>
          <cell r="W32">
            <v>10324.030000000001</v>
          </cell>
          <cell r="X32">
            <v>12233.66</v>
          </cell>
          <cell r="Y32">
            <v>15716.83</v>
          </cell>
          <cell r="Z32">
            <v>24894.58</v>
          </cell>
          <cell r="AA32">
            <v>31582.880000000001</v>
          </cell>
          <cell r="AB32">
            <v>35170.81</v>
          </cell>
          <cell r="AC32">
            <v>37486.35</v>
          </cell>
          <cell r="AD32">
            <v>41396.18</v>
          </cell>
          <cell r="AE32">
            <v>46123.89</v>
          </cell>
          <cell r="AF32">
            <v>4902.2299999999996</v>
          </cell>
          <cell r="AG32">
            <v>10417.24</v>
          </cell>
          <cell r="AH32">
            <v>15868.31</v>
          </cell>
          <cell r="AI32">
            <v>19348.91</v>
          </cell>
          <cell r="AJ32">
            <v>23222.79</v>
          </cell>
          <cell r="AK32">
            <v>27256.83</v>
          </cell>
          <cell r="AL32">
            <v>31244.080000000002</v>
          </cell>
          <cell r="AM32">
            <v>34496.559999999998</v>
          </cell>
          <cell r="AN32">
            <v>38530.67</v>
          </cell>
          <cell r="AO32">
            <v>42515.38</v>
          </cell>
          <cell r="AP32">
            <v>47617.279999999999</v>
          </cell>
          <cell r="AQ32">
            <v>52948.86</v>
          </cell>
          <cell r="AR32">
            <v>6151.04</v>
          </cell>
          <cell r="AS32">
            <v>12012.2</v>
          </cell>
          <cell r="AT32">
            <v>17132.61</v>
          </cell>
          <cell r="AU32">
            <v>22759.78</v>
          </cell>
          <cell r="AV32">
            <v>26996.25</v>
          </cell>
          <cell r="AW32">
            <v>31821.34</v>
          </cell>
          <cell r="AX32">
            <v>36867.199999999997</v>
          </cell>
          <cell r="AY32">
            <v>40536.11</v>
          </cell>
          <cell r="AZ32">
            <v>45394.68</v>
          </cell>
          <cell r="BA32">
            <v>50331.11</v>
          </cell>
          <cell r="BB32">
            <v>50331.11</v>
          </cell>
          <cell r="BC32">
            <v>53436.11</v>
          </cell>
          <cell r="BD32">
            <v>-3105</v>
          </cell>
          <cell r="BE32">
            <v>833.66</v>
          </cell>
          <cell r="BF32">
            <v>944.3</v>
          </cell>
          <cell r="BG32">
            <v>1749.69</v>
          </cell>
          <cell r="BH32">
            <v>429.20999999999913</v>
          </cell>
          <cell r="BI32">
            <v>3395.17</v>
          </cell>
          <cell r="BJ32">
            <v>2072.35</v>
          </cell>
          <cell r="BK32">
            <v>1668.85</v>
          </cell>
          <cell r="BL32">
            <v>1768.49</v>
          </cell>
          <cell r="BM32">
            <v>1026.03</v>
          </cell>
          <cell r="BN32">
            <v>1110.53</v>
          </cell>
          <cell r="BO32">
            <v>1569.78</v>
          </cell>
          <cell r="BP32">
            <v>2839.13</v>
          </cell>
          <cell r="BQ32">
            <v>962.35</v>
          </cell>
          <cell r="BR32">
            <v>4198.42</v>
          </cell>
          <cell r="BS32">
            <v>2837.83</v>
          </cell>
          <cell r="BT32">
            <v>2325.4299999999998</v>
          </cell>
          <cell r="BU32">
            <v>1909.63</v>
          </cell>
          <cell r="BV32">
            <v>3483.17</v>
          </cell>
          <cell r="BW32">
            <v>9177.75</v>
          </cell>
          <cell r="BX32">
            <v>6688.3</v>
          </cell>
          <cell r="BY32">
            <v>3587.93</v>
          </cell>
          <cell r="BZ32">
            <v>2315.54</v>
          </cell>
          <cell r="CA32">
            <v>3909.83</v>
          </cell>
          <cell r="CB32">
            <v>4727.71</v>
          </cell>
          <cell r="CC32">
            <v>4902.2299999999996</v>
          </cell>
          <cell r="CD32">
            <v>5515.01</v>
          </cell>
          <cell r="CE32">
            <v>5451.07</v>
          </cell>
          <cell r="CF32">
            <v>3480.6</v>
          </cell>
          <cell r="CG32">
            <v>3873.88</v>
          </cell>
          <cell r="CH32">
            <v>4034.04</v>
          </cell>
          <cell r="CI32">
            <v>3987.25</v>
          </cell>
          <cell r="CJ32">
            <v>3252.48</v>
          </cell>
          <cell r="CK32">
            <v>4034.11</v>
          </cell>
          <cell r="CL32">
            <v>3984.71</v>
          </cell>
          <cell r="CM32">
            <v>5101.8999999999996</v>
          </cell>
          <cell r="CN32">
            <v>5331.58</v>
          </cell>
          <cell r="CO32">
            <v>6151.04</v>
          </cell>
          <cell r="CP32">
            <v>5861.16</v>
          </cell>
          <cell r="CQ32">
            <v>5120.41</v>
          </cell>
          <cell r="CR32">
            <v>5627.17</v>
          </cell>
          <cell r="CS32">
            <v>4236.47</v>
          </cell>
          <cell r="CT32">
            <v>4825.09</v>
          </cell>
          <cell r="CU32">
            <v>5045.8599999999997</v>
          </cell>
          <cell r="CV32">
            <v>3668.91</v>
          </cell>
          <cell r="CW32">
            <v>4858.57</v>
          </cell>
          <cell r="CX32">
            <v>4936.43</v>
          </cell>
          <cell r="CZ32">
            <v>4936.43</v>
          </cell>
          <cell r="DA32">
            <v>6450</v>
          </cell>
          <cell r="DB32">
            <v>-1513.57</v>
          </cell>
        </row>
        <row r="33">
          <cell r="B33" t="str">
            <v>Customs &amp; Duties &amp; Local Taxes</v>
          </cell>
          <cell r="C33">
            <v>5772.96</v>
          </cell>
          <cell r="D33">
            <v>16453.939999999999</v>
          </cell>
          <cell r="E33">
            <v>22167.5</v>
          </cell>
          <cell r="G33">
            <v>22167.5</v>
          </cell>
          <cell r="H33">
            <v>4857.8599999999997</v>
          </cell>
          <cell r="I33">
            <v>15589.17</v>
          </cell>
          <cell r="K33">
            <v>15589.17</v>
          </cell>
          <cell r="L33">
            <v>4072.61</v>
          </cell>
          <cell r="M33">
            <v>15517.92</v>
          </cell>
          <cell r="N33">
            <v>17404.29</v>
          </cell>
          <cell r="O33">
            <v>18744.88</v>
          </cell>
          <cell r="P33">
            <v>21101.1</v>
          </cell>
          <cell r="Q33">
            <v>27090.55</v>
          </cell>
          <cell r="R33">
            <v>31727.13</v>
          </cell>
          <cell r="S33">
            <v>36029.519999999997</v>
          </cell>
          <cell r="T33">
            <v>3152.56</v>
          </cell>
          <cell r="U33">
            <v>9122.39</v>
          </cell>
          <cell r="V33">
            <v>14601.92</v>
          </cell>
          <cell r="W33">
            <v>21993.73</v>
          </cell>
          <cell r="X33">
            <v>27647.13</v>
          </cell>
          <cell r="Y33">
            <v>34656.82</v>
          </cell>
          <cell r="Z33">
            <v>37481.72</v>
          </cell>
          <cell r="AA33">
            <v>44300.65</v>
          </cell>
          <cell r="AB33">
            <v>48272.95</v>
          </cell>
          <cell r="AC33">
            <v>51526.94</v>
          </cell>
          <cell r="AD33">
            <v>54882.51</v>
          </cell>
          <cell r="AE33">
            <v>82001.13</v>
          </cell>
          <cell r="AF33">
            <v>6471.55</v>
          </cell>
          <cell r="AG33">
            <v>10899.37</v>
          </cell>
          <cell r="AH33">
            <v>16849.93</v>
          </cell>
          <cell r="AI33">
            <v>20335.87</v>
          </cell>
          <cell r="AJ33">
            <v>24402.52</v>
          </cell>
          <cell r="AK33">
            <v>30736.5</v>
          </cell>
          <cell r="AL33">
            <v>35264.839999999997</v>
          </cell>
          <cell r="AM33">
            <v>37483.35</v>
          </cell>
          <cell r="AN33">
            <v>43432.82</v>
          </cell>
          <cell r="AO33">
            <v>47083.1</v>
          </cell>
          <cell r="AP33">
            <v>50069.93</v>
          </cell>
          <cell r="AQ33">
            <v>56705.79</v>
          </cell>
          <cell r="AR33">
            <v>4097.1099999999997</v>
          </cell>
          <cell r="AS33">
            <v>8864.2199999999993</v>
          </cell>
          <cell r="AT33">
            <v>12283.24</v>
          </cell>
          <cell r="AU33">
            <v>14023.93</v>
          </cell>
          <cell r="AV33">
            <v>26643.81</v>
          </cell>
          <cell r="AW33">
            <v>32132.61</v>
          </cell>
          <cell r="AX33">
            <v>35180.230000000003</v>
          </cell>
          <cell r="AY33">
            <v>36798.089999999997</v>
          </cell>
          <cell r="AZ33">
            <v>41302.800000000003</v>
          </cell>
          <cell r="BA33">
            <v>47354.61</v>
          </cell>
          <cell r="BB33">
            <v>47354.61</v>
          </cell>
          <cell r="BC33">
            <v>49561.281463532629</v>
          </cell>
          <cell r="BD33">
            <v>-2206.671463532628</v>
          </cell>
          <cell r="BE33">
            <v>3688.74</v>
          </cell>
          <cell r="BF33">
            <v>2234.9499999999998</v>
          </cell>
          <cell r="BG33">
            <v>835.46</v>
          </cell>
          <cell r="BH33">
            <v>265.7</v>
          </cell>
          <cell r="BI33">
            <v>1848.21</v>
          </cell>
          <cell r="BJ33">
            <v>2211.83</v>
          </cell>
          <cell r="BK33">
            <v>1886.37</v>
          </cell>
          <cell r="BL33">
            <v>1340.59</v>
          </cell>
          <cell r="BM33">
            <v>2356.2199999999998</v>
          </cell>
          <cell r="BN33">
            <v>5989.45</v>
          </cell>
          <cell r="BO33">
            <v>4636.58</v>
          </cell>
          <cell r="BP33">
            <v>4302.3900000000003</v>
          </cell>
          <cell r="BQ33">
            <v>3152.56</v>
          </cell>
          <cell r="BR33">
            <v>5969.83</v>
          </cell>
          <cell r="BS33">
            <v>5479.53</v>
          </cell>
          <cell r="BT33">
            <v>7391.81</v>
          </cell>
          <cell r="BU33">
            <v>5653.4</v>
          </cell>
          <cell r="BV33">
            <v>7009.69</v>
          </cell>
          <cell r="BW33">
            <v>2824.9</v>
          </cell>
          <cell r="BX33">
            <v>6818.93</v>
          </cell>
          <cell r="BY33">
            <v>3972.3</v>
          </cell>
          <cell r="BZ33">
            <v>3253.99</v>
          </cell>
          <cell r="CA33">
            <v>3355.57</v>
          </cell>
          <cell r="CB33">
            <v>27118.62</v>
          </cell>
          <cell r="CC33">
            <v>6471.55</v>
          </cell>
          <cell r="CD33">
            <v>4427.82</v>
          </cell>
          <cell r="CE33">
            <v>5950.56</v>
          </cell>
          <cell r="CF33">
            <v>3485.94</v>
          </cell>
          <cell r="CG33">
            <v>4066.65</v>
          </cell>
          <cell r="CH33">
            <v>6333.98</v>
          </cell>
          <cell r="CI33">
            <v>4528.34</v>
          </cell>
          <cell r="CJ33">
            <v>2218.5100000000002</v>
          </cell>
          <cell r="CK33">
            <v>5949.47</v>
          </cell>
          <cell r="CL33">
            <v>3650.28</v>
          </cell>
          <cell r="CM33">
            <v>2986.83</v>
          </cell>
          <cell r="CN33">
            <v>6635.86</v>
          </cell>
          <cell r="CO33">
            <v>4097.1099999999997</v>
          </cell>
          <cell r="CP33">
            <v>4767.1099999999997</v>
          </cell>
          <cell r="CQ33">
            <v>3419.02</v>
          </cell>
          <cell r="CR33">
            <v>1740.69</v>
          </cell>
          <cell r="CS33">
            <v>12619.88</v>
          </cell>
          <cell r="CT33">
            <v>5488.8</v>
          </cell>
          <cell r="CU33">
            <v>3047.62</v>
          </cell>
          <cell r="CV33">
            <v>1617.86</v>
          </cell>
          <cell r="CW33">
            <v>4504.71</v>
          </cell>
          <cell r="CX33">
            <v>6051.81</v>
          </cell>
          <cell r="CZ33">
            <v>6051.81</v>
          </cell>
          <cell r="DA33">
            <v>6682.0950207339274</v>
          </cell>
          <cell r="DB33">
            <v>-630.2850207339261</v>
          </cell>
        </row>
        <row r="34">
          <cell r="B34" t="str">
            <v>Outward Carriage</v>
          </cell>
          <cell r="C34">
            <v>315.95</v>
          </cell>
          <cell r="D34">
            <v>5676.3</v>
          </cell>
          <cell r="E34">
            <v>12504.77</v>
          </cell>
          <cell r="G34">
            <v>12504.77</v>
          </cell>
          <cell r="H34">
            <v>14892.66</v>
          </cell>
          <cell r="I34">
            <v>35124.639999999999</v>
          </cell>
          <cell r="K34">
            <v>35124.639999999999</v>
          </cell>
          <cell r="L34">
            <v>3068.59</v>
          </cell>
          <cell r="M34">
            <v>18619.72</v>
          </cell>
          <cell r="N34">
            <v>22179.27</v>
          </cell>
          <cell r="O34">
            <v>25325.119999999999</v>
          </cell>
          <cell r="P34">
            <v>28336.23</v>
          </cell>
          <cell r="Q34">
            <v>33421.68</v>
          </cell>
          <cell r="R34">
            <v>35676.65</v>
          </cell>
          <cell r="S34">
            <v>43342.42</v>
          </cell>
          <cell r="T34">
            <v>3086.57</v>
          </cell>
          <cell r="U34">
            <v>9810.6</v>
          </cell>
          <cell r="V34">
            <v>15483.21</v>
          </cell>
          <cell r="W34">
            <v>21796.880000000001</v>
          </cell>
          <cell r="X34">
            <v>33841.69</v>
          </cell>
          <cell r="Y34">
            <v>51143.63</v>
          </cell>
          <cell r="Z34">
            <v>60320.46</v>
          </cell>
          <cell r="AA34">
            <v>69577.039999999994</v>
          </cell>
          <cell r="AB34">
            <v>72458.44</v>
          </cell>
          <cell r="AC34">
            <v>78775.399999999994</v>
          </cell>
          <cell r="AD34">
            <v>83980.19</v>
          </cell>
          <cell r="AE34">
            <v>93838.57</v>
          </cell>
          <cell r="AF34">
            <v>4230.54</v>
          </cell>
          <cell r="AG34">
            <v>10202.59</v>
          </cell>
          <cell r="AH34">
            <v>15828.96</v>
          </cell>
          <cell r="AI34">
            <v>23900.31</v>
          </cell>
          <cell r="AJ34">
            <v>33558.910000000003</v>
          </cell>
          <cell r="AK34">
            <v>43127.67</v>
          </cell>
          <cell r="AL34">
            <v>54064.13</v>
          </cell>
          <cell r="AM34">
            <v>57907.39</v>
          </cell>
          <cell r="AN34">
            <v>63337.95</v>
          </cell>
          <cell r="AO34">
            <v>66870.350000000006</v>
          </cell>
          <cell r="AP34">
            <v>73575.350000000006</v>
          </cell>
          <cell r="AQ34">
            <v>84922.48</v>
          </cell>
          <cell r="AR34">
            <v>8929.82</v>
          </cell>
          <cell r="AS34">
            <v>29083.71</v>
          </cell>
          <cell r="AT34">
            <v>38699.160000000003</v>
          </cell>
          <cell r="AU34">
            <v>48352.69</v>
          </cell>
          <cell r="AV34">
            <v>62617.1</v>
          </cell>
          <cell r="AW34">
            <v>86990.47</v>
          </cell>
          <cell r="AX34">
            <v>102422.47</v>
          </cell>
          <cell r="AY34">
            <v>111883.18</v>
          </cell>
          <cell r="AZ34">
            <v>133137.91</v>
          </cell>
          <cell r="BA34">
            <v>148887.23000000001</v>
          </cell>
          <cell r="BB34">
            <v>148887.23000000001</v>
          </cell>
          <cell r="BC34">
            <v>137271.35911511732</v>
          </cell>
          <cell r="BD34">
            <v>11615.870884882665</v>
          </cell>
          <cell r="BE34">
            <v>0</v>
          </cell>
          <cell r="BF34">
            <v>1156.4100000000001</v>
          </cell>
          <cell r="BG34">
            <v>1023.47</v>
          </cell>
          <cell r="BH34">
            <v>4521.6899999999996</v>
          </cell>
          <cell r="BI34">
            <v>3515.13</v>
          </cell>
          <cell r="BJ34">
            <v>2715.43</v>
          </cell>
          <cell r="BK34">
            <v>3559.55</v>
          </cell>
          <cell r="BL34">
            <v>3145.85</v>
          </cell>
          <cell r="BM34">
            <v>3011.11</v>
          </cell>
          <cell r="BN34">
            <v>5085.45</v>
          </cell>
          <cell r="BO34">
            <v>2254.9699999999998</v>
          </cell>
          <cell r="BP34">
            <v>7665.77</v>
          </cell>
          <cell r="BQ34">
            <v>3086.57</v>
          </cell>
          <cell r="BR34">
            <v>6724.03</v>
          </cell>
          <cell r="BS34">
            <v>5672.61</v>
          </cell>
          <cell r="BT34">
            <v>6313.67</v>
          </cell>
          <cell r="BU34">
            <v>12044.81</v>
          </cell>
          <cell r="BV34">
            <v>17301.939999999999</v>
          </cell>
          <cell r="BW34">
            <v>9176.83</v>
          </cell>
          <cell r="BX34">
            <v>9256.58</v>
          </cell>
          <cell r="BY34">
            <v>2881.4</v>
          </cell>
          <cell r="BZ34">
            <v>6316.9600000000082</v>
          </cell>
          <cell r="CA34">
            <v>5204.79</v>
          </cell>
          <cell r="CB34">
            <v>9858.3799999999937</v>
          </cell>
          <cell r="CC34">
            <v>4230.54</v>
          </cell>
          <cell r="CD34">
            <v>5972.05</v>
          </cell>
          <cell r="CE34">
            <v>5626.37</v>
          </cell>
          <cell r="CF34">
            <v>8071.35</v>
          </cell>
          <cell r="CG34">
            <v>9658.6</v>
          </cell>
          <cell r="CH34">
            <v>9568.76</v>
          </cell>
          <cell r="CI34">
            <v>10936.46</v>
          </cell>
          <cell r="CJ34">
            <v>3843.26</v>
          </cell>
          <cell r="CK34">
            <v>5430.56</v>
          </cell>
          <cell r="CL34">
            <v>3532.4</v>
          </cell>
          <cell r="CM34">
            <v>6705</v>
          </cell>
          <cell r="CN34">
            <v>11347.13</v>
          </cell>
          <cell r="CO34">
            <v>8929.82</v>
          </cell>
          <cell r="CP34">
            <v>20153.89</v>
          </cell>
          <cell r="CQ34">
            <v>9615.4500000000007</v>
          </cell>
          <cell r="CR34">
            <v>9653.5300000000007</v>
          </cell>
          <cell r="CS34">
            <v>14264.41</v>
          </cell>
          <cell r="CT34">
            <v>24373.37</v>
          </cell>
          <cell r="CU34">
            <v>15432</v>
          </cell>
          <cell r="CV34">
            <v>9460.7099999999991</v>
          </cell>
          <cell r="CW34">
            <v>21254.73</v>
          </cell>
          <cell r="CX34">
            <v>15749.32</v>
          </cell>
          <cell r="CZ34">
            <v>15749.32</v>
          </cell>
          <cell r="DA34">
            <v>13291.834235609862</v>
          </cell>
          <cell r="DB34">
            <v>2457.4857643901196</v>
          </cell>
        </row>
        <row r="35">
          <cell r="B35" t="str">
            <v>Upkeep of Motor Veh</v>
          </cell>
          <cell r="C35">
            <v>0</v>
          </cell>
          <cell r="D35">
            <v>3903.01</v>
          </cell>
          <cell r="E35">
            <v>9529.07</v>
          </cell>
          <cell r="G35">
            <v>9529.07</v>
          </cell>
          <cell r="H35">
            <v>8796.42</v>
          </cell>
          <cell r="I35">
            <v>19082.71</v>
          </cell>
          <cell r="K35">
            <v>19082.71</v>
          </cell>
          <cell r="L35">
            <v>1327.29</v>
          </cell>
          <cell r="M35">
            <v>10191.68</v>
          </cell>
          <cell r="N35">
            <v>11695.78</v>
          </cell>
          <cell r="O35">
            <v>13668.33</v>
          </cell>
          <cell r="P35">
            <v>15505.14</v>
          </cell>
          <cell r="Q35">
            <v>18700.25</v>
          </cell>
          <cell r="R35">
            <v>20458.64</v>
          </cell>
          <cell r="S35">
            <v>21947.93</v>
          </cell>
          <cell r="T35">
            <v>2709.18</v>
          </cell>
          <cell r="U35">
            <v>4157.7</v>
          </cell>
          <cell r="V35">
            <v>6237.95</v>
          </cell>
          <cell r="W35">
            <v>9466.89</v>
          </cell>
          <cell r="X35">
            <v>12138.64</v>
          </cell>
          <cell r="Y35">
            <v>19735.7</v>
          </cell>
          <cell r="Z35">
            <v>17998.759999999998</v>
          </cell>
          <cell r="AA35">
            <v>22275.11</v>
          </cell>
          <cell r="AB35">
            <v>22871.98</v>
          </cell>
          <cell r="AC35">
            <v>25099.09</v>
          </cell>
          <cell r="AD35">
            <v>27578.080000000002</v>
          </cell>
          <cell r="AE35">
            <v>30579.71</v>
          </cell>
          <cell r="AF35">
            <v>599.33000000000004</v>
          </cell>
          <cell r="AG35">
            <v>4994.4799999999996</v>
          </cell>
          <cell r="AH35">
            <v>8558.1200000000008</v>
          </cell>
          <cell r="AI35">
            <v>10871.3</v>
          </cell>
          <cell r="AJ35">
            <v>14525.84</v>
          </cell>
          <cell r="AK35">
            <v>21660.94</v>
          </cell>
          <cell r="AL35">
            <v>22954.76</v>
          </cell>
          <cell r="AM35">
            <v>26482.69</v>
          </cell>
          <cell r="AN35">
            <v>29010.22</v>
          </cell>
          <cell r="AO35">
            <v>32733.26</v>
          </cell>
          <cell r="AP35">
            <v>35394.32</v>
          </cell>
          <cell r="AQ35">
            <v>37955.33</v>
          </cell>
          <cell r="AR35">
            <v>4201.8</v>
          </cell>
          <cell r="AS35">
            <v>6842.3</v>
          </cell>
          <cell r="AT35">
            <v>11074.65</v>
          </cell>
          <cell r="AU35">
            <v>13967.71</v>
          </cell>
          <cell r="AV35">
            <v>17085.939999999999</v>
          </cell>
          <cell r="AW35">
            <v>22758.400000000001</v>
          </cell>
          <cell r="AX35">
            <v>26265.71</v>
          </cell>
          <cell r="AY35">
            <v>30405.73</v>
          </cell>
          <cell r="AZ35">
            <v>32421.69</v>
          </cell>
          <cell r="BA35">
            <v>37167.57</v>
          </cell>
          <cell r="BB35">
            <v>37167.57</v>
          </cell>
          <cell r="BC35">
            <v>37860.374831845555</v>
          </cell>
          <cell r="BD35">
            <v>-692.80483184555487</v>
          </cell>
          <cell r="BE35">
            <v>0</v>
          </cell>
          <cell r="BF35">
            <v>-248.79</v>
          </cell>
          <cell r="BG35">
            <v>9.0100000000002183</v>
          </cell>
          <cell r="BH35">
            <v>3984.09</v>
          </cell>
          <cell r="BI35">
            <v>3615.22</v>
          </cell>
          <cell r="BJ35">
            <v>2062.5500000000002</v>
          </cell>
          <cell r="BK35">
            <v>1504.1</v>
          </cell>
          <cell r="BL35">
            <v>1972.55</v>
          </cell>
          <cell r="BM35">
            <v>1836.81</v>
          </cell>
          <cell r="BN35">
            <v>3195.11</v>
          </cell>
          <cell r="BO35">
            <v>1758.39</v>
          </cell>
          <cell r="BP35">
            <v>1489.29</v>
          </cell>
          <cell r="BQ35">
            <v>2709.18</v>
          </cell>
          <cell r="BR35">
            <v>1448.52</v>
          </cell>
          <cell r="BS35">
            <v>2080.25</v>
          </cell>
          <cell r="BT35">
            <v>3228.94</v>
          </cell>
          <cell r="BU35">
            <v>2671.75</v>
          </cell>
          <cell r="BV35">
            <v>7597.06</v>
          </cell>
          <cell r="BW35">
            <v>-1736.94</v>
          </cell>
          <cell r="BX35">
            <v>4276.3500000000004</v>
          </cell>
          <cell r="BY35">
            <v>596.86999999999898</v>
          </cell>
          <cell r="BZ35">
            <v>2227.11</v>
          </cell>
          <cell r="CA35">
            <v>2478.9899999999998</v>
          </cell>
          <cell r="CB35">
            <v>3001.63</v>
          </cell>
          <cell r="CC35">
            <v>599.33000000000004</v>
          </cell>
          <cell r="CD35">
            <v>4395.1499999999996</v>
          </cell>
          <cell r="CE35">
            <v>3563.64</v>
          </cell>
          <cell r="CF35">
            <v>2313.1799999999998</v>
          </cell>
          <cell r="CG35">
            <v>3654.54</v>
          </cell>
          <cell r="CH35">
            <v>7135.1</v>
          </cell>
          <cell r="CI35">
            <v>1293.82</v>
          </cell>
          <cell r="CJ35">
            <v>3527.93</v>
          </cell>
          <cell r="CK35">
            <v>2527.5300000000002</v>
          </cell>
          <cell r="CL35">
            <v>3723.04</v>
          </cell>
          <cell r="CM35">
            <v>2661.06</v>
          </cell>
          <cell r="CN35">
            <v>2561.0100000000002</v>
          </cell>
          <cell r="CO35">
            <v>4201.8</v>
          </cell>
          <cell r="CP35">
            <v>2640.5</v>
          </cell>
          <cell r="CQ35">
            <v>4232.3500000000004</v>
          </cell>
          <cell r="CR35">
            <v>2893.06</v>
          </cell>
          <cell r="CS35">
            <v>3118.23</v>
          </cell>
          <cell r="CT35">
            <v>5672.46</v>
          </cell>
          <cell r="CU35">
            <v>3507.31</v>
          </cell>
          <cell r="CV35">
            <v>4140.0200000000004</v>
          </cell>
          <cell r="CW35">
            <v>2015.96</v>
          </cell>
          <cell r="CX35">
            <v>4745.88</v>
          </cell>
          <cell r="CZ35">
            <v>4745.88</v>
          </cell>
          <cell r="DA35">
            <v>3902.8361561872066</v>
          </cell>
          <cell r="DB35">
            <v>843.04384381279442</v>
          </cell>
        </row>
        <row r="36">
          <cell r="B36" t="str">
            <v>Insurance - Property &amp; Life</v>
          </cell>
          <cell r="C36">
            <v>0</v>
          </cell>
          <cell r="D36">
            <v>1549.39</v>
          </cell>
          <cell r="E36">
            <v>2644.64</v>
          </cell>
          <cell r="F36">
            <v>1849.82</v>
          </cell>
          <cell r="G36">
            <v>4494.46</v>
          </cell>
          <cell r="H36">
            <v>2872.3</v>
          </cell>
          <cell r="I36">
            <v>4032.17</v>
          </cell>
          <cell r="K36">
            <v>4032.17</v>
          </cell>
          <cell r="L36">
            <v>144.94999999999999</v>
          </cell>
          <cell r="M36">
            <v>869.7</v>
          </cell>
          <cell r="N36">
            <v>1734.41</v>
          </cell>
          <cell r="O36">
            <v>1934.41</v>
          </cell>
          <cell r="P36">
            <v>1868.28</v>
          </cell>
          <cell r="Q36">
            <v>2191.71</v>
          </cell>
          <cell r="R36">
            <v>2303</v>
          </cell>
          <cell r="S36">
            <v>2414.29</v>
          </cell>
          <cell r="T36">
            <v>111.28</v>
          </cell>
          <cell r="U36">
            <v>222.56</v>
          </cell>
          <cell r="V36">
            <v>1139.0899999999999</v>
          </cell>
          <cell r="W36">
            <v>2356.14</v>
          </cell>
          <cell r="X36">
            <v>2467.42</v>
          </cell>
          <cell r="Y36">
            <v>2578.6999999999998</v>
          </cell>
          <cell r="Z36">
            <v>2698.7</v>
          </cell>
          <cell r="AA36">
            <v>2825.13</v>
          </cell>
          <cell r="AB36">
            <v>2945.13</v>
          </cell>
          <cell r="AC36">
            <v>3065.13</v>
          </cell>
          <cell r="AD36">
            <v>3141.58</v>
          </cell>
          <cell r="AE36">
            <v>3252.87</v>
          </cell>
          <cell r="AF36">
            <v>111.28</v>
          </cell>
          <cell r="AG36">
            <v>222.56</v>
          </cell>
          <cell r="AH36">
            <v>333.84</v>
          </cell>
          <cell r="AI36">
            <v>2378.42</v>
          </cell>
          <cell r="AJ36">
            <v>2489.6999999999998</v>
          </cell>
          <cell r="AK36">
            <v>2600.98</v>
          </cell>
          <cell r="AL36">
            <v>2720.98</v>
          </cell>
          <cell r="AM36">
            <v>2840.98</v>
          </cell>
          <cell r="AN36">
            <v>4268.9799999999996</v>
          </cell>
          <cell r="AO36">
            <v>4388.9799999999996</v>
          </cell>
          <cell r="AP36">
            <v>4508.9799999999996</v>
          </cell>
          <cell r="AQ36">
            <v>4468.9799999999996</v>
          </cell>
          <cell r="AR36">
            <v>847.57</v>
          </cell>
          <cell r="AS36">
            <v>1048.6400000000001</v>
          </cell>
          <cell r="AT36">
            <v>1249.7</v>
          </cell>
          <cell r="AU36">
            <v>1688.72</v>
          </cell>
          <cell r="AV36">
            <v>2483.5300000000002</v>
          </cell>
          <cell r="AW36">
            <v>2684.59</v>
          </cell>
          <cell r="AX36">
            <v>2884.59</v>
          </cell>
          <cell r="AY36">
            <v>3084.59</v>
          </cell>
          <cell r="AZ36">
            <v>3284.59</v>
          </cell>
          <cell r="BA36">
            <v>3484.59</v>
          </cell>
          <cell r="BB36">
            <v>3484.59</v>
          </cell>
          <cell r="BC36">
            <v>3984.59</v>
          </cell>
          <cell r="BD36">
            <v>-500</v>
          </cell>
          <cell r="BE36">
            <v>0</v>
          </cell>
          <cell r="BF36">
            <v>70.940000000000055</v>
          </cell>
          <cell r="BG36">
            <v>290.33999999999997</v>
          </cell>
          <cell r="BH36">
            <v>176.81</v>
          </cell>
          <cell r="BI36">
            <v>435.14</v>
          </cell>
          <cell r="BJ36">
            <v>144.94999999999999</v>
          </cell>
          <cell r="BK36">
            <v>864.71</v>
          </cell>
          <cell r="BL36">
            <v>200</v>
          </cell>
          <cell r="BM36">
            <v>-66.130000000000109</v>
          </cell>
          <cell r="BN36">
            <v>323.43</v>
          </cell>
          <cell r="BO36">
            <v>111.29</v>
          </cell>
          <cell r="BP36">
            <v>111.29</v>
          </cell>
          <cell r="BQ36">
            <v>111.28</v>
          </cell>
          <cell r="BR36">
            <v>111.28</v>
          </cell>
          <cell r="BS36">
            <v>916.53</v>
          </cell>
          <cell r="BT36">
            <v>1217.05</v>
          </cell>
          <cell r="BU36">
            <v>111.28</v>
          </cell>
          <cell r="BV36">
            <v>111.28</v>
          </cell>
          <cell r="BW36">
            <v>120</v>
          </cell>
          <cell r="BX36">
            <v>126.43</v>
          </cell>
          <cell r="BY36">
            <v>120</v>
          </cell>
          <cell r="BZ36">
            <v>120</v>
          </cell>
          <cell r="CA36">
            <v>76.449999999999818</v>
          </cell>
          <cell r="CB36">
            <v>111.29</v>
          </cell>
          <cell r="CC36">
            <v>111.28</v>
          </cell>
          <cell r="CD36">
            <v>111.28</v>
          </cell>
          <cell r="CE36">
            <v>111.28</v>
          </cell>
          <cell r="CF36">
            <v>2044.58</v>
          </cell>
          <cell r="CG36">
            <v>111.28</v>
          </cell>
          <cell r="CH36">
            <v>111.28</v>
          </cell>
          <cell r="CI36">
            <v>120</v>
          </cell>
          <cell r="CJ36">
            <v>120</v>
          </cell>
          <cell r="CK36">
            <v>1428</v>
          </cell>
          <cell r="CL36">
            <v>120</v>
          </cell>
          <cell r="CM36">
            <v>120</v>
          </cell>
          <cell r="CN36">
            <v>-40</v>
          </cell>
          <cell r="CO36">
            <v>847.57</v>
          </cell>
          <cell r="CP36">
            <v>201.07</v>
          </cell>
          <cell r="CQ36">
            <v>201.06</v>
          </cell>
          <cell r="CR36">
            <v>439.02</v>
          </cell>
          <cell r="CS36">
            <v>794.81</v>
          </cell>
          <cell r="CT36">
            <v>201.06</v>
          </cell>
          <cell r="CU36">
            <v>200</v>
          </cell>
          <cell r="CV36">
            <v>200</v>
          </cell>
          <cell r="CW36">
            <v>200</v>
          </cell>
          <cell r="CX36">
            <v>200</v>
          </cell>
          <cell r="CZ36">
            <v>200</v>
          </cell>
          <cell r="DA36">
            <v>450</v>
          </cell>
          <cell r="DB36">
            <v>-250</v>
          </cell>
        </row>
        <row r="37">
          <cell r="B37" t="str">
            <v>Maintenance Expenses</v>
          </cell>
          <cell r="C37">
            <v>11144.63</v>
          </cell>
          <cell r="D37">
            <v>17449.990000000002</v>
          </cell>
          <cell r="E37">
            <v>26556.48</v>
          </cell>
          <cell r="F37">
            <v>-27282.17</v>
          </cell>
          <cell r="G37">
            <v>-725.68999999999869</v>
          </cell>
          <cell r="H37">
            <v>7200.54</v>
          </cell>
          <cell r="I37">
            <v>14040.72</v>
          </cell>
          <cell r="K37">
            <v>14040.72</v>
          </cell>
          <cell r="L37">
            <v>1282.31</v>
          </cell>
          <cell r="M37">
            <v>7427.13</v>
          </cell>
          <cell r="N37">
            <v>8209.92</v>
          </cell>
          <cell r="O37">
            <v>9029.94</v>
          </cell>
          <cell r="P37">
            <v>9871.99</v>
          </cell>
          <cell r="Q37">
            <v>10675.77</v>
          </cell>
          <cell r="R37">
            <v>11897.09</v>
          </cell>
          <cell r="S37">
            <v>14073.74</v>
          </cell>
          <cell r="T37">
            <v>3368.05</v>
          </cell>
          <cell r="U37">
            <v>5810.82</v>
          </cell>
          <cell r="V37">
            <v>7601.67</v>
          </cell>
          <cell r="W37">
            <v>9085.33</v>
          </cell>
          <cell r="X37">
            <v>12710.13</v>
          </cell>
          <cell r="Y37">
            <v>14650.65</v>
          </cell>
          <cell r="Z37">
            <v>17007.79</v>
          </cell>
          <cell r="AA37">
            <v>19033.099999999999</v>
          </cell>
          <cell r="AB37">
            <v>20811.060000000001</v>
          </cell>
          <cell r="AC37">
            <v>22535.67</v>
          </cell>
          <cell r="AD37">
            <v>24622.03</v>
          </cell>
          <cell r="AE37">
            <v>27303.96</v>
          </cell>
          <cell r="AF37">
            <v>1718.36</v>
          </cell>
          <cell r="AG37">
            <v>3083.28</v>
          </cell>
          <cell r="AH37">
            <v>6742.05</v>
          </cell>
          <cell r="AI37">
            <v>8485.5400000000009</v>
          </cell>
          <cell r="AJ37">
            <v>10866.47</v>
          </cell>
          <cell r="AK37">
            <v>13860.42</v>
          </cell>
          <cell r="AL37">
            <v>16699.419999999998</v>
          </cell>
          <cell r="AM37">
            <v>17882.88</v>
          </cell>
          <cell r="AN37">
            <v>21136.25</v>
          </cell>
          <cell r="AO37">
            <v>23368.19</v>
          </cell>
          <cell r="AP37">
            <v>25248.42</v>
          </cell>
          <cell r="AQ37">
            <v>26273.53</v>
          </cell>
          <cell r="AR37">
            <v>1543.66</v>
          </cell>
          <cell r="AS37">
            <v>2815.05</v>
          </cell>
          <cell r="AT37">
            <v>9112</v>
          </cell>
          <cell r="AU37">
            <v>10044.950000000001</v>
          </cell>
          <cell r="AV37">
            <v>12873.08</v>
          </cell>
          <cell r="AW37">
            <v>15058.88</v>
          </cell>
          <cell r="AX37">
            <v>18200.87</v>
          </cell>
          <cell r="AY37">
            <v>20032.830000000002</v>
          </cell>
          <cell r="AZ37">
            <v>21983.360000000001</v>
          </cell>
          <cell r="BA37">
            <v>22570.01</v>
          </cell>
          <cell r="BB37">
            <v>22570.01</v>
          </cell>
          <cell r="BC37">
            <v>24694.188314084029</v>
          </cell>
          <cell r="BD37">
            <v>-2124.1783140840307</v>
          </cell>
          <cell r="BE37">
            <v>1809.94</v>
          </cell>
          <cell r="BF37">
            <v>1441.59</v>
          </cell>
          <cell r="BG37">
            <v>1420.26</v>
          </cell>
          <cell r="BH37">
            <v>-336.1</v>
          </cell>
          <cell r="BI37">
            <v>1037.5999999999999</v>
          </cell>
          <cell r="BJ37">
            <v>809.11999999999944</v>
          </cell>
          <cell r="BK37">
            <v>782.79000000000087</v>
          </cell>
          <cell r="BL37">
            <v>820.02</v>
          </cell>
          <cell r="BM37">
            <v>842.04999999999927</v>
          </cell>
          <cell r="BN37">
            <v>803.78000000000065</v>
          </cell>
          <cell r="BO37">
            <v>1221.32</v>
          </cell>
          <cell r="BP37">
            <v>2176.65</v>
          </cell>
          <cell r="BQ37">
            <v>3368.05</v>
          </cell>
          <cell r="BR37">
            <v>2442.77</v>
          </cell>
          <cell r="BS37">
            <v>1790.85</v>
          </cell>
          <cell r="BT37">
            <v>1483.66</v>
          </cell>
          <cell r="BU37">
            <v>3624.8</v>
          </cell>
          <cell r="BV37">
            <v>1940.52</v>
          </cell>
          <cell r="BW37">
            <v>2357.14</v>
          </cell>
          <cell r="BX37">
            <v>2025.31</v>
          </cell>
          <cell r="BY37">
            <v>1777.96</v>
          </cell>
          <cell r="BZ37">
            <v>1724.61</v>
          </cell>
          <cell r="CA37">
            <v>2086.36</v>
          </cell>
          <cell r="CB37">
            <v>2681.93</v>
          </cell>
          <cell r="CC37">
            <v>1718.36</v>
          </cell>
          <cell r="CD37">
            <v>1364.92</v>
          </cell>
          <cell r="CE37">
            <v>3658.77</v>
          </cell>
          <cell r="CF37">
            <v>1743.49</v>
          </cell>
          <cell r="CG37">
            <v>2380.9299999999998</v>
          </cell>
          <cell r="CH37">
            <v>2993.95</v>
          </cell>
          <cell r="CI37">
            <v>2839</v>
          </cell>
          <cell r="CJ37">
            <v>1183.46</v>
          </cell>
          <cell r="CK37">
            <v>3253.37</v>
          </cell>
          <cell r="CL37">
            <v>2231.94</v>
          </cell>
          <cell r="CM37">
            <v>1880.23</v>
          </cell>
          <cell r="CN37">
            <v>1025.1099999999999</v>
          </cell>
          <cell r="CO37">
            <v>1543.66</v>
          </cell>
          <cell r="CP37">
            <v>1271.3900000000001</v>
          </cell>
          <cell r="CQ37">
            <v>6296.95</v>
          </cell>
          <cell r="CR37">
            <v>932.94999999999936</v>
          </cell>
          <cell r="CS37">
            <v>2828.13</v>
          </cell>
          <cell r="CT37">
            <v>2185.8000000000002</v>
          </cell>
          <cell r="CU37">
            <v>3141.99</v>
          </cell>
          <cell r="CV37">
            <v>1831.96</v>
          </cell>
          <cell r="CW37">
            <v>1950.53</v>
          </cell>
          <cell r="CX37">
            <v>586.64999999999782</v>
          </cell>
          <cell r="CZ37">
            <v>586.64999999999782</v>
          </cell>
          <cell r="DA37">
            <v>2440.4271666215764</v>
          </cell>
          <cell r="DB37">
            <v>-1853.7771666215785</v>
          </cell>
        </row>
        <row r="38">
          <cell r="B38" t="str">
            <v>Depreciation</v>
          </cell>
          <cell r="C38">
            <v>0</v>
          </cell>
          <cell r="D38">
            <v>8257</v>
          </cell>
          <cell r="E38">
            <v>17884.55</v>
          </cell>
          <cell r="G38">
            <v>17884.55</v>
          </cell>
          <cell r="H38">
            <v>19743.59</v>
          </cell>
          <cell r="I38">
            <v>39990.199999999997</v>
          </cell>
          <cell r="K38">
            <v>39990.199999999997</v>
          </cell>
          <cell r="L38">
            <v>5003.0200000000004</v>
          </cell>
          <cell r="M38">
            <v>31952.12</v>
          </cell>
          <cell r="N38">
            <v>38378.89</v>
          </cell>
          <cell r="O38">
            <v>44805.66</v>
          </cell>
          <cell r="P38">
            <v>51243.44</v>
          </cell>
          <cell r="Q38">
            <v>57771.66</v>
          </cell>
          <cell r="R38">
            <v>64413.72</v>
          </cell>
          <cell r="S38">
            <v>71427.740000000005</v>
          </cell>
          <cell r="T38">
            <v>7057.89</v>
          </cell>
          <cell r="U38">
            <v>14198.1</v>
          </cell>
          <cell r="V38">
            <v>21438.36</v>
          </cell>
          <cell r="W38">
            <v>30082.15</v>
          </cell>
          <cell r="X38">
            <v>38905.82</v>
          </cell>
          <cell r="Y38">
            <v>48623.54</v>
          </cell>
          <cell r="Z38">
            <v>58269.69</v>
          </cell>
          <cell r="AA38">
            <v>67915.839999999997</v>
          </cell>
          <cell r="AB38">
            <v>77566.87</v>
          </cell>
          <cell r="AC38">
            <v>88831.75</v>
          </cell>
          <cell r="AD38">
            <v>95673.63</v>
          </cell>
          <cell r="AE38">
            <v>106942.51</v>
          </cell>
          <cell r="AF38">
            <v>11143.05</v>
          </cell>
          <cell r="AG38">
            <v>22333.32</v>
          </cell>
          <cell r="AH38">
            <v>33304.410000000003</v>
          </cell>
          <cell r="AI38">
            <v>44504.93</v>
          </cell>
          <cell r="AJ38">
            <v>55666.61</v>
          </cell>
          <cell r="AK38">
            <v>66828.289999999994</v>
          </cell>
          <cell r="AL38">
            <v>77989.97</v>
          </cell>
          <cell r="AM38">
            <v>89189.37</v>
          </cell>
          <cell r="AN38">
            <v>100391.95</v>
          </cell>
          <cell r="AO38">
            <v>111682.52</v>
          </cell>
          <cell r="AP38">
            <v>122954.55</v>
          </cell>
          <cell r="AQ38">
            <v>134192.87</v>
          </cell>
          <cell r="AR38">
            <v>11423.64</v>
          </cell>
          <cell r="AS38">
            <v>21844.14</v>
          </cell>
          <cell r="AT38">
            <v>32728.77</v>
          </cell>
          <cell r="AU38">
            <v>43339.29</v>
          </cell>
          <cell r="AV38">
            <v>54142.6</v>
          </cell>
          <cell r="AW38">
            <v>64935.69</v>
          </cell>
          <cell r="AX38">
            <v>75680.59</v>
          </cell>
          <cell r="AY38">
            <v>86467.62</v>
          </cell>
          <cell r="AZ38">
            <v>97202.03</v>
          </cell>
          <cell r="BA38">
            <v>106373.28</v>
          </cell>
          <cell r="BB38">
            <v>106373.28</v>
          </cell>
          <cell r="BC38">
            <v>108632.89499999997</v>
          </cell>
          <cell r="BD38">
            <v>-2259.6149999999761</v>
          </cell>
          <cell r="BE38">
            <v>0</v>
          </cell>
          <cell r="BF38">
            <v>1410.11</v>
          </cell>
          <cell r="BG38">
            <v>1775.7</v>
          </cell>
          <cell r="BH38">
            <v>3935.09</v>
          </cell>
          <cell r="BI38">
            <v>3517.95</v>
          </cell>
          <cell r="BJ38">
            <v>5703.07</v>
          </cell>
          <cell r="BK38">
            <v>6426.77</v>
          </cell>
          <cell r="BL38">
            <v>6426.77</v>
          </cell>
          <cell r="BM38">
            <v>6437.78</v>
          </cell>
          <cell r="BN38">
            <v>6528.22</v>
          </cell>
          <cell r="BO38">
            <v>6642.06</v>
          </cell>
          <cell r="BP38">
            <v>7014.02</v>
          </cell>
          <cell r="BQ38">
            <v>7057.89</v>
          </cell>
          <cell r="BR38">
            <v>7140.21</v>
          </cell>
          <cell r="BS38">
            <v>7240.26</v>
          </cell>
          <cell r="BT38">
            <v>8643.7900000000009</v>
          </cell>
          <cell r="BU38">
            <v>8823.67</v>
          </cell>
          <cell r="BV38">
            <v>9717.7199999999993</v>
          </cell>
          <cell r="BW38">
            <v>9646.15</v>
          </cell>
          <cell r="BX38">
            <v>9646.1499999999942</v>
          </cell>
          <cell r="BY38">
            <v>9651.0300000000007</v>
          </cell>
          <cell r="BZ38">
            <v>11264.88</v>
          </cell>
          <cell r="CA38">
            <v>6841.88</v>
          </cell>
          <cell r="CB38">
            <v>11268.88</v>
          </cell>
          <cell r="CC38">
            <v>11143.05</v>
          </cell>
          <cell r="CD38">
            <v>11190.27</v>
          </cell>
          <cell r="CE38">
            <v>10971.09</v>
          </cell>
          <cell r="CF38">
            <v>11200.52</v>
          </cell>
          <cell r="CG38">
            <v>11161.68</v>
          </cell>
          <cell r="CH38">
            <v>11161.68</v>
          </cell>
          <cell r="CI38">
            <v>11161.68</v>
          </cell>
          <cell r="CJ38">
            <v>11199.4</v>
          </cell>
          <cell r="CK38">
            <v>11202.58</v>
          </cell>
          <cell r="CL38">
            <v>11290.57</v>
          </cell>
          <cell r="CM38">
            <v>11272.03</v>
          </cell>
          <cell r="CN38">
            <v>11238.32</v>
          </cell>
          <cell r="CO38">
            <v>11423.64</v>
          </cell>
          <cell r="CP38">
            <v>10420.5</v>
          </cell>
          <cell r="CQ38">
            <v>10884.63</v>
          </cell>
          <cell r="CR38">
            <v>10610.52</v>
          </cell>
          <cell r="CS38">
            <v>10803.31</v>
          </cell>
          <cell r="CT38">
            <v>10793.09</v>
          </cell>
          <cell r="CU38">
            <v>10744.9</v>
          </cell>
          <cell r="CV38">
            <v>10787.03</v>
          </cell>
          <cell r="CW38">
            <v>10734.41</v>
          </cell>
          <cell r="CX38">
            <v>9171.25</v>
          </cell>
          <cell r="CZ38">
            <v>9171.25</v>
          </cell>
          <cell r="DA38">
            <v>11110.274999999998</v>
          </cell>
          <cell r="DB38">
            <v>-1939.0250000000001</v>
          </cell>
        </row>
        <row r="39">
          <cell r="B39" t="str">
            <v>Workers' Welfare Expenses incl Canteen</v>
          </cell>
          <cell r="C39">
            <v>691.35</v>
          </cell>
          <cell r="D39">
            <v>1995.18</v>
          </cell>
          <cell r="E39">
            <v>4743.6000000000004</v>
          </cell>
          <cell r="G39">
            <v>4743.6000000000004</v>
          </cell>
          <cell r="H39">
            <v>1799.53</v>
          </cell>
          <cell r="I39">
            <v>3383.98</v>
          </cell>
          <cell r="K39">
            <v>3383.98</v>
          </cell>
          <cell r="L39">
            <v>906.47</v>
          </cell>
          <cell r="M39">
            <v>3004.29</v>
          </cell>
          <cell r="N39">
            <v>3625.34</v>
          </cell>
          <cell r="O39">
            <v>4087.32</v>
          </cell>
          <cell r="P39">
            <v>4577.53</v>
          </cell>
          <cell r="Q39">
            <v>7905.86</v>
          </cell>
          <cell r="R39">
            <v>9912.08</v>
          </cell>
          <cell r="S39">
            <v>12009.78</v>
          </cell>
          <cell r="T39">
            <v>1700</v>
          </cell>
          <cell r="U39">
            <v>4781.29</v>
          </cell>
          <cell r="V39">
            <v>9739.3700000000008</v>
          </cell>
          <cell r="W39">
            <v>14573.23</v>
          </cell>
          <cell r="X39">
            <v>17118.88</v>
          </cell>
          <cell r="Y39">
            <v>22313.42</v>
          </cell>
          <cell r="Z39">
            <v>25069.68</v>
          </cell>
          <cell r="AA39">
            <v>27931.54</v>
          </cell>
          <cell r="AB39">
            <v>31820.29</v>
          </cell>
          <cell r="AC39">
            <v>35500.47</v>
          </cell>
          <cell r="AD39">
            <v>38742.39</v>
          </cell>
          <cell r="AE39">
            <v>42172.54</v>
          </cell>
          <cell r="AF39">
            <v>3854.64</v>
          </cell>
          <cell r="AG39">
            <v>7739.36</v>
          </cell>
          <cell r="AH39">
            <v>11361.8</v>
          </cell>
          <cell r="AI39">
            <v>15130.39</v>
          </cell>
          <cell r="AJ39">
            <v>19086.490000000002</v>
          </cell>
          <cell r="AK39">
            <v>23257.55</v>
          </cell>
          <cell r="AL39">
            <v>27292.84</v>
          </cell>
          <cell r="AM39">
            <v>30659.41</v>
          </cell>
          <cell r="AN39">
            <v>33935.79</v>
          </cell>
          <cell r="AO39">
            <v>38384.870000000003</v>
          </cell>
          <cell r="AP39">
            <v>42088.2</v>
          </cell>
          <cell r="AQ39">
            <v>45934.17</v>
          </cell>
          <cell r="AR39">
            <v>4730.17</v>
          </cell>
          <cell r="AS39">
            <v>9040.15</v>
          </cell>
          <cell r="AT39">
            <v>13942.92</v>
          </cell>
          <cell r="AU39">
            <v>18061.07</v>
          </cell>
          <cell r="AV39">
            <v>22279.41</v>
          </cell>
          <cell r="AW39">
            <v>27339.47</v>
          </cell>
          <cell r="AX39">
            <v>32474.82</v>
          </cell>
          <cell r="AY39">
            <v>35705.29</v>
          </cell>
          <cell r="AZ39">
            <v>40332.54</v>
          </cell>
          <cell r="BA39">
            <v>47098.81</v>
          </cell>
          <cell r="BB39">
            <v>47098.81</v>
          </cell>
          <cell r="BC39">
            <v>45248.993792355272</v>
          </cell>
          <cell r="BD39">
            <v>1849.8162076447261</v>
          </cell>
          <cell r="BE39">
            <v>510.26</v>
          </cell>
          <cell r="BF39">
            <v>416.76</v>
          </cell>
          <cell r="BG39">
            <v>414.74</v>
          </cell>
          <cell r="BH39">
            <v>116.24</v>
          </cell>
          <cell r="BI39">
            <v>146.68</v>
          </cell>
          <cell r="BJ39">
            <v>472.1</v>
          </cell>
          <cell r="BK39">
            <v>621.04999999999995</v>
          </cell>
          <cell r="BL39">
            <v>461.98</v>
          </cell>
          <cell r="BM39">
            <v>490.21</v>
          </cell>
          <cell r="BN39">
            <v>3328.33</v>
          </cell>
          <cell r="BO39">
            <v>2006.22</v>
          </cell>
          <cell r="BP39">
            <v>2097.6999999999998</v>
          </cell>
          <cell r="BQ39">
            <v>1700</v>
          </cell>
          <cell r="BR39">
            <v>3081.29</v>
          </cell>
          <cell r="BS39">
            <v>4958.08</v>
          </cell>
          <cell r="BT39">
            <v>4833.8599999999997</v>
          </cell>
          <cell r="BU39">
            <v>2545.65</v>
          </cell>
          <cell r="BV39">
            <v>5194.54</v>
          </cell>
          <cell r="BW39">
            <v>2756.26</v>
          </cell>
          <cell r="BX39">
            <v>2861.86</v>
          </cell>
          <cell r="BY39">
            <v>3888.75</v>
          </cell>
          <cell r="BZ39">
            <v>3680.18</v>
          </cell>
          <cell r="CA39">
            <v>3241.92</v>
          </cell>
          <cell r="CB39">
            <v>3430.1499999999942</v>
          </cell>
          <cell r="CC39">
            <v>3854.64</v>
          </cell>
          <cell r="CD39">
            <v>3884.72</v>
          </cell>
          <cell r="CE39">
            <v>3622.44</v>
          </cell>
          <cell r="CF39">
            <v>3768.59</v>
          </cell>
          <cell r="CG39">
            <v>3956.1</v>
          </cell>
          <cell r="CH39">
            <v>4171.0600000000004</v>
          </cell>
          <cell r="CI39">
            <v>4035.29</v>
          </cell>
          <cell r="CJ39">
            <v>3366.57</v>
          </cell>
          <cell r="CK39">
            <v>3276.38</v>
          </cell>
          <cell r="CL39">
            <v>4449.08</v>
          </cell>
          <cell r="CM39">
            <v>3703.33</v>
          </cell>
          <cell r="CN39">
            <v>3845.97</v>
          </cell>
          <cell r="CO39">
            <v>4730.17</v>
          </cell>
          <cell r="CP39">
            <v>4309.9799999999996</v>
          </cell>
          <cell r="CQ39">
            <v>4902.7700000000004</v>
          </cell>
          <cell r="CR39">
            <v>4118.1499999999996</v>
          </cell>
          <cell r="CS39">
            <v>4218.34</v>
          </cell>
          <cell r="CT39">
            <v>5060.0600000000004</v>
          </cell>
          <cell r="CU39">
            <v>5135.3500000000004</v>
          </cell>
          <cell r="CV39">
            <v>3230.47</v>
          </cell>
          <cell r="CW39">
            <v>4627.25</v>
          </cell>
          <cell r="CX39">
            <v>6766.27</v>
          </cell>
          <cell r="CZ39">
            <v>6766.27</v>
          </cell>
          <cell r="DA39">
            <v>4981.674891388232</v>
          </cell>
          <cell r="DB39">
            <v>1784.5951086117666</v>
          </cell>
        </row>
        <row r="40">
          <cell r="B40" t="str">
            <v>Training Expenses</v>
          </cell>
          <cell r="C40">
            <v>364.93</v>
          </cell>
          <cell r="D40">
            <v>1580.32</v>
          </cell>
          <cell r="E40">
            <v>3293.63</v>
          </cell>
          <cell r="G40">
            <v>3293.63</v>
          </cell>
          <cell r="H40">
            <v>2288.7399999999998</v>
          </cell>
          <cell r="I40">
            <v>5909.42</v>
          </cell>
          <cell r="K40">
            <v>5909.42</v>
          </cell>
          <cell r="L40">
            <v>561.4</v>
          </cell>
          <cell r="M40">
            <v>3666.92</v>
          </cell>
          <cell r="N40">
            <v>5059.97</v>
          </cell>
          <cell r="O40">
            <v>5722.97</v>
          </cell>
          <cell r="P40">
            <v>7111.16</v>
          </cell>
          <cell r="Q40">
            <v>8173.94</v>
          </cell>
          <cell r="R40">
            <v>8901.06</v>
          </cell>
          <cell r="S40">
            <v>9642.5300000000007</v>
          </cell>
          <cell r="T40">
            <v>839.47</v>
          </cell>
          <cell r="U40">
            <v>1966.39</v>
          </cell>
          <cell r="V40">
            <v>4367.29</v>
          </cell>
          <cell r="W40">
            <v>6753.56</v>
          </cell>
          <cell r="X40">
            <v>8177.55</v>
          </cell>
          <cell r="Y40">
            <v>9827.81</v>
          </cell>
          <cell r="Z40">
            <v>10741.92</v>
          </cell>
          <cell r="AA40">
            <v>11737.82</v>
          </cell>
          <cell r="AB40">
            <v>12873.62</v>
          </cell>
          <cell r="AC40">
            <v>15514.8</v>
          </cell>
          <cell r="AD40">
            <v>16588.22</v>
          </cell>
          <cell r="AE40">
            <v>17617.509999999998</v>
          </cell>
          <cell r="AF40">
            <v>1083.81</v>
          </cell>
          <cell r="AG40">
            <v>2196.42</v>
          </cell>
          <cell r="AH40">
            <v>3309.03</v>
          </cell>
          <cell r="AI40">
            <v>4262.0600000000004</v>
          </cell>
          <cell r="AJ40">
            <v>5304.93</v>
          </cell>
          <cell r="AK40">
            <v>6421.51</v>
          </cell>
          <cell r="AL40">
            <v>7538.09</v>
          </cell>
          <cell r="AM40">
            <v>8689.98</v>
          </cell>
          <cell r="AN40">
            <v>9952.93</v>
          </cell>
          <cell r="AO40">
            <v>11186.26</v>
          </cell>
          <cell r="AP40">
            <v>12509.03</v>
          </cell>
          <cell r="AQ40">
            <v>13831.8</v>
          </cell>
          <cell r="AR40">
            <v>1372.73</v>
          </cell>
          <cell r="AS40">
            <v>2789.72</v>
          </cell>
          <cell r="AT40">
            <v>4152.4799999999996</v>
          </cell>
          <cell r="AU40">
            <v>5616.65</v>
          </cell>
          <cell r="AV40">
            <v>5786.52</v>
          </cell>
          <cell r="AW40">
            <v>5978.27</v>
          </cell>
          <cell r="AX40">
            <v>7457.35</v>
          </cell>
          <cell r="AY40">
            <v>9029.66</v>
          </cell>
          <cell r="AZ40">
            <v>10657.04</v>
          </cell>
          <cell r="BA40">
            <v>12309.79</v>
          </cell>
          <cell r="BB40">
            <v>12309.79</v>
          </cell>
          <cell r="BC40">
            <v>12029.66</v>
          </cell>
          <cell r="BD40">
            <v>280.1299999999992</v>
          </cell>
          <cell r="BE40">
            <v>134.47</v>
          </cell>
          <cell r="BF40">
            <v>247.03</v>
          </cell>
          <cell r="BG40">
            <v>339.24</v>
          </cell>
          <cell r="BH40">
            <v>389.76</v>
          </cell>
          <cell r="BI40">
            <v>922.19000000000051</v>
          </cell>
          <cell r="BJ40">
            <v>650.15</v>
          </cell>
          <cell r="BK40">
            <v>1393.05</v>
          </cell>
          <cell r="BL40">
            <v>663</v>
          </cell>
          <cell r="BM40">
            <v>1388.19</v>
          </cell>
          <cell r="BN40">
            <v>1062.78</v>
          </cell>
          <cell r="BO40">
            <v>727.12</v>
          </cell>
          <cell r="BP40">
            <v>741.47000000000116</v>
          </cell>
          <cell r="BQ40">
            <v>839.47</v>
          </cell>
          <cell r="BR40">
            <v>1126.92</v>
          </cell>
          <cell r="BS40">
            <v>2400.9</v>
          </cell>
          <cell r="BT40">
            <v>2386.27</v>
          </cell>
          <cell r="BU40">
            <v>1423.99</v>
          </cell>
          <cell r="BV40">
            <v>1650.26</v>
          </cell>
          <cell r="BW40">
            <v>914.11</v>
          </cell>
          <cell r="BX40">
            <v>995.9</v>
          </cell>
          <cell r="BY40">
            <v>1135.8</v>
          </cell>
          <cell r="BZ40">
            <v>2641.18</v>
          </cell>
          <cell r="CA40">
            <v>1073.42</v>
          </cell>
          <cell r="CB40">
            <v>1029.29</v>
          </cell>
          <cell r="CC40">
            <v>1083.81</v>
          </cell>
          <cell r="CD40">
            <v>1112.6099999999999</v>
          </cell>
          <cell r="CE40">
            <v>1112.6099999999999</v>
          </cell>
          <cell r="CF40">
            <v>953.03</v>
          </cell>
          <cell r="CG40">
            <v>1042.8699999999999</v>
          </cell>
          <cell r="CH40">
            <v>1116.58</v>
          </cell>
          <cell r="CI40">
            <v>1116.58</v>
          </cell>
          <cell r="CJ40">
            <v>1151.8900000000001</v>
          </cell>
          <cell r="CK40">
            <v>1262.95</v>
          </cell>
          <cell r="CL40">
            <v>1233.33</v>
          </cell>
          <cell r="CM40">
            <v>1322.77</v>
          </cell>
          <cell r="CN40">
            <v>1322.77</v>
          </cell>
          <cell r="CO40">
            <v>1372.73</v>
          </cell>
          <cell r="CP40">
            <v>1416.99</v>
          </cell>
          <cell r="CQ40">
            <v>1362.76</v>
          </cell>
          <cell r="CR40">
            <v>1464.17</v>
          </cell>
          <cell r="CS40">
            <v>169.8700000000008</v>
          </cell>
          <cell r="CT40">
            <v>191.75</v>
          </cell>
          <cell r="CU40">
            <v>1479.08</v>
          </cell>
          <cell r="CV40">
            <v>1572.31</v>
          </cell>
          <cell r="CW40">
            <v>1627.38</v>
          </cell>
          <cell r="CX40">
            <v>1652.75</v>
          </cell>
          <cell r="CZ40">
            <v>1652.75</v>
          </cell>
          <cell r="DA40">
            <v>1500</v>
          </cell>
          <cell r="DB40">
            <v>152.75</v>
          </cell>
        </row>
        <row r="41">
          <cell r="B41" t="str">
            <v>Management Fees - Foyer</v>
          </cell>
          <cell r="C41">
            <v>0</v>
          </cell>
          <cell r="D41">
            <v>1601.2</v>
          </cell>
          <cell r="E41">
            <v>4391.5600000000004</v>
          </cell>
          <cell r="G41">
            <v>4391.5600000000004</v>
          </cell>
          <cell r="H41">
            <v>2731.89</v>
          </cell>
          <cell r="I41">
            <v>8594.2199999999993</v>
          </cell>
          <cell r="K41">
            <v>8594.2199999999993</v>
          </cell>
          <cell r="L41">
            <v>1083.33</v>
          </cell>
          <cell r="M41">
            <v>6815.22</v>
          </cell>
          <cell r="N41">
            <v>7786.23</v>
          </cell>
          <cell r="O41">
            <v>8746.3700000000008</v>
          </cell>
          <cell r="P41">
            <v>8749.99</v>
          </cell>
          <cell r="Q41">
            <v>9681.14</v>
          </cell>
          <cell r="R41">
            <v>10731.86</v>
          </cell>
          <cell r="S41">
            <v>11818.82</v>
          </cell>
          <cell r="T41">
            <v>1086.96</v>
          </cell>
          <cell r="U41">
            <v>2141.31</v>
          </cell>
          <cell r="V41">
            <v>3224.64</v>
          </cell>
          <cell r="W41">
            <v>4394.93</v>
          </cell>
          <cell r="X41">
            <v>6519.31</v>
          </cell>
          <cell r="Y41">
            <v>7715.9</v>
          </cell>
          <cell r="Z41">
            <v>9237.65</v>
          </cell>
          <cell r="AA41">
            <v>10744.9</v>
          </cell>
          <cell r="AB41">
            <v>12335.48</v>
          </cell>
          <cell r="AC41">
            <v>13926.06</v>
          </cell>
          <cell r="AD41">
            <v>15487.65</v>
          </cell>
          <cell r="AE41">
            <v>16987.650000000001</v>
          </cell>
          <cell r="AF41">
            <v>1543.48</v>
          </cell>
          <cell r="AG41">
            <v>3050.73</v>
          </cell>
          <cell r="AH41">
            <v>4510.87</v>
          </cell>
          <cell r="AI41">
            <v>5978.26</v>
          </cell>
          <cell r="AJ41">
            <v>7389.42</v>
          </cell>
          <cell r="AK41">
            <v>8952.9</v>
          </cell>
          <cell r="AL41">
            <v>10608.69</v>
          </cell>
          <cell r="AM41">
            <v>12141.3</v>
          </cell>
          <cell r="AN41">
            <v>13713.76</v>
          </cell>
          <cell r="AO41">
            <v>15268.11</v>
          </cell>
          <cell r="AP41">
            <v>16782.599999999999</v>
          </cell>
          <cell r="AQ41">
            <v>18253.650000000001</v>
          </cell>
          <cell r="AR41">
            <v>1575.17</v>
          </cell>
          <cell r="AS41">
            <v>3232.38</v>
          </cell>
          <cell r="AT41">
            <v>4837.8100000000004</v>
          </cell>
          <cell r="AU41">
            <v>6450.63</v>
          </cell>
          <cell r="AV41">
            <v>11307.6</v>
          </cell>
          <cell r="AW41">
            <v>9731.77</v>
          </cell>
          <cell r="AX41">
            <v>11363.09</v>
          </cell>
          <cell r="AY41">
            <v>12961.12</v>
          </cell>
          <cell r="AZ41">
            <v>14536.95</v>
          </cell>
          <cell r="BA41">
            <v>16105.38</v>
          </cell>
          <cell r="BB41">
            <v>16105.38</v>
          </cell>
          <cell r="BC41">
            <v>16340.501144216707</v>
          </cell>
          <cell r="BD41">
            <v>-235.12114421670776</v>
          </cell>
          <cell r="BE41">
            <v>0</v>
          </cell>
          <cell r="BF41">
            <v>401.2</v>
          </cell>
          <cell r="BG41">
            <v>484.3400000000006</v>
          </cell>
          <cell r="BH41">
            <v>0</v>
          </cell>
          <cell r="BI41">
            <v>1828.26</v>
          </cell>
          <cell r="BJ41">
            <v>1952.9</v>
          </cell>
          <cell r="BK41">
            <v>971.00999999999931</v>
          </cell>
          <cell r="BL41">
            <v>960.14000000000124</v>
          </cell>
          <cell r="BM41">
            <v>3.6199999999989814</v>
          </cell>
          <cell r="BN41">
            <v>931.15</v>
          </cell>
          <cell r="BO41">
            <v>1050.72</v>
          </cell>
          <cell r="BP41">
            <v>1086.96</v>
          </cell>
          <cell r="BQ41">
            <v>1086.96</v>
          </cell>
          <cell r="BR41">
            <v>1054.3499999999999</v>
          </cell>
          <cell r="BS41">
            <v>1083.33</v>
          </cell>
          <cell r="BT41">
            <v>1170.29</v>
          </cell>
          <cell r="BU41">
            <v>2124.38</v>
          </cell>
          <cell r="BV41">
            <v>1196.5899999999999</v>
          </cell>
          <cell r="BW41">
            <v>1521.75</v>
          </cell>
          <cell r="BX41">
            <v>1507.25</v>
          </cell>
          <cell r="BY41">
            <v>1590.58</v>
          </cell>
          <cell r="BZ41">
            <v>1590.58</v>
          </cell>
          <cell r="CA41">
            <v>1561.59</v>
          </cell>
          <cell r="CB41">
            <v>1500</v>
          </cell>
          <cell r="CC41">
            <v>1543.48</v>
          </cell>
          <cell r="CD41">
            <v>1507.25</v>
          </cell>
          <cell r="CE41">
            <v>1460.14</v>
          </cell>
          <cell r="CF41">
            <v>1467.39</v>
          </cell>
          <cell r="CG41">
            <v>1411.16</v>
          </cell>
          <cell r="CH41">
            <v>1563.48</v>
          </cell>
          <cell r="CI41">
            <v>1655.79</v>
          </cell>
          <cell r="CJ41">
            <v>1532.61</v>
          </cell>
          <cell r="CK41">
            <v>1572.46</v>
          </cell>
          <cell r="CL41">
            <v>1554.35</v>
          </cell>
          <cell r="CM41">
            <v>1514.49</v>
          </cell>
          <cell r="CN41">
            <v>1471.05</v>
          </cell>
          <cell r="CO41">
            <v>1575.17</v>
          </cell>
          <cell r="CP41">
            <v>1657.21</v>
          </cell>
          <cell r="CQ41">
            <v>1605.43</v>
          </cell>
          <cell r="CR41">
            <v>1612.82</v>
          </cell>
          <cell r="CS41">
            <v>4856.97</v>
          </cell>
          <cell r="CT41">
            <v>-1575.83</v>
          </cell>
          <cell r="CU41">
            <v>1631.32</v>
          </cell>
          <cell r="CV41">
            <v>1598.03</v>
          </cell>
          <cell r="CW41">
            <v>1575.83</v>
          </cell>
          <cell r="CX41">
            <v>1568.43</v>
          </cell>
          <cell r="CZ41">
            <v>1568.43</v>
          </cell>
          <cell r="DA41">
            <v>1479.3811442167064</v>
          </cell>
          <cell r="DB41">
            <v>89.048855783292083</v>
          </cell>
        </row>
        <row r="42">
          <cell r="B42" t="str">
            <v>Management Fees - Amtek</v>
          </cell>
          <cell r="C42">
            <v>4813.37</v>
          </cell>
          <cell r="D42">
            <v>23351.07</v>
          </cell>
          <cell r="E42">
            <v>14826.17</v>
          </cell>
          <cell r="G42">
            <v>14826.17</v>
          </cell>
          <cell r="H42">
            <v>43078.25</v>
          </cell>
          <cell r="I42">
            <v>69488.759999999995</v>
          </cell>
          <cell r="K42">
            <v>69488.759999999995</v>
          </cell>
          <cell r="L42">
            <v>3689.61</v>
          </cell>
          <cell r="M42">
            <v>42900.68</v>
          </cell>
          <cell r="N42">
            <v>55210.19</v>
          </cell>
          <cell r="O42">
            <v>58981.94</v>
          </cell>
          <cell r="P42">
            <v>69297.17</v>
          </cell>
          <cell r="Q42">
            <v>79663.8</v>
          </cell>
          <cell r="R42">
            <v>91292.91</v>
          </cell>
          <cell r="S42">
            <v>101072.22</v>
          </cell>
          <cell r="T42">
            <v>8555.4500000000007</v>
          </cell>
          <cell r="U42">
            <v>23009.38</v>
          </cell>
          <cell r="V42">
            <v>41640.51</v>
          </cell>
          <cell r="W42">
            <v>69256.58</v>
          </cell>
          <cell r="X42">
            <v>83591.27</v>
          </cell>
          <cell r="Y42">
            <v>103957.13</v>
          </cell>
          <cell r="Z42">
            <v>121941.53</v>
          </cell>
          <cell r="AA42">
            <v>138949.49</v>
          </cell>
          <cell r="AB42">
            <v>153334.23000000001</v>
          </cell>
          <cell r="AC42">
            <v>166697.29</v>
          </cell>
          <cell r="AD42">
            <v>180596.42</v>
          </cell>
          <cell r="AE42">
            <v>196301</v>
          </cell>
          <cell r="AF42">
            <v>16566.689999999999</v>
          </cell>
          <cell r="AG42">
            <v>25539.43</v>
          </cell>
          <cell r="AH42">
            <v>47028.59</v>
          </cell>
          <cell r="AI42">
            <v>52398.63</v>
          </cell>
          <cell r="AJ42">
            <v>64945.96</v>
          </cell>
          <cell r="AK42">
            <v>76819.600000000006</v>
          </cell>
          <cell r="AL42">
            <v>107379.29</v>
          </cell>
          <cell r="AM42">
            <v>110668.83</v>
          </cell>
          <cell r="AN42">
            <v>121775.24</v>
          </cell>
          <cell r="AO42">
            <v>133103.21</v>
          </cell>
          <cell r="AP42">
            <v>142925.43</v>
          </cell>
          <cell r="AQ42">
            <v>154271.89000000001</v>
          </cell>
          <cell r="AR42">
            <v>10571.68</v>
          </cell>
          <cell r="AS42">
            <v>17806.88</v>
          </cell>
          <cell r="AT42">
            <v>25658.29</v>
          </cell>
          <cell r="AU42">
            <v>36219.279999999999</v>
          </cell>
          <cell r="AV42">
            <v>46731.08</v>
          </cell>
          <cell r="AW42">
            <v>58501.31</v>
          </cell>
          <cell r="AX42">
            <v>67311.360000000001</v>
          </cell>
          <cell r="AY42">
            <v>76469.33</v>
          </cell>
          <cell r="AZ42">
            <v>85316.02</v>
          </cell>
          <cell r="BA42">
            <v>94241.87</v>
          </cell>
          <cell r="BB42">
            <v>94241.87</v>
          </cell>
          <cell r="BC42">
            <v>93770.454991936931</v>
          </cell>
          <cell r="BD42">
            <v>471.41500806306431</v>
          </cell>
          <cell r="BE42">
            <v>3306.25</v>
          </cell>
          <cell r="BF42">
            <v>2006.99</v>
          </cell>
          <cell r="BG42">
            <v>1419.64</v>
          </cell>
          <cell r="BH42">
            <v>41264.49</v>
          </cell>
          <cell r="BI42">
            <v>5223.9399999999996</v>
          </cell>
          <cell r="BJ42">
            <v>11963.41</v>
          </cell>
          <cell r="BK42">
            <v>12309.51</v>
          </cell>
          <cell r="BL42">
            <v>3771.75</v>
          </cell>
          <cell r="BM42">
            <v>10315.23</v>
          </cell>
          <cell r="BN42">
            <v>10366.629999999999</v>
          </cell>
          <cell r="BO42">
            <v>11629.11</v>
          </cell>
          <cell r="BP42">
            <v>9779.31</v>
          </cell>
          <cell r="BQ42">
            <v>8555.4500000000007</v>
          </cell>
          <cell r="BR42">
            <v>14453.93</v>
          </cell>
          <cell r="BS42">
            <v>18631.13</v>
          </cell>
          <cell r="BT42">
            <v>27616.07</v>
          </cell>
          <cell r="BU42">
            <v>14334.69</v>
          </cell>
          <cell r="BV42">
            <v>20365.86</v>
          </cell>
          <cell r="BW42">
            <v>17984.400000000001</v>
          </cell>
          <cell r="BX42">
            <v>17007.96</v>
          </cell>
          <cell r="BY42">
            <v>14384.74</v>
          </cell>
          <cell r="BZ42">
            <v>13363.06</v>
          </cell>
          <cell r="CA42">
            <v>13899.13</v>
          </cell>
          <cell r="CB42">
            <v>15704.58</v>
          </cell>
          <cell r="CC42">
            <v>16566.689999999999</v>
          </cell>
          <cell r="CD42">
            <v>8972.74</v>
          </cell>
          <cell r="CE42">
            <v>21489.16</v>
          </cell>
          <cell r="CF42">
            <v>5370.04</v>
          </cell>
          <cell r="CG42">
            <v>12547.33</v>
          </cell>
          <cell r="CH42">
            <v>11873.64</v>
          </cell>
          <cell r="CI42">
            <v>30559.69</v>
          </cell>
          <cell r="CJ42">
            <v>3289.5400000000081</v>
          </cell>
          <cell r="CK42">
            <v>11106.41</v>
          </cell>
          <cell r="CL42">
            <v>11327.97</v>
          </cell>
          <cell r="CM42">
            <v>9822.2199999999993</v>
          </cell>
          <cell r="CN42">
            <v>11346.46</v>
          </cell>
          <cell r="CO42">
            <v>10571.68</v>
          </cell>
          <cell r="CP42">
            <v>7235.2</v>
          </cell>
          <cell r="CQ42">
            <v>7851.41</v>
          </cell>
          <cell r="CR42">
            <v>10560.99</v>
          </cell>
          <cell r="CS42">
            <v>10511.8</v>
          </cell>
          <cell r="CT42">
            <v>11770.23</v>
          </cell>
          <cell r="CU42">
            <v>8810.0499999999993</v>
          </cell>
          <cell r="CV42">
            <v>9157.9699999999993</v>
          </cell>
          <cell r="CW42">
            <v>8846.69</v>
          </cell>
          <cell r="CX42">
            <v>8925.8499999999913</v>
          </cell>
          <cell r="CZ42">
            <v>8925.8499999999913</v>
          </cell>
          <cell r="DA42">
            <v>9057.9038551631074</v>
          </cell>
          <cell r="DB42">
            <v>-132.05385516311617</v>
          </cell>
        </row>
        <row r="43">
          <cell r="B43" t="str">
            <v>Professional/Consultation Fees</v>
          </cell>
          <cell r="C43">
            <v>0</v>
          </cell>
          <cell r="D43">
            <v>0</v>
          </cell>
          <cell r="E43">
            <v>0</v>
          </cell>
          <cell r="G43">
            <v>0</v>
          </cell>
          <cell r="H43">
            <v>0</v>
          </cell>
          <cell r="I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Z43">
            <v>0</v>
          </cell>
          <cell r="DA43">
            <v>0</v>
          </cell>
          <cell r="DB43">
            <v>0</v>
          </cell>
        </row>
        <row r="44">
          <cell r="B44" t="str">
            <v>General Expenses</v>
          </cell>
          <cell r="C44">
            <v>5229.6400000000003</v>
          </cell>
          <cell r="D44">
            <v>2294.44</v>
          </cell>
          <cell r="E44">
            <v>1578.4</v>
          </cell>
          <cell r="F44">
            <v>1161.58</v>
          </cell>
          <cell r="G44">
            <v>2739.98</v>
          </cell>
          <cell r="H44">
            <v>696.17</v>
          </cell>
          <cell r="I44">
            <v>7379.87</v>
          </cell>
          <cell r="K44">
            <v>7379.87</v>
          </cell>
          <cell r="L44">
            <v>18.95</v>
          </cell>
          <cell r="M44">
            <v>14402.56</v>
          </cell>
          <cell r="N44">
            <v>15850.67</v>
          </cell>
          <cell r="O44">
            <v>16156.27</v>
          </cell>
          <cell r="P44">
            <v>17620.84</v>
          </cell>
          <cell r="Q44">
            <v>18617.86</v>
          </cell>
          <cell r="R44">
            <v>20466.560000000001</v>
          </cell>
          <cell r="S44">
            <v>24086.93</v>
          </cell>
          <cell r="T44">
            <v>2136.16</v>
          </cell>
          <cell r="U44">
            <v>4911.3100000000004</v>
          </cell>
          <cell r="V44">
            <v>8439.43</v>
          </cell>
          <cell r="W44">
            <v>10941.63</v>
          </cell>
          <cell r="X44">
            <v>14147.42</v>
          </cell>
          <cell r="Y44">
            <v>18992.310000000001</v>
          </cell>
          <cell r="Z44">
            <v>20782.150000000001</v>
          </cell>
          <cell r="AA44">
            <v>22382.33</v>
          </cell>
          <cell r="AB44">
            <v>28088.28</v>
          </cell>
          <cell r="AC44">
            <v>30468.66</v>
          </cell>
          <cell r="AD44">
            <v>31480.07</v>
          </cell>
          <cell r="AE44">
            <v>33118.129999999997</v>
          </cell>
          <cell r="AF44">
            <v>1328.37</v>
          </cell>
          <cell r="AG44">
            <v>1644.1</v>
          </cell>
          <cell r="AH44">
            <v>6008.28</v>
          </cell>
          <cell r="AI44">
            <v>17240.419999999998</v>
          </cell>
          <cell r="AJ44">
            <v>18079.91</v>
          </cell>
          <cell r="AK44">
            <v>21484.15</v>
          </cell>
          <cell r="AL44">
            <v>22933.93</v>
          </cell>
          <cell r="AM44">
            <v>23653.55</v>
          </cell>
          <cell r="AN44">
            <v>25799.39</v>
          </cell>
          <cell r="AO44">
            <v>28743.599999999999</v>
          </cell>
          <cell r="AP44">
            <v>30767.08</v>
          </cell>
          <cell r="AQ44">
            <v>32602.46</v>
          </cell>
          <cell r="AR44">
            <v>126.23</v>
          </cell>
          <cell r="AS44">
            <v>2157.44</v>
          </cell>
          <cell r="AT44">
            <v>4367.18</v>
          </cell>
          <cell r="AU44">
            <v>9150.44</v>
          </cell>
          <cell r="AV44">
            <v>10416.18</v>
          </cell>
          <cell r="AW44">
            <v>12023.49</v>
          </cell>
          <cell r="AX44">
            <v>20241.32</v>
          </cell>
          <cell r="AY44">
            <v>22711.07</v>
          </cell>
          <cell r="AZ44">
            <v>23684.639999999999</v>
          </cell>
          <cell r="BA44">
            <v>27244.1</v>
          </cell>
          <cell r="BB44">
            <v>27244.1</v>
          </cell>
          <cell r="BC44">
            <v>26903.588513793391</v>
          </cell>
          <cell r="BD44">
            <v>340.51148620661115</v>
          </cell>
          <cell r="BE44">
            <v>55.059999999999491</v>
          </cell>
          <cell r="BF44">
            <v>-1741.33</v>
          </cell>
          <cell r="BG44">
            <v>-128.19</v>
          </cell>
          <cell r="BH44">
            <v>80.790000000000006</v>
          </cell>
          <cell r="BI44">
            <v>5470.17</v>
          </cell>
          <cell r="BJ44">
            <v>3946.31</v>
          </cell>
          <cell r="BK44">
            <v>1448.11</v>
          </cell>
          <cell r="BL44">
            <v>305.60000000000002</v>
          </cell>
          <cell r="BM44">
            <v>1464.57</v>
          </cell>
          <cell r="BN44">
            <v>997.02</v>
          </cell>
          <cell r="BO44">
            <v>1848.7</v>
          </cell>
          <cell r="BP44">
            <v>3620.37</v>
          </cell>
          <cell r="BQ44">
            <v>2136.16</v>
          </cell>
          <cell r="BR44">
            <v>2775.15</v>
          </cell>
          <cell r="BS44">
            <v>3528.12</v>
          </cell>
          <cell r="BT44">
            <v>2502.1999999999998</v>
          </cell>
          <cell r="BU44">
            <v>3205.79</v>
          </cell>
          <cell r="BV44">
            <v>4844.8900000000003</v>
          </cell>
          <cell r="BW44">
            <v>1789.84</v>
          </cell>
          <cell r="BX44">
            <v>1600.18</v>
          </cell>
          <cell r="BY44">
            <v>5705.95</v>
          </cell>
          <cell r="BZ44">
            <v>2380.38</v>
          </cell>
          <cell r="CA44">
            <v>1011.41</v>
          </cell>
          <cell r="CB44">
            <v>1638.06</v>
          </cell>
          <cell r="CC44">
            <v>1328.37</v>
          </cell>
          <cell r="CD44">
            <v>315.73</v>
          </cell>
          <cell r="CE44">
            <v>4364.18</v>
          </cell>
          <cell r="CF44">
            <v>11232.14</v>
          </cell>
          <cell r="CG44">
            <v>839.49</v>
          </cell>
          <cell r="CH44">
            <v>3404.24</v>
          </cell>
          <cell r="CI44">
            <v>1449.78</v>
          </cell>
          <cell r="CJ44">
            <v>719.62</v>
          </cell>
          <cell r="CK44">
            <v>2145.84</v>
          </cell>
          <cell r="CL44">
            <v>2944.21</v>
          </cell>
          <cell r="CM44">
            <v>2023.48</v>
          </cell>
          <cell r="CN44">
            <v>1835.38</v>
          </cell>
          <cell r="CO44">
            <v>126.23</v>
          </cell>
          <cell r="CP44">
            <v>2031.21</v>
          </cell>
          <cell r="CQ44">
            <v>2209.7399999999998</v>
          </cell>
          <cell r="CR44">
            <v>4783.26</v>
          </cell>
          <cell r="CS44">
            <v>1265.74</v>
          </cell>
          <cell r="CT44">
            <v>1607.31</v>
          </cell>
          <cell r="CU44">
            <v>8217.83</v>
          </cell>
          <cell r="CV44">
            <v>2469.75</v>
          </cell>
          <cell r="CW44">
            <v>973.57</v>
          </cell>
          <cell r="CX44">
            <v>3559.46</v>
          </cell>
          <cell r="CZ44">
            <v>3559.46</v>
          </cell>
          <cell r="DA44">
            <v>2194.9688027009829</v>
          </cell>
          <cell r="DB44">
            <v>1364.4911972990176</v>
          </cell>
        </row>
        <row r="45">
          <cell r="B45" t="str">
            <v>Office Rental</v>
          </cell>
          <cell r="G45">
            <v>0</v>
          </cell>
          <cell r="K45">
            <v>0</v>
          </cell>
          <cell r="BC45">
            <v>0</v>
          </cell>
          <cell r="BD45">
            <v>0</v>
          </cell>
          <cell r="DA45">
            <v>0</v>
          </cell>
          <cell r="DB45">
            <v>0</v>
          </cell>
        </row>
        <row r="46">
          <cell r="B46" t="str">
            <v>Office Salary &amp; Allowance</v>
          </cell>
          <cell r="C46">
            <v>11275.27</v>
          </cell>
          <cell r="D46">
            <v>46912.1</v>
          </cell>
          <cell r="E46">
            <v>104572.55</v>
          </cell>
          <cell r="F46">
            <v>-48973.5</v>
          </cell>
          <cell r="G46">
            <v>55599.05</v>
          </cell>
          <cell r="H46">
            <v>52695.9</v>
          </cell>
          <cell r="I46">
            <v>132966.51</v>
          </cell>
          <cell r="K46">
            <v>132966.51</v>
          </cell>
          <cell r="L46">
            <v>14003.1</v>
          </cell>
          <cell r="M46">
            <v>95067.61</v>
          </cell>
          <cell r="N46">
            <v>114313.28</v>
          </cell>
          <cell r="O46">
            <v>131174.01</v>
          </cell>
          <cell r="P46">
            <v>150092.29</v>
          </cell>
          <cell r="Q46">
            <v>168560.63</v>
          </cell>
          <cell r="R46">
            <v>184959.88</v>
          </cell>
          <cell r="S46">
            <v>202046.73</v>
          </cell>
          <cell r="T46">
            <v>19519.400000000001</v>
          </cell>
          <cell r="U46">
            <v>39948.69</v>
          </cell>
          <cell r="V46">
            <v>61283.18</v>
          </cell>
          <cell r="W46">
            <v>84312.21</v>
          </cell>
          <cell r="X46">
            <v>108914.34</v>
          </cell>
          <cell r="Y46">
            <v>131317.6</v>
          </cell>
          <cell r="Z46">
            <v>154844.17000000001</v>
          </cell>
          <cell r="AA46">
            <v>177222.8</v>
          </cell>
          <cell r="AB46">
            <v>198882.94</v>
          </cell>
          <cell r="AC46">
            <v>221179.02</v>
          </cell>
          <cell r="AD46">
            <v>247983.2</v>
          </cell>
          <cell r="AE46">
            <v>271169.12</v>
          </cell>
          <cell r="AF46">
            <v>22881.79</v>
          </cell>
          <cell r="AG46">
            <v>49648.43</v>
          </cell>
          <cell r="AH46">
            <v>74385.679999999993</v>
          </cell>
          <cell r="AI46">
            <v>98682.62</v>
          </cell>
          <cell r="AJ46">
            <v>122526.02</v>
          </cell>
          <cell r="AK46">
            <v>141428.34</v>
          </cell>
          <cell r="AL46">
            <v>166931.51999999999</v>
          </cell>
          <cell r="AM46">
            <v>191165.36</v>
          </cell>
          <cell r="AN46">
            <v>217182.1</v>
          </cell>
          <cell r="AO46">
            <v>243708.15</v>
          </cell>
          <cell r="AP46">
            <v>271217.58</v>
          </cell>
          <cell r="AQ46">
            <v>233871.34</v>
          </cell>
          <cell r="AR46">
            <v>14233.3</v>
          </cell>
          <cell r="AS46">
            <v>31856.36</v>
          </cell>
          <cell r="AT46">
            <v>50636.84</v>
          </cell>
          <cell r="AU46">
            <v>66665.429999999993</v>
          </cell>
          <cell r="AV46">
            <v>82816.14</v>
          </cell>
          <cell r="AW46">
            <v>97719.63</v>
          </cell>
          <cell r="AX46">
            <v>111911.79</v>
          </cell>
          <cell r="AY46">
            <v>126688.09</v>
          </cell>
          <cell r="AZ46">
            <v>142837.54999999999</v>
          </cell>
          <cell r="BA46">
            <v>158336.35</v>
          </cell>
          <cell r="BB46">
            <v>158336.35</v>
          </cell>
          <cell r="BC46">
            <v>162184.18101252551</v>
          </cell>
          <cell r="BD46">
            <v>-3847.8310125255375</v>
          </cell>
          <cell r="BE46">
            <v>4222.07</v>
          </cell>
          <cell r="BF46">
            <v>9508.09</v>
          </cell>
          <cell r="BG46">
            <v>10791.3</v>
          </cell>
          <cell r="BH46">
            <v>9405.84</v>
          </cell>
          <cell r="BI46">
            <v>14486.91</v>
          </cell>
          <cell r="BJ46">
            <v>17918.939999999999</v>
          </cell>
          <cell r="BK46">
            <v>19245.669999999998</v>
          </cell>
          <cell r="BL46">
            <v>16860.73</v>
          </cell>
          <cell r="BM46">
            <v>18918.28</v>
          </cell>
          <cell r="BN46">
            <v>18468.34</v>
          </cell>
          <cell r="BO46">
            <v>16399.25</v>
          </cell>
          <cell r="BP46">
            <v>17086.849999999999</v>
          </cell>
          <cell r="BQ46">
            <v>19519.400000000001</v>
          </cell>
          <cell r="BR46">
            <v>20429.29</v>
          </cell>
          <cell r="BS46">
            <v>21334.49</v>
          </cell>
          <cell r="BT46">
            <v>23029.03</v>
          </cell>
          <cell r="BU46">
            <v>24602.13</v>
          </cell>
          <cell r="BV46">
            <v>22403.26</v>
          </cell>
          <cell r="BW46">
            <v>23526.57</v>
          </cell>
          <cell r="BX46">
            <v>22378.63</v>
          </cell>
          <cell r="BY46">
            <v>21660.14</v>
          </cell>
          <cell r="BZ46">
            <v>22296.080000000002</v>
          </cell>
          <cell r="CA46">
            <v>26804.18</v>
          </cell>
          <cell r="CB46">
            <v>23185.919999999998</v>
          </cell>
          <cell r="CC46">
            <v>22881.79</v>
          </cell>
          <cell r="CD46">
            <v>26766.639999999999</v>
          </cell>
          <cell r="CE46">
            <v>24737.25</v>
          </cell>
          <cell r="CF46">
            <v>24296.94</v>
          </cell>
          <cell r="CG46">
            <v>23843.4</v>
          </cell>
          <cell r="CH46">
            <v>18902.32</v>
          </cell>
          <cell r="CI46">
            <v>25503.18</v>
          </cell>
          <cell r="CJ46">
            <v>24233.84</v>
          </cell>
          <cell r="CK46">
            <v>26016.74</v>
          </cell>
          <cell r="CL46">
            <v>26526.05</v>
          </cell>
          <cell r="CM46">
            <v>27509.43</v>
          </cell>
          <cell r="CN46">
            <v>-37346.239999999998</v>
          </cell>
          <cell r="CO46">
            <v>14233.3</v>
          </cell>
          <cell r="CP46">
            <v>17623.060000000001</v>
          </cell>
          <cell r="CQ46">
            <v>18780.48</v>
          </cell>
          <cell r="CR46">
            <v>16028.59</v>
          </cell>
          <cell r="CS46">
            <v>16150.71</v>
          </cell>
          <cell r="CT46">
            <v>14903.49</v>
          </cell>
          <cell r="CU46">
            <v>14192.16</v>
          </cell>
          <cell r="CV46">
            <v>14776.3</v>
          </cell>
          <cell r="CW46">
            <v>16149.46</v>
          </cell>
          <cell r="CX46">
            <v>15498.8</v>
          </cell>
          <cell r="CZ46">
            <v>15498.8</v>
          </cell>
          <cell r="DA46">
            <v>17862.301391196153</v>
          </cell>
          <cell r="DB46">
            <v>-2363.501391196156</v>
          </cell>
        </row>
        <row r="47">
          <cell r="B47" t="str">
            <v>Pension Fund</v>
          </cell>
          <cell r="G47">
            <v>0</v>
          </cell>
          <cell r="K47">
            <v>0</v>
          </cell>
          <cell r="BC47">
            <v>0</v>
          </cell>
          <cell r="BD47">
            <v>0</v>
          </cell>
          <cell r="DA47">
            <v>0</v>
          </cell>
          <cell r="DB47">
            <v>0</v>
          </cell>
        </row>
        <row r="48">
          <cell r="B48" t="str">
            <v>Apartment Expenses</v>
          </cell>
          <cell r="G48">
            <v>0</v>
          </cell>
          <cell r="K48">
            <v>0</v>
          </cell>
          <cell r="BC48">
            <v>0</v>
          </cell>
          <cell r="BD48">
            <v>0</v>
          </cell>
          <cell r="DA48">
            <v>0</v>
          </cell>
          <cell r="DB48">
            <v>0</v>
          </cell>
        </row>
        <row r="49">
          <cell r="B49" t="str">
            <v>Workers' Union Fund</v>
          </cell>
          <cell r="C49">
            <v>486.57</v>
          </cell>
          <cell r="D49">
            <v>1749.98</v>
          </cell>
          <cell r="E49">
            <v>4442.57</v>
          </cell>
          <cell r="F49">
            <v>1799.33</v>
          </cell>
          <cell r="G49">
            <v>6241.9</v>
          </cell>
          <cell r="H49">
            <v>2861.64</v>
          </cell>
          <cell r="I49">
            <v>7016.9</v>
          </cell>
          <cell r="K49">
            <v>7016.9</v>
          </cell>
          <cell r="L49">
            <v>748.53</v>
          </cell>
          <cell r="M49">
            <v>4819.99</v>
          </cell>
          <cell r="N49">
            <v>5711.2</v>
          </cell>
          <cell r="O49">
            <v>6595.2</v>
          </cell>
          <cell r="P49">
            <v>7512.15</v>
          </cell>
          <cell r="Q49">
            <v>8449.32</v>
          </cell>
          <cell r="R49">
            <v>9360.84</v>
          </cell>
          <cell r="S49">
            <v>10349.459999999999</v>
          </cell>
          <cell r="T49">
            <v>1119.29</v>
          </cell>
          <cell r="U49">
            <v>2337.94</v>
          </cell>
          <cell r="V49">
            <v>3642.97</v>
          </cell>
          <cell r="W49">
            <v>5085.5200000000004</v>
          </cell>
          <cell r="X49">
            <v>6473.7</v>
          </cell>
          <cell r="Y49">
            <v>7832.1</v>
          </cell>
          <cell r="Z49">
            <v>9050.91</v>
          </cell>
          <cell r="AA49">
            <v>10378.780000000001</v>
          </cell>
          <cell r="AB49">
            <v>11646.48</v>
          </cell>
          <cell r="AC49">
            <v>13012.34</v>
          </cell>
          <cell r="AD49">
            <v>14443.56</v>
          </cell>
          <cell r="AE49">
            <v>15815.95</v>
          </cell>
          <cell r="AF49">
            <v>1445.09</v>
          </cell>
          <cell r="AG49">
            <v>2928.58</v>
          </cell>
          <cell r="AH49">
            <v>4412.07</v>
          </cell>
          <cell r="AI49">
            <v>5682.78</v>
          </cell>
          <cell r="AJ49">
            <v>7073.27</v>
          </cell>
          <cell r="AK49">
            <v>8562.0400000000009</v>
          </cell>
          <cell r="AL49">
            <v>10050.81</v>
          </cell>
          <cell r="AM49">
            <v>11586.66</v>
          </cell>
          <cell r="AN49">
            <v>13270.6</v>
          </cell>
          <cell r="AO49">
            <v>14915.03</v>
          </cell>
          <cell r="AP49">
            <v>16678.72</v>
          </cell>
          <cell r="AQ49">
            <v>18444.34</v>
          </cell>
          <cell r="AR49">
            <v>1830.32</v>
          </cell>
          <cell r="AS49">
            <v>3719.63</v>
          </cell>
          <cell r="AT49">
            <v>5536.64</v>
          </cell>
          <cell r="AU49">
            <v>7488.87</v>
          </cell>
          <cell r="AV49">
            <v>7715.37</v>
          </cell>
          <cell r="AW49">
            <v>7971.04</v>
          </cell>
          <cell r="AX49">
            <v>9943.14</v>
          </cell>
          <cell r="AY49">
            <v>12039.56</v>
          </cell>
          <cell r="AZ49">
            <v>14340.1</v>
          </cell>
          <cell r="BA49">
            <v>16543.77</v>
          </cell>
          <cell r="BB49">
            <v>16543.77</v>
          </cell>
          <cell r="BC49">
            <v>15312.645976151027</v>
          </cell>
          <cell r="BD49">
            <v>1231.1240238489736</v>
          </cell>
          <cell r="BE49">
            <v>179.29</v>
          </cell>
          <cell r="BF49">
            <v>329.38</v>
          </cell>
          <cell r="BG49">
            <v>466.77</v>
          </cell>
          <cell r="BH49">
            <v>519.67999999999995</v>
          </cell>
          <cell r="BI49">
            <v>738.44</v>
          </cell>
          <cell r="BJ49">
            <v>866.87</v>
          </cell>
          <cell r="BK49">
            <v>891.21</v>
          </cell>
          <cell r="BL49">
            <v>884</v>
          </cell>
          <cell r="BM49">
            <v>916.95</v>
          </cell>
          <cell r="BN49">
            <v>937.17</v>
          </cell>
          <cell r="BO49">
            <v>911.52</v>
          </cell>
          <cell r="BP49">
            <v>988.61999999999898</v>
          </cell>
          <cell r="BQ49">
            <v>1119.29</v>
          </cell>
          <cell r="BR49">
            <v>1218.6500000000001</v>
          </cell>
          <cell r="BS49">
            <v>1305.03</v>
          </cell>
          <cell r="BT49">
            <v>1442.55</v>
          </cell>
          <cell r="BU49">
            <v>1388.18</v>
          </cell>
          <cell r="BV49">
            <v>1358.4</v>
          </cell>
          <cell r="BW49">
            <v>1218.81</v>
          </cell>
          <cell r="BX49">
            <v>1327.87</v>
          </cell>
          <cell r="BY49">
            <v>1267.7</v>
          </cell>
          <cell r="BZ49">
            <v>1365.86</v>
          </cell>
          <cell r="CA49">
            <v>1431.22</v>
          </cell>
          <cell r="CB49">
            <v>1372.39</v>
          </cell>
          <cell r="CC49">
            <v>1445.09</v>
          </cell>
          <cell r="CD49">
            <v>1483.49</v>
          </cell>
          <cell r="CE49">
            <v>1483.49</v>
          </cell>
          <cell r="CF49">
            <v>1270.71</v>
          </cell>
          <cell r="CG49">
            <v>1390.49</v>
          </cell>
          <cell r="CH49">
            <v>1488.77</v>
          </cell>
          <cell r="CI49">
            <v>1488.77</v>
          </cell>
          <cell r="CJ49">
            <v>1535.85</v>
          </cell>
          <cell r="CK49">
            <v>1683.94</v>
          </cell>
          <cell r="CL49">
            <v>1644.43</v>
          </cell>
          <cell r="CM49">
            <v>1763.69</v>
          </cell>
          <cell r="CN49">
            <v>1765.62</v>
          </cell>
          <cell r="CO49">
            <v>1830.32</v>
          </cell>
          <cell r="CP49">
            <v>1889.31</v>
          </cell>
          <cell r="CQ49">
            <v>1817.01</v>
          </cell>
          <cell r="CR49">
            <v>1952.23</v>
          </cell>
          <cell r="CS49">
            <v>226.5</v>
          </cell>
          <cell r="CT49">
            <v>255.67</v>
          </cell>
          <cell r="CU49">
            <v>1972.1</v>
          </cell>
          <cell r="CV49">
            <v>2096.42</v>
          </cell>
          <cell r="CW49">
            <v>2300.54</v>
          </cell>
          <cell r="CX49">
            <v>2203.67</v>
          </cell>
          <cell r="CZ49">
            <v>2203.67</v>
          </cell>
          <cell r="DA49">
            <v>1636.5506982435231</v>
          </cell>
          <cell r="DB49">
            <v>567.11930175647694</v>
          </cell>
        </row>
        <row r="50">
          <cell r="B50" t="str">
            <v>Audit Fees</v>
          </cell>
          <cell r="C50">
            <v>0</v>
          </cell>
          <cell r="D50">
            <v>3350.97</v>
          </cell>
          <cell r="E50">
            <v>11520</v>
          </cell>
          <cell r="F50">
            <v>3623.19</v>
          </cell>
          <cell r="G50">
            <v>15143.19</v>
          </cell>
          <cell r="H50">
            <v>3623.19</v>
          </cell>
          <cell r="I50">
            <v>8313.4699999999993</v>
          </cell>
          <cell r="J50">
            <v>3750.2415458937203</v>
          </cell>
          <cell r="K50">
            <v>12063.711545893719</v>
          </cell>
          <cell r="L50">
            <v>0</v>
          </cell>
          <cell r="M50">
            <v>6646.2984541062806</v>
          </cell>
          <cell r="N50">
            <v>8699.4384541062791</v>
          </cell>
          <cell r="O50">
            <v>9544.848454106279</v>
          </cell>
          <cell r="P50">
            <v>18085.97845410628</v>
          </cell>
          <cell r="Q50">
            <v>19281.448454106277</v>
          </cell>
          <cell r="R50">
            <v>19281.448454106277</v>
          </cell>
          <cell r="S50">
            <v>24607.738454106282</v>
          </cell>
          <cell r="T50">
            <v>2167.63</v>
          </cell>
          <cell r="U50">
            <v>6394.68</v>
          </cell>
          <cell r="V50">
            <v>8995.84</v>
          </cell>
          <cell r="W50">
            <v>9720.48</v>
          </cell>
          <cell r="X50">
            <v>10557.63</v>
          </cell>
          <cell r="Y50">
            <v>10557.63</v>
          </cell>
          <cell r="Z50">
            <v>11197.72</v>
          </cell>
          <cell r="AA50">
            <v>12767.77</v>
          </cell>
          <cell r="AB50">
            <v>12767.77</v>
          </cell>
          <cell r="AC50">
            <v>12767.77</v>
          </cell>
          <cell r="AD50">
            <v>17411.25</v>
          </cell>
          <cell r="AE50">
            <v>17929.490000000002</v>
          </cell>
          <cell r="AF50">
            <v>1006.78</v>
          </cell>
          <cell r="AG50">
            <v>1336.95</v>
          </cell>
          <cell r="AH50">
            <v>1336.95</v>
          </cell>
          <cell r="AI50">
            <v>1336.95</v>
          </cell>
          <cell r="AJ50">
            <v>1596.61</v>
          </cell>
          <cell r="AK50">
            <v>3204.47</v>
          </cell>
          <cell r="AL50">
            <v>5903.14</v>
          </cell>
          <cell r="AM50">
            <v>13598.52</v>
          </cell>
          <cell r="AN50">
            <v>13779.68</v>
          </cell>
          <cell r="AO50">
            <v>14021.23</v>
          </cell>
          <cell r="AP50">
            <v>14504.32</v>
          </cell>
          <cell r="AQ50">
            <v>19324.25</v>
          </cell>
          <cell r="AR50">
            <v>0</v>
          </cell>
          <cell r="AS50">
            <v>381.44</v>
          </cell>
          <cell r="AT50">
            <v>381.44</v>
          </cell>
          <cell r="AU50">
            <v>381.44</v>
          </cell>
          <cell r="AV50">
            <v>381.44</v>
          </cell>
          <cell r="AW50">
            <v>566.4</v>
          </cell>
          <cell r="AX50">
            <v>1463.2</v>
          </cell>
          <cell r="AY50">
            <v>3189.46</v>
          </cell>
          <cell r="AZ50">
            <v>3189.46</v>
          </cell>
          <cell r="BA50">
            <v>3559.37</v>
          </cell>
          <cell r="BB50">
            <v>3559.37</v>
          </cell>
          <cell r="BC50">
            <v>6728.5312446251046</v>
          </cell>
          <cell r="BD50">
            <v>-3169.1612446251047</v>
          </cell>
          <cell r="BE50">
            <v>0</v>
          </cell>
          <cell r="BF50">
            <v>0</v>
          </cell>
          <cell r="BG50">
            <v>0</v>
          </cell>
          <cell r="BH50">
            <v>3623.19</v>
          </cell>
          <cell r="BI50">
            <v>1286.24</v>
          </cell>
          <cell r="BJ50">
            <v>-869.7515458937205</v>
          </cell>
          <cell r="BK50">
            <v>2053.14</v>
          </cell>
          <cell r="BL50">
            <v>845.41</v>
          </cell>
          <cell r="BM50">
            <v>8541.1299999999992</v>
          </cell>
          <cell r="BN50">
            <v>1195.47</v>
          </cell>
          <cell r="BO50">
            <v>0</v>
          </cell>
          <cell r="BP50">
            <v>4227.05</v>
          </cell>
          <cell r="BQ50">
            <v>2167.63</v>
          </cell>
          <cell r="BR50">
            <v>4227.05</v>
          </cell>
          <cell r="BS50">
            <v>2601.16</v>
          </cell>
          <cell r="BT50">
            <v>724.63999999999942</v>
          </cell>
          <cell r="BU50">
            <v>837.15</v>
          </cell>
          <cell r="BV50">
            <v>0</v>
          </cell>
          <cell r="BW50">
            <v>640.09</v>
          </cell>
          <cell r="BX50">
            <v>1570.05</v>
          </cell>
          <cell r="BY50">
            <v>0</v>
          </cell>
          <cell r="BZ50">
            <v>0</v>
          </cell>
          <cell r="CA50">
            <v>4643.4799999999996</v>
          </cell>
          <cell r="CB50">
            <v>518.2400000000016</v>
          </cell>
          <cell r="CC50">
            <v>1006.78</v>
          </cell>
          <cell r="CD50">
            <v>330.17</v>
          </cell>
          <cell r="CE50">
            <v>0</v>
          </cell>
          <cell r="CF50">
            <v>0</v>
          </cell>
          <cell r="CG50">
            <v>259.66000000000003</v>
          </cell>
          <cell r="CH50">
            <v>1607.86</v>
          </cell>
          <cell r="CI50">
            <v>2698.67</v>
          </cell>
          <cell r="CJ50">
            <v>7695.38</v>
          </cell>
          <cell r="CK50">
            <v>181.16</v>
          </cell>
          <cell r="CL50">
            <v>241.54999999999927</v>
          </cell>
          <cell r="CM50">
            <v>483.09</v>
          </cell>
          <cell r="CN50">
            <v>4819.93</v>
          </cell>
          <cell r="CO50">
            <v>0</v>
          </cell>
          <cell r="CP50">
            <v>381.44</v>
          </cell>
          <cell r="CQ50">
            <v>0</v>
          </cell>
          <cell r="CR50">
            <v>0</v>
          </cell>
          <cell r="CS50">
            <v>0</v>
          </cell>
          <cell r="CT50">
            <v>184.96</v>
          </cell>
          <cell r="CU50">
            <v>896.8</v>
          </cell>
          <cell r="CV50">
            <v>1726.26</v>
          </cell>
          <cell r="CW50">
            <v>0</v>
          </cell>
          <cell r="CX50">
            <v>369.91</v>
          </cell>
          <cell r="CZ50">
            <v>369.91</v>
          </cell>
          <cell r="DA50">
            <v>1852.860266909023</v>
          </cell>
          <cell r="DB50">
            <v>-1482.9502669090232</v>
          </cell>
        </row>
        <row r="51">
          <cell r="B51" t="str">
            <v>Royalty Fees</v>
          </cell>
          <cell r="Q51">
            <v>43916.62</v>
          </cell>
          <cell r="R51">
            <v>70413.27</v>
          </cell>
          <cell r="S51">
            <v>92852.800000000003</v>
          </cell>
          <cell r="T51">
            <v>22771.31</v>
          </cell>
          <cell r="U51">
            <v>45995.59</v>
          </cell>
          <cell r="V51">
            <v>83606.720000000001</v>
          </cell>
          <cell r="W51">
            <v>125126.72</v>
          </cell>
          <cell r="X51">
            <v>162920.18</v>
          </cell>
          <cell r="Y51">
            <v>200734.42</v>
          </cell>
          <cell r="Z51">
            <v>223734.42</v>
          </cell>
          <cell r="AA51">
            <v>250734.42</v>
          </cell>
          <cell r="AB51">
            <v>283746.25</v>
          </cell>
          <cell r="AC51">
            <v>325650.27</v>
          </cell>
          <cell r="AD51">
            <v>364327.22</v>
          </cell>
          <cell r="AE51">
            <v>397070.09</v>
          </cell>
          <cell r="AF51">
            <v>34676.83</v>
          </cell>
          <cell r="AG51">
            <v>67568.12</v>
          </cell>
          <cell r="AH51">
            <v>100704.94</v>
          </cell>
          <cell r="AI51">
            <v>128403.51</v>
          </cell>
          <cell r="AJ51">
            <v>152030.32</v>
          </cell>
          <cell r="AK51">
            <v>175282.65</v>
          </cell>
          <cell r="AL51">
            <v>196870.15</v>
          </cell>
          <cell r="AM51">
            <v>208952</v>
          </cell>
          <cell r="AN51">
            <v>229079</v>
          </cell>
          <cell r="AO51">
            <v>251141.08</v>
          </cell>
          <cell r="AP51">
            <v>268579.21000000002</v>
          </cell>
          <cell r="AQ51">
            <v>287738.76</v>
          </cell>
          <cell r="AR51">
            <v>15862.32</v>
          </cell>
          <cell r="AS51">
            <v>36856.839999999997</v>
          </cell>
          <cell r="AT51">
            <v>58090.73</v>
          </cell>
          <cell r="AU51">
            <v>76537.240000000005</v>
          </cell>
          <cell r="AV51">
            <v>98238.17</v>
          </cell>
          <cell r="AW51">
            <v>116769.49</v>
          </cell>
          <cell r="AX51">
            <v>132655.28</v>
          </cell>
          <cell r="AY51">
            <v>147654.15</v>
          </cell>
          <cell r="AZ51">
            <v>165089.5</v>
          </cell>
          <cell r="BA51">
            <v>182719.62</v>
          </cell>
          <cell r="BB51">
            <v>182719.62</v>
          </cell>
          <cell r="BC51">
            <v>215161.67800000001</v>
          </cell>
          <cell r="BD51">
            <v>-32442.058000000019</v>
          </cell>
          <cell r="BN51">
            <v>43916.62</v>
          </cell>
          <cell r="BO51">
            <v>26496.65</v>
          </cell>
          <cell r="BP51">
            <v>22439.53</v>
          </cell>
          <cell r="BQ51">
            <v>22771.31</v>
          </cell>
          <cell r="BR51">
            <v>23224.28</v>
          </cell>
          <cell r="BS51">
            <v>37611.129999999997</v>
          </cell>
          <cell r="BT51">
            <v>41520</v>
          </cell>
          <cell r="BU51">
            <v>37793.46</v>
          </cell>
          <cell r="BV51">
            <v>37814.239999999998</v>
          </cell>
          <cell r="BW51">
            <v>23000</v>
          </cell>
          <cell r="BX51">
            <v>27000</v>
          </cell>
          <cell r="BY51">
            <v>33011.83</v>
          </cell>
          <cell r="BZ51">
            <v>41904.019999999997</v>
          </cell>
          <cell r="CA51">
            <v>38676.949999999997</v>
          </cell>
          <cell r="CB51">
            <v>32742.870000000054</v>
          </cell>
          <cell r="CC51">
            <v>34676.83</v>
          </cell>
          <cell r="CD51">
            <v>32891.29</v>
          </cell>
          <cell r="CE51">
            <v>33136.82</v>
          </cell>
          <cell r="CF51">
            <v>27698.57</v>
          </cell>
          <cell r="CG51">
            <v>23626.81</v>
          </cell>
          <cell r="CH51">
            <v>23252.33</v>
          </cell>
          <cell r="CI51">
            <v>21587.5</v>
          </cell>
          <cell r="CJ51">
            <v>12081.85</v>
          </cell>
          <cell r="CK51">
            <v>20127</v>
          </cell>
          <cell r="CL51">
            <v>22062.080000000002</v>
          </cell>
          <cell r="CM51">
            <v>17438.13</v>
          </cell>
          <cell r="CN51">
            <v>19159.55</v>
          </cell>
          <cell r="CO51">
            <v>15862.32</v>
          </cell>
          <cell r="CP51">
            <v>20994.52</v>
          </cell>
          <cell r="CQ51">
            <v>21233.89</v>
          </cell>
          <cell r="CR51">
            <v>18446.509999999998</v>
          </cell>
          <cell r="CS51">
            <v>21700.93</v>
          </cell>
          <cell r="CT51">
            <v>18531.32</v>
          </cell>
          <cell r="CU51">
            <v>15885.79</v>
          </cell>
          <cell r="CV51">
            <v>14998.87</v>
          </cell>
          <cell r="CW51">
            <v>17435.349999999999</v>
          </cell>
          <cell r="CX51">
            <v>17630.12</v>
          </cell>
          <cell r="CZ51">
            <v>17630.12</v>
          </cell>
          <cell r="DA51">
            <v>36102.080000000002</v>
          </cell>
          <cell r="DB51">
            <v>-18471.96</v>
          </cell>
        </row>
        <row r="52">
          <cell r="B52" t="str">
            <v>Insurance-Employer Liability</v>
          </cell>
          <cell r="G52">
            <v>0</v>
          </cell>
          <cell r="K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cell r="CM52">
            <v>0</v>
          </cell>
          <cell r="CN52">
            <v>0</v>
          </cell>
          <cell r="CO52">
            <v>0</v>
          </cell>
          <cell r="CP52">
            <v>0</v>
          </cell>
          <cell r="CQ52">
            <v>0</v>
          </cell>
          <cell r="CR52">
            <v>0</v>
          </cell>
          <cell r="CS52">
            <v>0</v>
          </cell>
          <cell r="CT52">
            <v>0</v>
          </cell>
          <cell r="CU52">
            <v>0</v>
          </cell>
          <cell r="CV52">
            <v>0</v>
          </cell>
          <cell r="CW52">
            <v>0</v>
          </cell>
          <cell r="CX52">
            <v>0</v>
          </cell>
          <cell r="CZ52">
            <v>0</v>
          </cell>
          <cell r="DA52">
            <v>0</v>
          </cell>
          <cell r="DB52">
            <v>0</v>
          </cell>
        </row>
        <row r="53">
          <cell r="B53" t="str">
            <v>Local Transportation</v>
          </cell>
          <cell r="G53">
            <v>0</v>
          </cell>
          <cell r="K53">
            <v>0</v>
          </cell>
          <cell r="BC53">
            <v>0</v>
          </cell>
          <cell r="BD53">
            <v>0</v>
          </cell>
          <cell r="DA53">
            <v>0</v>
          </cell>
          <cell r="DB53">
            <v>0</v>
          </cell>
        </row>
        <row r="54">
          <cell r="B54" t="str">
            <v>Newspapers etc</v>
          </cell>
          <cell r="G54">
            <v>0</v>
          </cell>
          <cell r="K54">
            <v>0</v>
          </cell>
          <cell r="BC54">
            <v>0</v>
          </cell>
          <cell r="BD54">
            <v>0</v>
          </cell>
          <cell r="DA54">
            <v>0</v>
          </cell>
          <cell r="DB54">
            <v>0</v>
          </cell>
        </row>
        <row r="55">
          <cell r="B55" t="str">
            <v>Postages</v>
          </cell>
          <cell r="G55">
            <v>0</v>
          </cell>
          <cell r="K55">
            <v>0</v>
          </cell>
          <cell r="BC55">
            <v>0</v>
          </cell>
          <cell r="BD55">
            <v>0</v>
          </cell>
          <cell r="DA55">
            <v>0</v>
          </cell>
          <cell r="DB55">
            <v>0</v>
          </cell>
        </row>
        <row r="56">
          <cell r="B56" t="str">
            <v>Marketing Expenses</v>
          </cell>
          <cell r="C56">
            <v>0</v>
          </cell>
          <cell r="D56">
            <v>0</v>
          </cell>
          <cell r="E56">
            <v>0</v>
          </cell>
          <cell r="G56">
            <v>0</v>
          </cell>
          <cell r="H56">
            <v>0</v>
          </cell>
          <cell r="I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Z56">
            <v>0</v>
          </cell>
          <cell r="DA56">
            <v>0</v>
          </cell>
          <cell r="DB56">
            <v>0</v>
          </cell>
        </row>
        <row r="57">
          <cell r="B57" t="str">
            <v>Disposal of fixed assets</v>
          </cell>
          <cell r="C57">
            <v>0</v>
          </cell>
          <cell r="D57">
            <v>0</v>
          </cell>
          <cell r="E57">
            <v>0</v>
          </cell>
          <cell r="G57">
            <v>0</v>
          </cell>
          <cell r="H57">
            <v>0</v>
          </cell>
          <cell r="I57">
            <v>53.27</v>
          </cell>
          <cell r="K57">
            <v>53.27</v>
          </cell>
          <cell r="L57">
            <v>0</v>
          </cell>
          <cell r="M57">
            <v>1652.39</v>
          </cell>
          <cell r="N57">
            <v>1652.39</v>
          </cell>
          <cell r="O57">
            <v>1652.39</v>
          </cell>
          <cell r="P57">
            <v>1652.39</v>
          </cell>
          <cell r="Q57">
            <v>1652.39</v>
          </cell>
          <cell r="R57">
            <v>1652.39</v>
          </cell>
          <cell r="S57">
            <v>1652.39</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212.68</v>
          </cell>
          <cell r="AW57">
            <v>212.68</v>
          </cell>
          <cell r="AX57">
            <v>212.68</v>
          </cell>
          <cell r="AY57">
            <v>212.68</v>
          </cell>
          <cell r="AZ57">
            <v>212.68</v>
          </cell>
          <cell r="BA57">
            <v>381.56</v>
          </cell>
          <cell r="BB57">
            <v>381.56</v>
          </cell>
          <cell r="BC57">
            <v>212.68</v>
          </cell>
          <cell r="BD57">
            <v>168.88</v>
          </cell>
          <cell r="BE57">
            <v>0</v>
          </cell>
          <cell r="BF57">
            <v>0</v>
          </cell>
          <cell r="BG57">
            <v>0</v>
          </cell>
          <cell r="BH57">
            <v>0</v>
          </cell>
          <cell r="BI57">
            <v>53.27</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cell r="CP57">
            <v>0</v>
          </cell>
          <cell r="CQ57">
            <v>0</v>
          </cell>
          <cell r="CR57">
            <v>0</v>
          </cell>
          <cell r="CS57">
            <v>212.68</v>
          </cell>
          <cell r="CT57">
            <v>0</v>
          </cell>
          <cell r="CU57">
            <v>0</v>
          </cell>
          <cell r="CV57">
            <v>0</v>
          </cell>
          <cell r="CW57">
            <v>0</v>
          </cell>
          <cell r="CX57">
            <v>168.88</v>
          </cell>
          <cell r="CZ57">
            <v>168.88</v>
          </cell>
          <cell r="DA57">
            <v>0</v>
          </cell>
          <cell r="DB57">
            <v>168.88</v>
          </cell>
        </row>
        <row r="58">
          <cell r="B58" t="str">
            <v>Bank Charges</v>
          </cell>
          <cell r="C58">
            <v>230.13</v>
          </cell>
          <cell r="D58">
            <v>1100.53</v>
          </cell>
          <cell r="E58">
            <v>2713.03</v>
          </cell>
          <cell r="G58">
            <v>2713.03</v>
          </cell>
          <cell r="H58">
            <v>1843.05</v>
          </cell>
          <cell r="I58">
            <v>3985.14</v>
          </cell>
          <cell r="K58">
            <v>3985.14</v>
          </cell>
          <cell r="L58">
            <v>670.82</v>
          </cell>
          <cell r="M58">
            <v>1802</v>
          </cell>
          <cell r="N58">
            <v>1986.99</v>
          </cell>
          <cell r="O58">
            <v>2484.46</v>
          </cell>
          <cell r="P58">
            <v>2766.16</v>
          </cell>
          <cell r="Q58">
            <v>2892.7</v>
          </cell>
          <cell r="R58">
            <v>3370.3</v>
          </cell>
          <cell r="S58">
            <v>3477.79</v>
          </cell>
          <cell r="T58">
            <v>442.34</v>
          </cell>
          <cell r="U58">
            <v>888.71</v>
          </cell>
          <cell r="V58">
            <v>1181.53</v>
          </cell>
          <cell r="W58">
            <v>1313.24</v>
          </cell>
          <cell r="X58">
            <v>1786.77</v>
          </cell>
          <cell r="Y58">
            <v>2379.8200000000002</v>
          </cell>
          <cell r="Z58">
            <v>2566.6999999999998</v>
          </cell>
          <cell r="AA58">
            <v>2961.78</v>
          </cell>
          <cell r="AB58">
            <v>3516.03</v>
          </cell>
          <cell r="AC58">
            <v>3893.68</v>
          </cell>
          <cell r="AD58">
            <v>4190.8500000000004</v>
          </cell>
          <cell r="AE58">
            <v>4719.38</v>
          </cell>
          <cell r="AF58">
            <v>470.09</v>
          </cell>
          <cell r="AG58">
            <v>906.55</v>
          </cell>
          <cell r="AH58">
            <v>1375.04</v>
          </cell>
          <cell r="AI58">
            <v>1604.17</v>
          </cell>
          <cell r="AJ58">
            <v>2306.5500000000002</v>
          </cell>
          <cell r="AK58">
            <v>2527.16</v>
          </cell>
          <cell r="AL58">
            <v>2920.14</v>
          </cell>
          <cell r="AM58">
            <v>3167.36</v>
          </cell>
          <cell r="AN58">
            <v>3681.07</v>
          </cell>
          <cell r="AO58">
            <v>4378.82</v>
          </cell>
          <cell r="AP58">
            <v>5061.08</v>
          </cell>
          <cell r="AQ58">
            <v>5804.76</v>
          </cell>
          <cell r="AR58">
            <v>181.21</v>
          </cell>
          <cell r="AS58">
            <v>1113.83</v>
          </cell>
          <cell r="AT58">
            <v>1677.85</v>
          </cell>
          <cell r="AU58">
            <v>2497.62</v>
          </cell>
          <cell r="AV58">
            <v>3471.92</v>
          </cell>
          <cell r="AW58">
            <v>4215.93</v>
          </cell>
          <cell r="AX58">
            <v>4602.28</v>
          </cell>
          <cell r="AY58">
            <v>5314.73</v>
          </cell>
          <cell r="AZ58">
            <v>5616.61</v>
          </cell>
          <cell r="BA58">
            <v>6565.25</v>
          </cell>
          <cell r="BB58">
            <v>6565.25</v>
          </cell>
          <cell r="BC58">
            <v>6586.2079077648959</v>
          </cell>
          <cell r="BD58">
            <v>-20.957907764895936</v>
          </cell>
          <cell r="BE58">
            <v>230.13</v>
          </cell>
          <cell r="BF58">
            <v>120.89</v>
          </cell>
          <cell r="BG58">
            <v>479.06</v>
          </cell>
          <cell r="BH58">
            <v>270.93</v>
          </cell>
          <cell r="BI58">
            <v>444.69</v>
          </cell>
          <cell r="BJ58">
            <v>310.58</v>
          </cell>
          <cell r="BK58">
            <v>184.99</v>
          </cell>
          <cell r="BL58">
            <v>497.47</v>
          </cell>
          <cell r="BM58">
            <v>281.7</v>
          </cell>
          <cell r="BN58">
            <v>126.54</v>
          </cell>
          <cell r="BO58">
            <v>477.6</v>
          </cell>
          <cell r="BP58">
            <v>107.49</v>
          </cell>
          <cell r="BQ58">
            <v>442.34</v>
          </cell>
          <cell r="BR58">
            <v>446.37</v>
          </cell>
          <cell r="BS58">
            <v>292.82</v>
          </cell>
          <cell r="BT58">
            <v>131.71</v>
          </cell>
          <cell r="BU58">
            <v>473.53</v>
          </cell>
          <cell r="BV58">
            <v>593.04999999999995</v>
          </cell>
          <cell r="BW58">
            <v>186.88</v>
          </cell>
          <cell r="BX58">
            <v>395.08</v>
          </cell>
          <cell r="BY58">
            <v>554.25</v>
          </cell>
          <cell r="BZ58">
            <v>377.65</v>
          </cell>
          <cell r="CA58">
            <v>297.17000000000053</v>
          </cell>
          <cell r="CB58">
            <v>528.53</v>
          </cell>
          <cell r="CC58">
            <v>470.09</v>
          </cell>
          <cell r="CD58">
            <v>436.46</v>
          </cell>
          <cell r="CE58">
            <v>468.49</v>
          </cell>
          <cell r="CF58">
            <v>229.13</v>
          </cell>
          <cell r="CG58">
            <v>702.38</v>
          </cell>
          <cell r="CH58">
            <v>220.61</v>
          </cell>
          <cell r="CI58">
            <v>392.98</v>
          </cell>
          <cell r="CJ58">
            <v>247.22</v>
          </cell>
          <cell r="CK58">
            <v>513.71</v>
          </cell>
          <cell r="CL58">
            <v>697.75</v>
          </cell>
          <cell r="CM58">
            <v>682.26</v>
          </cell>
          <cell r="CN58">
            <v>743.68</v>
          </cell>
          <cell r="CO58">
            <v>181.21</v>
          </cell>
          <cell r="CP58">
            <v>932.62</v>
          </cell>
          <cell r="CQ58">
            <v>564.02</v>
          </cell>
          <cell r="CR58">
            <v>819.77</v>
          </cell>
          <cell r="CS58">
            <v>974.3</v>
          </cell>
          <cell r="CT58">
            <v>744.01</v>
          </cell>
          <cell r="CU58">
            <v>386.34999999999945</v>
          </cell>
          <cell r="CV58">
            <v>712.45</v>
          </cell>
          <cell r="CW58">
            <v>301.88</v>
          </cell>
          <cell r="CX58">
            <v>948.64</v>
          </cell>
          <cell r="CZ58">
            <v>948.64</v>
          </cell>
          <cell r="DA58">
            <v>665.67489963027015</v>
          </cell>
          <cell r="DB58">
            <v>282.96510036973018</v>
          </cell>
        </row>
        <row r="59">
          <cell r="B59" t="str">
            <v>Pre-Operating Expenditure</v>
          </cell>
          <cell r="C59">
            <v>0</v>
          </cell>
          <cell r="D59">
            <v>0</v>
          </cell>
          <cell r="E59">
            <v>0</v>
          </cell>
          <cell r="G59">
            <v>0</v>
          </cell>
          <cell r="H59">
            <v>0</v>
          </cell>
          <cell r="I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Z59">
            <v>0</v>
          </cell>
          <cell r="DA59">
            <v>0</v>
          </cell>
          <cell r="DB59">
            <v>0</v>
          </cell>
        </row>
        <row r="60">
          <cell r="C60">
            <v>49561.73</v>
          </cell>
          <cell r="D60">
            <v>167240.82</v>
          </cell>
          <cell r="E60">
            <v>291151.92</v>
          </cell>
          <cell r="F60">
            <v>-67821.75</v>
          </cell>
          <cell r="G60">
            <v>223330.17</v>
          </cell>
          <cell r="H60">
            <v>192069.99</v>
          </cell>
          <cell r="I60">
            <v>429008.32</v>
          </cell>
          <cell r="J60">
            <v>3750.2415458937203</v>
          </cell>
          <cell r="K60">
            <v>432758.56154589372</v>
          </cell>
          <cell r="L60">
            <v>44949.88</v>
          </cell>
          <cell r="M60">
            <v>312400.9684541063</v>
          </cell>
          <cell r="N60">
            <v>373041.0284541063</v>
          </cell>
          <cell r="O60">
            <v>416119.63845410629</v>
          </cell>
          <cell r="P60">
            <v>479486.25845410628</v>
          </cell>
          <cell r="Q60">
            <v>590211.63845410617</v>
          </cell>
          <cell r="R60">
            <v>675740.00845410628</v>
          </cell>
          <cell r="S60">
            <v>768306.55845410633</v>
          </cell>
          <cell r="T60">
            <v>82967.58</v>
          </cell>
          <cell r="U60">
            <v>187940.28</v>
          </cell>
          <cell r="V60">
            <v>314032.42</v>
          </cell>
          <cell r="W60">
            <v>460948.86</v>
          </cell>
          <cell r="X60">
            <v>610401.22</v>
          </cell>
          <cell r="Y60">
            <v>759802.91</v>
          </cell>
          <cell r="Z60">
            <v>869383.53</v>
          </cell>
          <cell r="AA60">
            <v>992165.21</v>
          </cell>
          <cell r="AB60">
            <v>1107375.17</v>
          </cell>
          <cell r="AC60">
            <v>1231601.02</v>
          </cell>
          <cell r="AD60">
            <v>1355277.39</v>
          </cell>
          <cell r="AE60">
            <v>1500104.82</v>
          </cell>
          <cell r="AF60">
            <v>121235.38</v>
          </cell>
          <cell r="AG60">
            <v>244444.11</v>
          </cell>
          <cell r="AH60">
            <v>377032.47</v>
          </cell>
          <cell r="AI60">
            <v>492334.11</v>
          </cell>
          <cell r="AJ60">
            <v>603843.66</v>
          </cell>
          <cell r="AK60">
            <v>721457.47</v>
          </cell>
          <cell r="AL60">
            <v>850250.82</v>
          </cell>
          <cell r="AM60">
            <v>934788.84</v>
          </cell>
          <cell r="AN60">
            <v>1043447.04</v>
          </cell>
          <cell r="AO60">
            <v>1151453.94</v>
          </cell>
          <cell r="AP60">
            <v>1254915.6599999999</v>
          </cell>
          <cell r="AQ60">
            <v>1310189.1299999999</v>
          </cell>
          <cell r="AR60">
            <v>89266.74</v>
          </cell>
          <cell r="AS60">
            <v>198457.75</v>
          </cell>
          <cell r="AT60">
            <v>308459.62</v>
          </cell>
          <cell r="AU60">
            <v>406331.61</v>
          </cell>
          <cell r="AV60">
            <v>522322.27</v>
          </cell>
          <cell r="AW60">
            <v>628712.25</v>
          </cell>
          <cell r="AX60">
            <v>733111.6</v>
          </cell>
          <cell r="AY60">
            <v>821844.57</v>
          </cell>
          <cell r="AZ60">
            <v>924219.06</v>
          </cell>
          <cell r="BA60">
            <v>1028853.01</v>
          </cell>
          <cell r="BB60">
            <v>1028853.01</v>
          </cell>
          <cell r="BC60">
            <v>1066759.7144793991</v>
          </cell>
          <cell r="BD60">
            <v>-37906.704479399137</v>
          </cell>
          <cell r="BE60">
            <v>16975.75</v>
          </cell>
          <cell r="BF60">
            <v>21362.45</v>
          </cell>
          <cell r="BG60">
            <v>23902.9</v>
          </cell>
          <cell r="BH60">
            <v>68885.87</v>
          </cell>
          <cell r="BI60">
            <v>53409.16</v>
          </cell>
          <cell r="BJ60">
            <v>62894.108454106288</v>
          </cell>
          <cell r="BK60">
            <v>62442.06</v>
          </cell>
          <cell r="BL60">
            <v>43078.61</v>
          </cell>
          <cell r="BM60">
            <v>63366.62</v>
          </cell>
          <cell r="BN60">
            <v>110725.38</v>
          </cell>
          <cell r="BO60">
            <v>85528.37</v>
          </cell>
          <cell r="BP60">
            <v>91467.31</v>
          </cell>
          <cell r="BQ60">
            <v>82967.58</v>
          </cell>
          <cell r="BR60">
            <v>104972.7</v>
          </cell>
          <cell r="BS60">
            <v>126092.14</v>
          </cell>
          <cell r="BT60">
            <v>146916.44</v>
          </cell>
          <cell r="BU60">
            <v>149452.35999999999</v>
          </cell>
          <cell r="BV60">
            <v>149401.69</v>
          </cell>
          <cell r="BW60">
            <v>109580.62</v>
          </cell>
          <cell r="BX60">
            <v>122781.68</v>
          </cell>
          <cell r="BY60">
            <v>115209.96</v>
          </cell>
          <cell r="BZ60">
            <v>124225.85</v>
          </cell>
          <cell r="CA60">
            <v>123676.37</v>
          </cell>
          <cell r="CB60">
            <v>144827.43</v>
          </cell>
          <cell r="CC60">
            <v>121235.38</v>
          </cell>
          <cell r="CD60">
            <v>122738.64</v>
          </cell>
          <cell r="CE60">
            <v>132588.35999999999</v>
          </cell>
          <cell r="CF60">
            <v>115301.64</v>
          </cell>
          <cell r="CG60">
            <v>111509.55</v>
          </cell>
          <cell r="CH60">
            <v>117613.81</v>
          </cell>
          <cell r="CI60">
            <v>128793.35</v>
          </cell>
          <cell r="CJ60">
            <v>84538.02</v>
          </cell>
          <cell r="CK60">
            <v>108658.2</v>
          </cell>
          <cell r="CL60">
            <v>108006.9</v>
          </cell>
          <cell r="CM60">
            <v>103461.72</v>
          </cell>
          <cell r="CN60">
            <v>55273.47</v>
          </cell>
          <cell r="CO60">
            <v>89266.74</v>
          </cell>
          <cell r="CP60">
            <v>109191.01</v>
          </cell>
          <cell r="CQ60">
            <v>110001.87</v>
          </cell>
          <cell r="CR60">
            <v>97871.99</v>
          </cell>
          <cell r="CS60">
            <v>115990.66</v>
          </cell>
          <cell r="CT60">
            <v>106389.98</v>
          </cell>
          <cell r="CU60">
            <v>104399.35</v>
          </cell>
          <cell r="CV60">
            <v>88732.97</v>
          </cell>
          <cell r="CW60">
            <v>102374.49</v>
          </cell>
          <cell r="CX60">
            <v>104633.95</v>
          </cell>
          <cell r="CZ60">
            <v>104633.95</v>
          </cell>
          <cell r="DA60">
            <v>126989.76518895385</v>
          </cell>
          <cell r="DB60">
            <v>-22355.815188953871</v>
          </cell>
        </row>
        <row r="61">
          <cell r="B61" t="str">
            <v>Finance Expenses</v>
          </cell>
          <cell r="G61">
            <v>0</v>
          </cell>
          <cell r="K61">
            <v>0</v>
          </cell>
          <cell r="BC61">
            <v>0</v>
          </cell>
          <cell r="BD61">
            <v>0</v>
          </cell>
          <cell r="DA61">
            <v>0</v>
          </cell>
          <cell r="DB61">
            <v>0</v>
          </cell>
        </row>
        <row r="62">
          <cell r="B62" t="str">
            <v>Bank Loan Interest</v>
          </cell>
          <cell r="C62">
            <v>-27.26</v>
          </cell>
          <cell r="D62">
            <v>-530.66999999999996</v>
          </cell>
          <cell r="E62">
            <v>-1230.5</v>
          </cell>
          <cell r="G62">
            <v>-1230.5</v>
          </cell>
          <cell r="H62">
            <v>-806.06</v>
          </cell>
          <cell r="I62">
            <v>-1182.82</v>
          </cell>
          <cell r="K62">
            <v>-1182.82</v>
          </cell>
          <cell r="L62">
            <v>0</v>
          </cell>
          <cell r="M62">
            <v>193.9</v>
          </cell>
          <cell r="N62">
            <v>193.9</v>
          </cell>
          <cell r="O62">
            <v>-772.68</v>
          </cell>
          <cell r="P62">
            <v>-1028.0999999999999</v>
          </cell>
          <cell r="Q62">
            <v>-1165.48</v>
          </cell>
          <cell r="R62">
            <v>-1165.48</v>
          </cell>
          <cell r="S62">
            <v>-1684.6</v>
          </cell>
          <cell r="T62">
            <v>0</v>
          </cell>
          <cell r="U62">
            <v>0</v>
          </cell>
          <cell r="V62">
            <v>-339.52</v>
          </cell>
          <cell r="W62">
            <v>-545.79</v>
          </cell>
          <cell r="X62">
            <v>-782.62</v>
          </cell>
          <cell r="Y62">
            <v>-1391.06</v>
          </cell>
          <cell r="Z62">
            <v>-1391.06</v>
          </cell>
          <cell r="AA62">
            <v>-1674.69</v>
          </cell>
          <cell r="AB62">
            <v>-1874.64</v>
          </cell>
          <cell r="AC62">
            <v>-2102.29</v>
          </cell>
          <cell r="AD62">
            <v>-2102.29</v>
          </cell>
          <cell r="AE62">
            <v>-2411.5500000000002</v>
          </cell>
          <cell r="AF62">
            <v>-354.35</v>
          </cell>
          <cell r="AG62">
            <v>-354.35</v>
          </cell>
          <cell r="AH62">
            <v>-655.85</v>
          </cell>
          <cell r="AI62">
            <v>-655.85</v>
          </cell>
          <cell r="AJ62">
            <v>-655.85</v>
          </cell>
          <cell r="AK62">
            <v>-1214.99</v>
          </cell>
          <cell r="AL62">
            <v>-1214.99</v>
          </cell>
          <cell r="AM62">
            <v>-1214.99</v>
          </cell>
          <cell r="AN62">
            <v>-2358.9699999999998</v>
          </cell>
          <cell r="AO62">
            <v>-2358.9699999999998</v>
          </cell>
          <cell r="AP62">
            <v>-2358.9699999999998</v>
          </cell>
          <cell r="AQ62">
            <v>-2683.06</v>
          </cell>
          <cell r="AR62">
            <v>0</v>
          </cell>
          <cell r="AS62">
            <v>0</v>
          </cell>
          <cell r="AT62">
            <v>-226.09</v>
          </cell>
          <cell r="AU62">
            <v>-226.09</v>
          </cell>
          <cell r="AV62">
            <v>-226.09</v>
          </cell>
          <cell r="AW62">
            <v>-2934</v>
          </cell>
          <cell r="AX62">
            <v>-2934</v>
          </cell>
          <cell r="AY62">
            <v>-2934</v>
          </cell>
          <cell r="AZ62">
            <v>-3374.69</v>
          </cell>
          <cell r="BA62">
            <v>-3374.69</v>
          </cell>
          <cell r="BB62">
            <v>-3374.69</v>
          </cell>
          <cell r="BC62">
            <v>-3680.9289845286021</v>
          </cell>
          <cell r="BD62">
            <v>306.23898452860203</v>
          </cell>
          <cell r="BE62">
            <v>-27.26</v>
          </cell>
          <cell r="BF62">
            <v>-369.15</v>
          </cell>
          <cell r="BG62">
            <v>-172.21</v>
          </cell>
          <cell r="BH62">
            <v>-385.07</v>
          </cell>
          <cell r="BI62">
            <v>-131.78</v>
          </cell>
          <cell r="BJ62">
            <v>576.07000000000005</v>
          </cell>
          <cell r="BK62">
            <v>0</v>
          </cell>
          <cell r="BL62">
            <v>-966.58</v>
          </cell>
          <cell r="BM62">
            <v>-255.42</v>
          </cell>
          <cell r="BN62">
            <v>-137.38</v>
          </cell>
          <cell r="BO62">
            <v>0</v>
          </cell>
          <cell r="BP62">
            <v>-519.12</v>
          </cell>
          <cell r="BQ62">
            <v>0</v>
          </cell>
          <cell r="BR62">
            <v>0</v>
          </cell>
          <cell r="BS62">
            <v>-339.52</v>
          </cell>
          <cell r="BT62">
            <v>-206.27</v>
          </cell>
          <cell r="BU62">
            <v>-236.83</v>
          </cell>
          <cell r="BV62">
            <v>-608.44000000000005</v>
          </cell>
          <cell r="BW62">
            <v>0</v>
          </cell>
          <cell r="BX62">
            <v>-283.63</v>
          </cell>
          <cell r="BY62">
            <v>-199.95</v>
          </cell>
          <cell r="BZ62">
            <v>-227.65</v>
          </cell>
          <cell r="CA62">
            <v>0</v>
          </cell>
          <cell r="CB62">
            <v>-309.26</v>
          </cell>
          <cell r="CC62">
            <v>-354.35</v>
          </cell>
          <cell r="CD62">
            <v>0</v>
          </cell>
          <cell r="CE62">
            <v>-301.5</v>
          </cell>
          <cell r="CF62">
            <v>0</v>
          </cell>
          <cell r="CG62">
            <v>0</v>
          </cell>
          <cell r="CH62">
            <v>-559.14</v>
          </cell>
          <cell r="CI62">
            <v>0</v>
          </cell>
          <cell r="CJ62">
            <v>0</v>
          </cell>
          <cell r="CK62">
            <v>-1143.98</v>
          </cell>
          <cell r="CL62">
            <v>0</v>
          </cell>
          <cell r="CM62">
            <v>0</v>
          </cell>
          <cell r="CN62">
            <v>-324.08999999999997</v>
          </cell>
          <cell r="CO62">
            <v>0</v>
          </cell>
          <cell r="CP62">
            <v>0</v>
          </cell>
          <cell r="CQ62">
            <v>-226.09</v>
          </cell>
          <cell r="CR62">
            <v>0</v>
          </cell>
          <cell r="CS62">
            <v>0</v>
          </cell>
          <cell r="CT62">
            <v>-2707.91</v>
          </cell>
          <cell r="CU62">
            <v>0</v>
          </cell>
          <cell r="CV62">
            <v>0</v>
          </cell>
          <cell r="CW62">
            <v>-440.69</v>
          </cell>
          <cell r="CX62">
            <v>0</v>
          </cell>
          <cell r="CZ62">
            <v>0</v>
          </cell>
          <cell r="DA62">
            <v>-391.0503468212475</v>
          </cell>
          <cell r="DB62">
            <v>391.0503468212475</v>
          </cell>
        </row>
        <row r="63">
          <cell r="B63" t="str">
            <v>Exchange Loss</v>
          </cell>
          <cell r="C63">
            <v>5816.54</v>
          </cell>
          <cell r="D63">
            <v>5305.14</v>
          </cell>
          <cell r="E63">
            <v>-17953.64</v>
          </cell>
          <cell r="G63">
            <v>-17953.64</v>
          </cell>
          <cell r="H63">
            <v>-20222.66</v>
          </cell>
          <cell r="I63">
            <v>-1319.46</v>
          </cell>
          <cell r="K63">
            <v>-1319.46</v>
          </cell>
          <cell r="L63">
            <v>1146.55</v>
          </cell>
          <cell r="M63">
            <v>-16618.330000000002</v>
          </cell>
          <cell r="N63">
            <v>-10031.870000000001</v>
          </cell>
          <cell r="O63">
            <v>-10269.24</v>
          </cell>
          <cell r="P63">
            <v>-9664.15</v>
          </cell>
          <cell r="Q63">
            <v>-14341.57</v>
          </cell>
          <cell r="R63">
            <v>-9850.5400000000009</v>
          </cell>
          <cell r="S63">
            <v>-9170.48</v>
          </cell>
          <cell r="T63">
            <v>924.57</v>
          </cell>
          <cell r="U63">
            <v>-2079</v>
          </cell>
          <cell r="V63">
            <v>17740.16</v>
          </cell>
          <cell r="W63">
            <v>22710.3</v>
          </cell>
          <cell r="X63">
            <v>27931.21</v>
          </cell>
          <cell r="Y63">
            <v>31095.66</v>
          </cell>
          <cell r="Z63">
            <v>32236.9</v>
          </cell>
          <cell r="AA63">
            <v>34190.17</v>
          </cell>
          <cell r="AB63">
            <v>35762.71</v>
          </cell>
          <cell r="AC63">
            <v>35084.370000000003</v>
          </cell>
          <cell r="AD63">
            <v>35662.26</v>
          </cell>
          <cell r="AE63">
            <v>37208.19</v>
          </cell>
          <cell r="AF63">
            <v>-341.96</v>
          </cell>
          <cell r="AG63">
            <v>-387.31</v>
          </cell>
          <cell r="AH63">
            <v>262.7</v>
          </cell>
          <cell r="AI63">
            <v>3015.55</v>
          </cell>
          <cell r="AJ63">
            <v>5300.56</v>
          </cell>
          <cell r="AK63">
            <v>6486.71</v>
          </cell>
          <cell r="AL63">
            <v>7864.62</v>
          </cell>
          <cell r="AM63">
            <v>7864.87</v>
          </cell>
          <cell r="AN63">
            <v>8343.4</v>
          </cell>
          <cell r="AO63">
            <v>9000.94</v>
          </cell>
          <cell r="AP63">
            <v>9764.33</v>
          </cell>
          <cell r="AQ63">
            <v>9587.06</v>
          </cell>
          <cell r="AR63">
            <v>-1706.92</v>
          </cell>
          <cell r="AS63">
            <v>-329.25</v>
          </cell>
          <cell r="AT63">
            <v>5437.9</v>
          </cell>
          <cell r="AU63">
            <v>5781.22</v>
          </cell>
          <cell r="AV63">
            <v>8368.7900000000009</v>
          </cell>
          <cell r="AW63">
            <v>10499.41</v>
          </cell>
          <cell r="AX63">
            <v>13568.61</v>
          </cell>
          <cell r="AY63">
            <v>21558.33</v>
          </cell>
          <cell r="AZ63">
            <v>22099.42</v>
          </cell>
          <cell r="BA63">
            <v>33538.93</v>
          </cell>
          <cell r="BB63">
            <v>33538.93</v>
          </cell>
          <cell r="BC63">
            <v>23179.833676292339</v>
          </cell>
          <cell r="BD63">
            <v>10359.096323707661</v>
          </cell>
          <cell r="BE63">
            <v>1535.4</v>
          </cell>
          <cell r="BF63">
            <v>-832.30999999999949</v>
          </cell>
          <cell r="BG63">
            <v>-15496.12</v>
          </cell>
          <cell r="BH63">
            <v>-20735.86</v>
          </cell>
          <cell r="BI63">
            <v>36912.22</v>
          </cell>
          <cell r="BJ63">
            <v>491.7599999999984</v>
          </cell>
          <cell r="BK63">
            <v>6586.46</v>
          </cell>
          <cell r="BL63">
            <v>-237.36999999999898</v>
          </cell>
          <cell r="BM63">
            <v>605.09</v>
          </cell>
          <cell r="BN63">
            <v>-4677.42</v>
          </cell>
          <cell r="BO63">
            <v>4491.03</v>
          </cell>
          <cell r="BP63">
            <v>680.06000000000131</v>
          </cell>
          <cell r="BQ63">
            <v>924.57</v>
          </cell>
          <cell r="BR63">
            <v>-3003.57</v>
          </cell>
          <cell r="BS63">
            <v>19819.16</v>
          </cell>
          <cell r="BT63">
            <v>4970.1400000000003</v>
          </cell>
          <cell r="BU63">
            <v>5220.91</v>
          </cell>
          <cell r="BV63">
            <v>3164.45</v>
          </cell>
          <cell r="BW63">
            <v>1141.24</v>
          </cell>
          <cell r="BX63">
            <v>1953.27</v>
          </cell>
          <cell r="BY63">
            <v>1572.54</v>
          </cell>
          <cell r="BZ63">
            <v>-678.33999999999651</v>
          </cell>
          <cell r="CA63">
            <v>577.88999999999942</v>
          </cell>
          <cell r="CB63">
            <v>1545.9299999999944</v>
          </cell>
          <cell r="CC63">
            <v>-341.96</v>
          </cell>
          <cell r="CD63">
            <v>-45.35</v>
          </cell>
          <cell r="CE63">
            <v>650.01</v>
          </cell>
          <cell r="CF63">
            <v>2752.85</v>
          </cell>
          <cell r="CG63">
            <v>2285.0100000000002</v>
          </cell>
          <cell r="CH63">
            <v>1186.1500000000001</v>
          </cell>
          <cell r="CI63">
            <v>1377.91</v>
          </cell>
          <cell r="CJ63">
            <v>0.25</v>
          </cell>
          <cell r="CK63">
            <v>478.53</v>
          </cell>
          <cell r="CL63">
            <v>657.54000000000087</v>
          </cell>
          <cell r="CM63">
            <v>763.38999999999942</v>
          </cell>
          <cell r="CN63">
            <v>-177.27</v>
          </cell>
          <cell r="CO63">
            <v>-1706.92</v>
          </cell>
          <cell r="CP63">
            <v>1377.67</v>
          </cell>
          <cell r="CQ63">
            <v>5767.15</v>
          </cell>
          <cell r="CR63">
            <v>343.32</v>
          </cell>
          <cell r="CS63">
            <v>2587.5700000000002</v>
          </cell>
          <cell r="CT63">
            <v>2130.62</v>
          </cell>
          <cell r="CU63">
            <v>3069.2</v>
          </cell>
          <cell r="CV63">
            <v>7989.72</v>
          </cell>
          <cell r="CW63">
            <v>541.09</v>
          </cell>
          <cell r="CX63">
            <v>11439.51</v>
          </cell>
          <cell r="CZ63">
            <v>11439.51</v>
          </cell>
          <cell r="DA63">
            <v>848.92886488563499</v>
          </cell>
          <cell r="DB63">
            <v>10590.581135114364</v>
          </cell>
        </row>
        <row r="64">
          <cell r="C64">
            <v>6019.41</v>
          </cell>
          <cell r="D64">
            <v>5875</v>
          </cell>
          <cell r="E64">
            <v>-16471.11</v>
          </cell>
          <cell r="F64">
            <v>0</v>
          </cell>
          <cell r="G64">
            <v>-16471.11</v>
          </cell>
          <cell r="H64">
            <v>-19185.669999999998</v>
          </cell>
          <cell r="I64">
            <v>1482.86</v>
          </cell>
          <cell r="K64">
            <v>1482.86</v>
          </cell>
          <cell r="L64">
            <v>1817.37</v>
          </cell>
          <cell r="M64">
            <v>-14622.43</v>
          </cell>
          <cell r="N64">
            <v>-7850.98</v>
          </cell>
          <cell r="O64">
            <v>-8557.4599999999991</v>
          </cell>
          <cell r="P64">
            <v>-7926.09</v>
          </cell>
          <cell r="Q64">
            <v>-12614.35</v>
          </cell>
          <cell r="R64">
            <v>-7645.72</v>
          </cell>
          <cell r="S64">
            <v>-7377.29</v>
          </cell>
          <cell r="T64">
            <v>1366.91</v>
          </cell>
          <cell r="U64">
            <v>-1190.29</v>
          </cell>
          <cell r="V64">
            <v>18582.169999999998</v>
          </cell>
          <cell r="W64">
            <v>23477.75</v>
          </cell>
          <cell r="X64">
            <v>28935.360000000001</v>
          </cell>
          <cell r="Y64">
            <v>32084.42</v>
          </cell>
          <cell r="Z64">
            <v>33412.54</v>
          </cell>
          <cell r="AA64">
            <v>35477.26</v>
          </cell>
          <cell r="AB64">
            <v>37404.1</v>
          </cell>
          <cell r="AC64">
            <v>36875.760000000002</v>
          </cell>
          <cell r="AD64">
            <v>37750.82</v>
          </cell>
          <cell r="AE64">
            <v>39516.019999999997</v>
          </cell>
          <cell r="AF64">
            <v>-226.22</v>
          </cell>
          <cell r="AG64">
            <v>-741.66</v>
          </cell>
          <cell r="AH64">
            <v>-393.15</v>
          </cell>
          <cell r="AI64">
            <v>2359.6999999999998</v>
          </cell>
          <cell r="AJ64">
            <v>4644.71</v>
          </cell>
          <cell r="AK64">
            <v>5271.72</v>
          </cell>
          <cell r="AL64">
            <v>6649.63</v>
          </cell>
          <cell r="AM64">
            <v>6649.88</v>
          </cell>
          <cell r="AN64">
            <v>5984.43</v>
          </cell>
          <cell r="AO64">
            <v>6641.97</v>
          </cell>
          <cell r="AP64">
            <v>7405.36</v>
          </cell>
          <cell r="AQ64">
            <v>6904</v>
          </cell>
          <cell r="AR64">
            <v>-1706.92</v>
          </cell>
          <cell r="AS64">
            <v>-329.25</v>
          </cell>
          <cell r="AT64">
            <v>5211.8100000000004</v>
          </cell>
          <cell r="AU64">
            <v>5555.13</v>
          </cell>
          <cell r="AV64">
            <v>8142.7</v>
          </cell>
          <cell r="AW64">
            <v>7565.41</v>
          </cell>
          <cell r="AX64">
            <v>10634.61</v>
          </cell>
          <cell r="AY64">
            <v>18624.330000000002</v>
          </cell>
          <cell r="AZ64">
            <v>18724.73</v>
          </cell>
          <cell r="BA64">
            <v>30164.240000000002</v>
          </cell>
          <cell r="BB64">
            <v>30164.240000000002</v>
          </cell>
          <cell r="BC64">
            <v>19498.904691763735</v>
          </cell>
          <cell r="BD64">
            <v>10665.335308236266</v>
          </cell>
          <cell r="BE64">
            <v>1738.27</v>
          </cell>
          <cell r="BF64">
            <v>-1080.57</v>
          </cell>
          <cell r="BG64">
            <v>-15189.27</v>
          </cell>
          <cell r="BH64">
            <v>-20850</v>
          </cell>
          <cell r="BI64">
            <v>37225.129999999997</v>
          </cell>
          <cell r="BJ64">
            <v>1378.41</v>
          </cell>
          <cell r="BK64">
            <v>6771.45</v>
          </cell>
          <cell r="BL64">
            <v>-706.47999999999888</v>
          </cell>
          <cell r="BM64">
            <v>631.37</v>
          </cell>
          <cell r="BN64">
            <v>-4688.26</v>
          </cell>
          <cell r="BO64">
            <v>4968.63</v>
          </cell>
          <cell r="BP64">
            <v>268.4300000000012</v>
          </cell>
          <cell r="BQ64">
            <v>1366.91</v>
          </cell>
          <cell r="BR64">
            <v>-2557.1999999999998</v>
          </cell>
          <cell r="BS64">
            <v>19772.46</v>
          </cell>
          <cell r="BT64">
            <v>4895.58</v>
          </cell>
          <cell r="BU64">
            <v>5457.61</v>
          </cell>
          <cell r="BV64">
            <v>3149.06</v>
          </cell>
          <cell r="BW64">
            <v>1328.12</v>
          </cell>
          <cell r="BX64">
            <v>2064.7199999999998</v>
          </cell>
          <cell r="BY64">
            <v>1926.84</v>
          </cell>
          <cell r="BZ64">
            <v>-528.33999999999673</v>
          </cell>
          <cell r="CA64">
            <v>875.06</v>
          </cell>
          <cell r="CB64">
            <v>1765.1999999999939</v>
          </cell>
          <cell r="CC64">
            <v>-226.22</v>
          </cell>
          <cell r="CD64">
            <v>-45.35</v>
          </cell>
          <cell r="CE64">
            <v>348.51</v>
          </cell>
          <cell r="CF64">
            <v>2752.85</v>
          </cell>
          <cell r="CG64">
            <v>2285.0100000000002</v>
          </cell>
          <cell r="CH64">
            <v>627.01</v>
          </cell>
          <cell r="CI64">
            <v>1377.91</v>
          </cell>
          <cell r="CJ64">
            <v>0.25</v>
          </cell>
          <cell r="CK64">
            <v>-665.45</v>
          </cell>
          <cell r="CL64">
            <v>657.54000000000087</v>
          </cell>
          <cell r="CM64">
            <v>763.38999999999942</v>
          </cell>
          <cell r="CN64">
            <v>-501.36000000000058</v>
          </cell>
          <cell r="CO64">
            <v>-1706.92</v>
          </cell>
          <cell r="CP64">
            <v>1377.67</v>
          </cell>
          <cell r="CQ64">
            <v>5541.06</v>
          </cell>
          <cell r="CR64">
            <v>343.32</v>
          </cell>
          <cell r="CS64">
            <v>2587.5700000000002</v>
          </cell>
          <cell r="CT64">
            <v>-577.29</v>
          </cell>
          <cell r="CU64">
            <v>3069.2</v>
          </cell>
          <cell r="CV64">
            <v>7989.72</v>
          </cell>
          <cell r="CW64">
            <v>100.4</v>
          </cell>
          <cell r="CX64">
            <v>11439.51</v>
          </cell>
          <cell r="CZ64">
            <v>11439.51</v>
          </cell>
          <cell r="DA64">
            <v>457.87851806438749</v>
          </cell>
          <cell r="DB64">
            <v>10981.63148193561</v>
          </cell>
        </row>
        <row r="65">
          <cell r="G65">
            <v>0</v>
          </cell>
          <cell r="K65">
            <v>0</v>
          </cell>
          <cell r="BC65">
            <v>0</v>
          </cell>
          <cell r="BD65">
            <v>0</v>
          </cell>
          <cell r="DA65">
            <v>0</v>
          </cell>
          <cell r="DB65">
            <v>0</v>
          </cell>
        </row>
        <row r="66">
          <cell r="C66">
            <v>55581.14</v>
          </cell>
          <cell r="D66">
            <v>173115.82</v>
          </cell>
          <cell r="E66">
            <v>274680.81</v>
          </cell>
          <cell r="F66">
            <v>-67821.75</v>
          </cell>
          <cell r="G66">
            <v>206859.06</v>
          </cell>
          <cell r="H66">
            <v>172884.32</v>
          </cell>
          <cell r="I66">
            <v>430491.18</v>
          </cell>
          <cell r="J66">
            <v>3750.2415458937203</v>
          </cell>
          <cell r="K66">
            <v>434241.42154589371</v>
          </cell>
          <cell r="L66">
            <v>46767.25</v>
          </cell>
          <cell r="M66">
            <v>297778.53845410631</v>
          </cell>
          <cell r="N66">
            <v>365190.04845410632</v>
          </cell>
          <cell r="O66">
            <v>407562.17845410627</v>
          </cell>
          <cell r="P66">
            <v>471560.16845410626</v>
          </cell>
          <cell r="Q66">
            <v>577597.28845410619</v>
          </cell>
          <cell r="R66">
            <v>668094.28845410631</v>
          </cell>
          <cell r="S66">
            <v>760929.26845410629</v>
          </cell>
          <cell r="T66">
            <v>84334.49</v>
          </cell>
          <cell r="U66">
            <v>186749.99</v>
          </cell>
          <cell r="V66">
            <v>332614.59000000003</v>
          </cell>
          <cell r="W66">
            <v>484426.61</v>
          </cell>
          <cell r="X66">
            <v>639336.57999999996</v>
          </cell>
          <cell r="Y66">
            <v>791887.33</v>
          </cell>
          <cell r="Z66">
            <v>902796.07</v>
          </cell>
          <cell r="AA66">
            <v>1027642.47</v>
          </cell>
          <cell r="AB66">
            <v>1144779.27</v>
          </cell>
          <cell r="AC66">
            <v>1268476.78</v>
          </cell>
          <cell r="AD66">
            <v>1393028.21</v>
          </cell>
          <cell r="AE66">
            <v>1539620.84</v>
          </cell>
          <cell r="AF66">
            <v>121009.16</v>
          </cell>
          <cell r="AG66">
            <v>243702.45</v>
          </cell>
          <cell r="AH66">
            <v>376639.32</v>
          </cell>
          <cell r="AI66">
            <v>494693.81</v>
          </cell>
          <cell r="AJ66">
            <v>608488.37</v>
          </cell>
          <cell r="AK66">
            <v>726729.19</v>
          </cell>
          <cell r="AL66">
            <v>856900.45</v>
          </cell>
          <cell r="AM66">
            <v>941438.72</v>
          </cell>
          <cell r="AN66">
            <v>1049431.47</v>
          </cell>
          <cell r="AO66">
            <v>1158095.9099999999</v>
          </cell>
          <cell r="AP66">
            <v>1262321.02</v>
          </cell>
          <cell r="AQ66">
            <v>1317093.1299999999</v>
          </cell>
          <cell r="AR66">
            <v>87559.82</v>
          </cell>
          <cell r="AS66">
            <v>198128.5</v>
          </cell>
          <cell r="AT66">
            <v>313671.43</v>
          </cell>
          <cell r="AU66">
            <v>411886.74</v>
          </cell>
          <cell r="AV66">
            <v>530464.97</v>
          </cell>
          <cell r="AW66">
            <v>636277.66</v>
          </cell>
          <cell r="AX66">
            <v>743746.21</v>
          </cell>
          <cell r="AY66">
            <v>840468.9</v>
          </cell>
          <cell r="AZ66">
            <v>942943.79</v>
          </cell>
          <cell r="BA66">
            <v>1059017.25</v>
          </cell>
          <cell r="BB66">
            <v>1059017.25</v>
          </cell>
          <cell r="BC66">
            <v>1086258.6191711628</v>
          </cell>
          <cell r="BD66">
            <v>-27241.369171162834</v>
          </cell>
          <cell r="BE66">
            <v>18714.02</v>
          </cell>
          <cell r="BF66">
            <v>20281.88</v>
          </cell>
          <cell r="BG66">
            <v>8713.6299999999992</v>
          </cell>
          <cell r="BH66">
            <v>48035.87</v>
          </cell>
          <cell r="BI66">
            <v>90634.29</v>
          </cell>
          <cell r="BJ66">
            <v>64272.518454106292</v>
          </cell>
          <cell r="BK66">
            <v>69213.509999999995</v>
          </cell>
          <cell r="BL66">
            <v>42372.13</v>
          </cell>
          <cell r="BM66">
            <v>63997.99</v>
          </cell>
          <cell r="BN66">
            <v>106037.12</v>
          </cell>
          <cell r="BO66">
            <v>90497</v>
          </cell>
          <cell r="BP66">
            <v>91735.74</v>
          </cell>
          <cell r="BQ66">
            <v>84334.49</v>
          </cell>
          <cell r="BR66">
            <v>102415.5</v>
          </cell>
          <cell r="BS66">
            <v>145864.6</v>
          </cell>
          <cell r="BT66">
            <v>151812.01999999999</v>
          </cell>
          <cell r="BU66">
            <v>154909.97</v>
          </cell>
          <cell r="BV66">
            <v>152550.75</v>
          </cell>
          <cell r="BW66">
            <v>110908.74</v>
          </cell>
          <cell r="BX66">
            <v>124846.39999999999</v>
          </cell>
          <cell r="BY66">
            <v>117136.8</v>
          </cell>
          <cell r="BZ66">
            <v>123697.51</v>
          </cell>
          <cell r="CA66">
            <v>124551.43</v>
          </cell>
          <cell r="CB66">
            <v>146592.63</v>
          </cell>
          <cell r="CC66">
            <v>121009.16</v>
          </cell>
          <cell r="CD66">
            <v>122693.29</v>
          </cell>
          <cell r="CE66">
            <v>132936.87</v>
          </cell>
          <cell r="CF66">
            <v>118054.49</v>
          </cell>
          <cell r="CG66">
            <v>113794.56</v>
          </cell>
          <cell r="CH66">
            <v>118240.82</v>
          </cell>
          <cell r="CI66">
            <v>130171.26</v>
          </cell>
          <cell r="CJ66">
            <v>84538.27</v>
          </cell>
          <cell r="CK66">
            <v>107992.75</v>
          </cell>
          <cell r="CL66">
            <v>108664.44</v>
          </cell>
          <cell r="CM66">
            <v>104225.11</v>
          </cell>
          <cell r="CN66">
            <v>54772.11</v>
          </cell>
          <cell r="CO66">
            <v>87559.82</v>
          </cell>
          <cell r="CP66">
            <v>110568.68</v>
          </cell>
          <cell r="CQ66">
            <v>115542.93</v>
          </cell>
          <cell r="CR66">
            <v>98215.31</v>
          </cell>
          <cell r="CS66">
            <v>118578.23</v>
          </cell>
          <cell r="CT66">
            <v>105812.69</v>
          </cell>
          <cell r="CU66">
            <v>107468.55</v>
          </cell>
          <cell r="CV66">
            <v>96722.69</v>
          </cell>
          <cell r="CW66">
            <v>102474.89</v>
          </cell>
          <cell r="CX66">
            <v>116073.46</v>
          </cell>
          <cell r="CZ66">
            <v>116073.46</v>
          </cell>
          <cell r="DA66">
            <v>127447.64370701824</v>
          </cell>
          <cell r="DB66">
            <v>-11374.183707018266</v>
          </cell>
        </row>
        <row r="67">
          <cell r="B67" t="str">
            <v>HZ Profit Before Tax (Loss) c/f</v>
          </cell>
          <cell r="C67">
            <v>-251803.37</v>
          </cell>
          <cell r="D67">
            <v>-293158.57</v>
          </cell>
          <cell r="E67">
            <v>-455034.28</v>
          </cell>
          <cell r="F67">
            <v>163966.28</v>
          </cell>
          <cell r="G67">
            <v>-291068</v>
          </cell>
          <cell r="H67">
            <v>492764.02000000054</v>
          </cell>
          <cell r="I67">
            <v>2501314.5099999998</v>
          </cell>
          <cell r="J67">
            <v>-3750.2415458937203</v>
          </cell>
          <cell r="K67">
            <v>2497564.2684541061</v>
          </cell>
          <cell r="L67">
            <v>325938.76</v>
          </cell>
          <cell r="M67">
            <v>1706354.2215458937</v>
          </cell>
          <cell r="N67">
            <v>2100913.7315458925</v>
          </cell>
          <cell r="O67">
            <v>2293991.6415458941</v>
          </cell>
          <cell r="P67">
            <v>2477667.3915458936</v>
          </cell>
          <cell r="Q67">
            <v>2655706.0415458935</v>
          </cell>
          <cell r="R67">
            <v>2703079.1515458925</v>
          </cell>
          <cell r="S67">
            <v>2821695.5915458929</v>
          </cell>
          <cell r="T67">
            <v>163096.39000000001</v>
          </cell>
          <cell r="U67">
            <v>396942.64000000281</v>
          </cell>
          <cell r="V67">
            <v>567622.27999999688</v>
          </cell>
          <cell r="W67">
            <v>940637.62000000116</v>
          </cell>
          <cell r="X67">
            <v>1141289.19</v>
          </cell>
          <cell r="Y67">
            <v>1523724.56</v>
          </cell>
          <cell r="Z67">
            <v>1597247.54</v>
          </cell>
          <cell r="AA67">
            <v>1776857.39</v>
          </cell>
          <cell r="AB67">
            <v>1806627.89</v>
          </cell>
          <cell r="AC67">
            <v>2176362.41</v>
          </cell>
          <cell r="AD67">
            <v>2353662.44</v>
          </cell>
          <cell r="AE67">
            <v>2523665.27</v>
          </cell>
          <cell r="AF67">
            <v>162324.31</v>
          </cell>
          <cell r="AG67">
            <v>213528.52</v>
          </cell>
          <cell r="AH67">
            <v>456400.79</v>
          </cell>
          <cell r="AI67">
            <v>722250.73</v>
          </cell>
          <cell r="AJ67">
            <v>848314.48000000068</v>
          </cell>
          <cell r="AK67">
            <v>906242.89</v>
          </cell>
          <cell r="AL67">
            <v>1146291.18</v>
          </cell>
          <cell r="AM67">
            <v>1165185.08</v>
          </cell>
          <cell r="AN67">
            <v>1231714.6599999999</v>
          </cell>
          <cell r="AO67">
            <v>1347203.7</v>
          </cell>
          <cell r="AP67">
            <v>1372917.34</v>
          </cell>
          <cell r="AQ67">
            <v>1577107.31</v>
          </cell>
          <cell r="AR67">
            <v>91580.61</v>
          </cell>
          <cell r="AS67">
            <v>200713.78</v>
          </cell>
          <cell r="AT67">
            <v>249334.60000000073</v>
          </cell>
          <cell r="AU67">
            <v>257439.32</v>
          </cell>
          <cell r="AV67">
            <v>476121.35</v>
          </cell>
          <cell r="AW67">
            <v>626590.92000000004</v>
          </cell>
          <cell r="AX67">
            <v>734316.48</v>
          </cell>
          <cell r="AY67">
            <v>1007259.07</v>
          </cell>
          <cell r="AZ67">
            <v>1280212.1200000001</v>
          </cell>
          <cell r="BA67">
            <v>1599323.4</v>
          </cell>
          <cell r="BB67">
            <v>1599323.4</v>
          </cell>
          <cell r="BC67">
            <v>1272346.538737138</v>
          </cell>
          <cell r="BD67">
            <v>365244.20126286434</v>
          </cell>
          <cell r="BE67">
            <v>-64718.91</v>
          </cell>
          <cell r="BF67">
            <v>-79315.08</v>
          </cell>
          <cell r="BG67">
            <v>22724.03</v>
          </cell>
          <cell r="BH67">
            <v>493724.49</v>
          </cell>
          <cell r="BI67">
            <v>375425.59000000061</v>
          </cell>
          <cell r="BJ67">
            <v>234295.73154589371</v>
          </cell>
          <cell r="BK67">
            <v>394559.51</v>
          </cell>
          <cell r="BL67">
            <v>193077.91</v>
          </cell>
          <cell r="BM67">
            <v>183675.75</v>
          </cell>
          <cell r="BN67">
            <v>178038.65</v>
          </cell>
          <cell r="BO67">
            <v>47373.11</v>
          </cell>
          <cell r="BP67">
            <v>119715.68</v>
          </cell>
          <cell r="BQ67">
            <v>163096.39000000001</v>
          </cell>
          <cell r="BR67">
            <v>233846.25</v>
          </cell>
          <cell r="BS67">
            <v>170679.64</v>
          </cell>
          <cell r="BT67">
            <v>373015.34</v>
          </cell>
          <cell r="BU67">
            <v>200651.56999999864</v>
          </cell>
          <cell r="BV67">
            <v>382435.37000000244</v>
          </cell>
          <cell r="BW67">
            <v>73522.979999998919</v>
          </cell>
          <cell r="BX67">
            <v>179609.84999999942</v>
          </cell>
          <cell r="BY67">
            <v>29770.500000003885</v>
          </cell>
          <cell r="BZ67">
            <v>369734.52</v>
          </cell>
          <cell r="CA67">
            <v>177300.02999999904</v>
          </cell>
          <cell r="CB67">
            <v>170002.83000000089</v>
          </cell>
          <cell r="CC67">
            <v>162324.31</v>
          </cell>
          <cell r="CD67">
            <v>51204.21</v>
          </cell>
          <cell r="CE67">
            <v>242872.27</v>
          </cell>
          <cell r="CF67">
            <v>265849.94</v>
          </cell>
          <cell r="CG67">
            <v>126063.75</v>
          </cell>
          <cell r="CH67">
            <v>57928.410000000236</v>
          </cell>
          <cell r="CI67">
            <v>240048.29</v>
          </cell>
          <cell r="CJ67">
            <v>18893.900000000052</v>
          </cell>
          <cell r="CK67">
            <v>66529.579999999696</v>
          </cell>
          <cell r="CL67">
            <v>115489.04</v>
          </cell>
          <cell r="CM67">
            <v>25713.64</v>
          </cell>
          <cell r="CN67">
            <v>204189.97</v>
          </cell>
          <cell r="CO67">
            <v>91580.610000000161</v>
          </cell>
          <cell r="CP67">
            <v>109133.17</v>
          </cell>
          <cell r="CQ67">
            <v>48620.820000000109</v>
          </cell>
          <cell r="CR67">
            <v>8104.7200000001467</v>
          </cell>
          <cell r="CS67">
            <v>218682.03</v>
          </cell>
          <cell r="CT67">
            <v>150469.57</v>
          </cell>
          <cell r="CU67">
            <v>107725.56000000057</v>
          </cell>
          <cell r="CV67">
            <v>272942.59000000003</v>
          </cell>
          <cell r="CW67">
            <v>272953.05</v>
          </cell>
          <cell r="CX67">
            <v>319111.28000000003</v>
          </cell>
          <cell r="CZ67">
            <v>319111.28000000003</v>
          </cell>
          <cell r="DA67">
            <v>148849.86082239565</v>
          </cell>
          <cell r="DB67">
            <v>170261.41917760466</v>
          </cell>
        </row>
        <row r="75">
          <cell r="B75" t="str">
            <v>All Amount in US$</v>
          </cell>
        </row>
        <row r="77">
          <cell r="B77" t="str">
            <v>Direct Cost</v>
          </cell>
        </row>
        <row r="78">
          <cell r="B78" t="str">
            <v>Raw Material - Opening Stock</v>
          </cell>
        </row>
        <row r="79">
          <cell r="B79" t="str">
            <v xml:space="preserve">Stamping Material </v>
          </cell>
        </row>
        <row r="80">
          <cell r="B80" t="str">
            <v xml:space="preserve"> Carriage Inwards</v>
          </cell>
        </row>
        <row r="81">
          <cell r="B81" t="str">
            <v>Tapping</v>
          </cell>
        </row>
        <row r="82">
          <cell r="B82" t="str">
            <v>Plating</v>
          </cell>
        </row>
        <row r="83">
          <cell r="B83" t="str">
            <v>Tooling Buy-in Cost</v>
          </cell>
        </row>
        <row r="84">
          <cell r="B84" t="str">
            <v>Packing Material</v>
          </cell>
        </row>
        <row r="85">
          <cell r="B85" t="str">
            <v>Raw Material - Closing Stock</v>
          </cell>
        </row>
        <row r="86">
          <cell r="B86" t="str">
            <v>Material Costs</v>
          </cell>
        </row>
        <row r="88">
          <cell r="B88" t="str">
            <v>Production Wages &amp; Allowances</v>
          </cell>
        </row>
        <row r="89">
          <cell r="B89" t="str">
            <v>Prime Cost</v>
          </cell>
        </row>
        <row r="91">
          <cell r="B91" t="str">
            <v>Manufacturing Overheads :</v>
          </cell>
        </row>
        <row r="93">
          <cell r="B93" t="str">
            <v xml:space="preserve"> Cleaning expenses</v>
          </cell>
        </row>
        <row r="94">
          <cell r="B94" t="str">
            <v xml:space="preserve"> Indirect Wages / Allowances</v>
          </cell>
        </row>
        <row r="95">
          <cell r="B95" t="str">
            <v xml:space="preserve"> Indirect Materials</v>
          </cell>
        </row>
        <row r="96">
          <cell r="B96" t="str">
            <v xml:space="preserve"> Printing &amp; Stationery</v>
          </cell>
        </row>
        <row r="97">
          <cell r="B97" t="str">
            <v xml:space="preserve"> Local transportation / Travelling</v>
          </cell>
        </row>
        <row r="98">
          <cell r="B98" t="str">
            <v xml:space="preserve"> Telecommunication</v>
          </cell>
        </row>
        <row r="99">
          <cell r="B99" t="str">
            <v xml:space="preserve"> Water &amp; Electricity</v>
          </cell>
        </row>
        <row r="100">
          <cell r="B100" t="str">
            <v xml:space="preserve"> Insurance &amp; Workmen Comp</v>
          </cell>
        </row>
        <row r="101">
          <cell r="B101" t="str">
            <v xml:space="preserve"> Safety eqiptments</v>
          </cell>
        </row>
        <row r="102">
          <cell r="B102" t="str">
            <v xml:space="preserve"> Tool Maintenance/Tooling cost</v>
          </cell>
        </row>
        <row r="103">
          <cell r="B103" t="str">
            <v xml:space="preserve"> Workers' Union Fund</v>
          </cell>
        </row>
        <row r="104">
          <cell r="B104" t="str">
            <v xml:space="preserve"> Worker welfare expenses</v>
          </cell>
        </row>
        <row r="105">
          <cell r="B105" t="str">
            <v xml:space="preserve"> Depreciation - P &amp; M/Eqpts</v>
          </cell>
        </row>
        <row r="106">
          <cell r="B106" t="str">
            <v xml:space="preserve"> Sundry Expenses</v>
          </cell>
        </row>
        <row r="107">
          <cell r="B107" t="str">
            <v xml:space="preserve"> P &amp; M - Repair &amp; Maintenance</v>
          </cell>
        </row>
        <row r="108">
          <cell r="B108" t="str">
            <v>consultation fee</v>
          </cell>
        </row>
        <row r="109">
          <cell r="B109" t="str">
            <v xml:space="preserve"> Building - Repair &amp; Maintenance</v>
          </cell>
        </row>
        <row r="110">
          <cell r="B110" t="str">
            <v xml:space="preserve"> Consumable Tools</v>
          </cell>
        </row>
        <row r="111">
          <cell r="B111" t="str">
            <v xml:space="preserve"> Training expenses/Study expenses</v>
          </cell>
        </row>
        <row r="114">
          <cell r="B114" t="str">
            <v>Work-In-Progress</v>
          </cell>
        </row>
        <row r="115">
          <cell r="B115" t="str">
            <v>Opening Balance - Stamping</v>
          </cell>
        </row>
        <row r="116">
          <cell r="B116" t="str">
            <v>Less : Closing Balance - Stamping</v>
          </cell>
        </row>
        <row r="118">
          <cell r="B118" t="str">
            <v>Opening Balance - Tooling</v>
          </cell>
        </row>
        <row r="119">
          <cell r="B119" t="str">
            <v>Less : Closing Balance - Tooling</v>
          </cell>
        </row>
        <row r="123">
          <cell r="B123" t="str">
            <v>Cost of Goods Manufactured</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sheetName val="PL"/>
      <sheetName val="BalanceSheet"/>
      <sheetName val="Plbyqtr"/>
      <sheetName val="Plbyhalf"/>
      <sheetName val="PLby half"/>
      <sheetName val="QtrPL(04vs03)"/>
      <sheetName val="GroupPL"/>
      <sheetName val="OtherSub"/>
      <sheetName val="Investments"/>
      <sheetName val="ShareMove"/>
      <sheetName val="WeightedAve"/>
      <sheetName val="WeightedAve (qtr sep 04)"/>
      <sheetName val="Diluted EPS(Sep04)"/>
      <sheetName val="Diluted EPS(qtr Sep04)"/>
      <sheetName val="Net Assets"/>
      <sheetName val="Analysis of Turnover"/>
      <sheetName val="Grptax"/>
      <sheetName val="TSSBtax"/>
      <sheetName val="FixedAsset"/>
      <sheetName val="Headcount"/>
      <sheetName val="Space"/>
      <sheetName val="Segment"/>
      <sheetName val="KeyRatios"/>
      <sheetName val="financials-1989 to 2003"/>
      <sheetName val="Recovered_Sheet1"/>
      <sheetName val="_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0-7 31072003 (V)"/>
      <sheetName val="TR0-7 31072003 (2)"/>
      <sheetName val="TR0-7 31072003"/>
      <sheetName val="TR0-7 31072003 (3)"/>
      <sheetName val="TR0_7 31072003 _3_"/>
      <sheetName val="U"/>
      <sheetName val="TOTAL"/>
      <sheetName val="Sheet1"/>
      <sheetName val="sumdepn01"/>
      <sheetName val="Receiving Inspection"/>
      <sheetName val="Permanent info"/>
      <sheetName val="General Info"/>
      <sheetName val="BS-after AJE"/>
      <sheetName val="设备部房屋"/>
      <sheetName val="财务费用明细表"/>
      <sheetName val="长期待摊费用明细表"/>
      <sheetName val="Inventory Days"/>
      <sheetName val="AccInfors"/>
      <sheetName val="360020 SGD"/>
      <sheetName val="TR0-7_31072003_(V)"/>
      <sheetName val="TR0-7_31072003_(2)"/>
      <sheetName val="TR0-7_31072003"/>
      <sheetName val="TR0-7_31072003_(3)"/>
      <sheetName val="TR0_7_31072003__3_"/>
      <sheetName val="Receiving_Inspection"/>
      <sheetName val="Permanent_info"/>
      <sheetName val="General_Info"/>
      <sheetName val="BS-after_AJE"/>
      <sheetName val="Inventory_Days"/>
      <sheetName val="360020_SGD"/>
      <sheetName val="BS15"/>
      <sheetName val="Plbyhalf"/>
      <sheetName val="Cover Sheet"/>
    </sheetNames>
    <sheetDataSet>
      <sheetData sheetId="0" refreshError="1"/>
      <sheetData sheetId="1" refreshError="1"/>
      <sheetData sheetId="2" refreshError="1"/>
      <sheetData sheetId="3" refreshError="1">
        <row r="13">
          <cell r="A13" t="str">
            <v>SAWI MESS- UND REGELTECHNIK AG                                       Terms of Payment   :  TT</v>
          </cell>
          <cell r="B13" t="str">
            <v>SAME17</v>
          </cell>
        </row>
        <row r="14">
          <cell r="A14" t="str">
            <v xml:space="preserve">AMPCO METAL SA                     </v>
          </cell>
          <cell r="B14" t="str">
            <v>AMME16</v>
          </cell>
        </row>
        <row r="15">
          <cell r="A15" t="str">
            <v xml:space="preserve">LATI INDUSTRIA TERMOPLASTICI SPA   </v>
          </cell>
          <cell r="B15" t="str">
            <v>LAIN16</v>
          </cell>
        </row>
        <row r="16">
          <cell r="A16" t="str">
            <v xml:space="preserve">RANDSTAD INTERIM SA                </v>
          </cell>
          <cell r="B16" t="str">
            <v>RAIN14</v>
          </cell>
        </row>
        <row r="17">
          <cell r="A17" t="str">
            <v xml:space="preserve">FREX TECHNO INCORPORATED COMPANY   </v>
          </cell>
          <cell r="B17" t="str">
            <v>FRTE12</v>
          </cell>
        </row>
        <row r="18">
          <cell r="A18" t="str">
            <v xml:space="preserve">FIBRO ASIA PTE LTD                 </v>
          </cell>
          <cell r="B18" t="str">
            <v>FIAS10</v>
          </cell>
        </row>
        <row r="19">
          <cell r="A19" t="str">
            <v xml:space="preserve">GLOBAL INTERNATIONAL COMPONENTS    </v>
          </cell>
          <cell r="B19" t="str">
            <v>GLIN10</v>
          </cell>
        </row>
        <row r="20">
          <cell r="A20" t="str">
            <v xml:space="preserve">ERIKS PTE. LTD.                    </v>
          </cell>
          <cell r="B20" t="str">
            <v>ERXX10</v>
          </cell>
        </row>
        <row r="21">
          <cell r="A21" t="str">
            <v xml:space="preserve">INDUSTRIAL COMP. SUPPLIES          </v>
          </cell>
          <cell r="B21" t="str">
            <v>INCO20</v>
          </cell>
        </row>
        <row r="22">
          <cell r="A22" t="str">
            <v xml:space="preserve">FESTO PTE LTD                      </v>
          </cell>
          <cell r="B22" t="str">
            <v>FEXX10</v>
          </cell>
        </row>
        <row r="23">
          <cell r="A23" t="str">
            <v xml:space="preserve">A.S. RAYMOND ASIA                  </v>
          </cell>
          <cell r="B23" t="str">
            <v>AXSX10</v>
          </cell>
        </row>
        <row r="24">
          <cell r="A24" t="str">
            <v>CSG PRECISION MANUFACTURING PTE LTD</v>
          </cell>
          <cell r="B24" t="str">
            <v>CSPR10</v>
          </cell>
        </row>
        <row r="25">
          <cell r="A25" t="str">
            <v xml:space="preserve">NGIAN TRADING CO.                  </v>
          </cell>
          <cell r="B25" t="str">
            <v>NGTR10</v>
          </cell>
        </row>
        <row r="26">
          <cell r="A26" t="str">
            <v xml:space="preserve">ASIAMATIC INDUSTRIES PTE LTD       </v>
          </cell>
          <cell r="B26" t="str">
            <v>ASIN10</v>
          </cell>
        </row>
        <row r="27">
          <cell r="A27" t="str">
            <v xml:space="preserve">COFFER INDUSTRIAL SUPPLIES         </v>
          </cell>
          <cell r="B27" t="str">
            <v>COIN20</v>
          </cell>
        </row>
        <row r="28">
          <cell r="A28" t="str">
            <v xml:space="preserve">SINGAPORE SPRING PTE LTD           </v>
          </cell>
          <cell r="B28" t="str">
            <v>SISP10</v>
          </cell>
        </row>
        <row r="29">
          <cell r="A29" t="str">
            <v xml:space="preserve">NIXFOL PTE LTD                     </v>
          </cell>
          <cell r="B29" t="str">
            <v>NIXX10</v>
          </cell>
        </row>
        <row r="30">
          <cell r="A30" t="str">
            <v xml:space="preserve">DAIDO AMISTAR (S) PTE LTD          </v>
          </cell>
          <cell r="B30" t="str">
            <v>UEPR10</v>
          </cell>
        </row>
        <row r="31">
          <cell r="A31" t="str">
            <v xml:space="preserve">MULTI-ARC SCIENTIFIC COATINGS      </v>
          </cell>
          <cell r="B31" t="str">
            <v>MUAR10</v>
          </cell>
        </row>
        <row r="32">
          <cell r="A32" t="str">
            <v xml:space="preserve">NIHON ETCHING (S) PTE. LTD.        </v>
          </cell>
          <cell r="B32" t="str">
            <v>NIET10</v>
          </cell>
        </row>
        <row r="33">
          <cell r="A33" t="str">
            <v xml:space="preserve">STIEHL (ASIA) PTE LTD              </v>
          </cell>
          <cell r="B33" t="str">
            <v>STAS10</v>
          </cell>
        </row>
        <row r="34">
          <cell r="A34" t="str">
            <v xml:space="preserve">ENGEE PRECISION ENGINEERING        </v>
          </cell>
          <cell r="B34" t="str">
            <v>ENPR10</v>
          </cell>
        </row>
        <row r="35">
          <cell r="A35" t="str">
            <v xml:space="preserve">SKILLTEC PRECISION ENGINEERING     </v>
          </cell>
          <cell r="B35" t="str">
            <v>SKPR10</v>
          </cell>
        </row>
        <row r="36">
          <cell r="A36" t="str">
            <v xml:space="preserve">HT PRESSWORK SDN. BHD.             </v>
          </cell>
          <cell r="B36" t="str">
            <v>HTPR10</v>
          </cell>
        </row>
        <row r="37">
          <cell r="A37" t="str">
            <v xml:space="preserve">HITACHI METALS SINGAPORE PTE. LTD. </v>
          </cell>
          <cell r="B37" t="str">
            <v>HIME10</v>
          </cell>
        </row>
        <row r="38">
          <cell r="A38" t="str">
            <v xml:space="preserve">CASHEW CHEMICALS PTE LTD           </v>
          </cell>
          <cell r="B38" t="str">
            <v>CACH10</v>
          </cell>
        </row>
        <row r="39">
          <cell r="A39" t="str">
            <v xml:space="preserve">MATTS PRECISION TECHNOLOGIES (S)   </v>
          </cell>
          <cell r="B39" t="str">
            <v>MAPR10</v>
          </cell>
        </row>
        <row r="40">
          <cell r="A40" t="str">
            <v xml:space="preserve">CZL SINGAPORE PTE LTD              </v>
          </cell>
          <cell r="B40" t="str">
            <v>CZSI10</v>
          </cell>
        </row>
        <row r="41">
          <cell r="A41" t="str">
            <v xml:space="preserve">INTERNATIONAL BEARINGS PTE LTD     </v>
          </cell>
          <cell r="B41" t="str">
            <v>INBE10</v>
          </cell>
        </row>
        <row r="42">
          <cell r="A42" t="str">
            <v xml:space="preserve">CLARIANT (SINGAPORE) PTE LTD       </v>
          </cell>
          <cell r="B42" t="str">
            <v>CLSI10</v>
          </cell>
        </row>
        <row r="43">
          <cell r="A43" t="str">
            <v xml:space="preserve">ENGANN (SINGAPORE) PTE. LTD.       </v>
          </cell>
          <cell r="B43" t="str">
            <v>ENSI10</v>
          </cell>
        </row>
        <row r="44">
          <cell r="A44" t="str">
            <v xml:space="preserve">DIE &amp; MOULD SUPPLIES PTE LTD       </v>
          </cell>
          <cell r="B44" t="str">
            <v>DIMO10</v>
          </cell>
        </row>
        <row r="45">
          <cell r="A45" t="str">
            <v xml:space="preserve">TOOL MASTER PTE LTD                </v>
          </cell>
          <cell r="B45" t="str">
            <v>TOMA10</v>
          </cell>
        </row>
        <row r="46">
          <cell r="A46" t="str">
            <v xml:space="preserve">PACIFIC GERMAN SPECIAL STEEL &amp;     </v>
          </cell>
          <cell r="B46" t="str">
            <v>PAGE10</v>
          </cell>
        </row>
        <row r="47">
          <cell r="A47" t="str">
            <v xml:space="preserve">KIM ANN ENGINEERING PTE. LTD.      </v>
          </cell>
          <cell r="B47" t="str">
            <v>KIAN20</v>
          </cell>
        </row>
        <row r="48">
          <cell r="A48" t="str">
            <v xml:space="preserve">SWISS PRECISION INDUSTRIES         </v>
          </cell>
          <cell r="B48" t="str">
            <v>SWPR20</v>
          </cell>
        </row>
        <row r="49">
          <cell r="A49" t="str">
            <v>MING DENG METROLOGY SERVICES PTE LD</v>
          </cell>
          <cell r="B49" t="str">
            <v>MIDE10</v>
          </cell>
        </row>
        <row r="50">
          <cell r="A50" t="str">
            <v xml:space="preserve">NTP TECHNOLOGY PTE LTD             </v>
          </cell>
          <cell r="B50" t="str">
            <v>NTTE10</v>
          </cell>
        </row>
        <row r="51">
          <cell r="A51" t="str">
            <v>SUPER ABRASIVES ENGINEERING PTE LTD</v>
          </cell>
          <cell r="B51" t="str">
            <v>SUAB10</v>
          </cell>
        </row>
        <row r="52">
          <cell r="A52" t="str">
            <v xml:space="preserve">SING HUAT HARDWARE &amp; MACHINERY     </v>
          </cell>
          <cell r="B52" t="str">
            <v>SIHU10</v>
          </cell>
        </row>
        <row r="53">
          <cell r="A53" t="str">
            <v xml:space="preserve">ASSAB HEAT TREATMENT SERVICES      </v>
          </cell>
          <cell r="B53" t="str">
            <v>ASHE10</v>
          </cell>
        </row>
        <row r="54">
          <cell r="A54" t="str">
            <v xml:space="preserve">HYCROM METAL WORKS PTE LTD         </v>
          </cell>
          <cell r="B54" t="str">
            <v>HYME10</v>
          </cell>
        </row>
        <row r="55">
          <cell r="A55" t="str">
            <v xml:space="preserve">PENG KEE COMPANY                   </v>
          </cell>
          <cell r="B55" t="str">
            <v>PEKE10</v>
          </cell>
        </row>
        <row r="56">
          <cell r="A56" t="str">
            <v xml:space="preserve">MISUMI SOUTH EAST ASIA PTE LTD     </v>
          </cell>
          <cell r="B56" t="str">
            <v>MISO10</v>
          </cell>
        </row>
        <row r="57">
          <cell r="A57" t="str">
            <v xml:space="preserve">TYCO ELECTRONICS SINGAPORE PTE LTD </v>
          </cell>
          <cell r="B57" t="str">
            <v>AMMA10</v>
          </cell>
        </row>
        <row r="58">
          <cell r="A58" t="str">
            <v xml:space="preserve">SMALL TOOL TECHNOLOGIES PTE. LTD.  </v>
          </cell>
          <cell r="B58" t="str">
            <v>SMTO10</v>
          </cell>
        </row>
        <row r="59">
          <cell r="A59" t="str">
            <v xml:space="preserve">SAN HO TOOLING ENGINEERING WORKS   </v>
          </cell>
          <cell r="B59" t="str">
            <v>SAHO10</v>
          </cell>
        </row>
        <row r="60">
          <cell r="A60" t="str">
            <v xml:space="preserve">SIM LEY ENGINEERING                </v>
          </cell>
          <cell r="B60" t="str">
            <v>SILE10</v>
          </cell>
        </row>
        <row r="61">
          <cell r="A61" t="str">
            <v xml:space="preserve">TECK LEONG METALS PTE LTD          </v>
          </cell>
          <cell r="B61" t="str">
            <v>TELE10</v>
          </cell>
        </row>
        <row r="62">
          <cell r="A62" t="str">
            <v xml:space="preserve">INABATA SINGAPORE (PTE.) LTD.      </v>
          </cell>
          <cell r="B62" t="str">
            <v>INSI10</v>
          </cell>
        </row>
        <row r="63">
          <cell r="A63" t="str">
            <v xml:space="preserve">SYNERGY PRECISION                  </v>
          </cell>
          <cell r="B63" t="str">
            <v>SYPR10</v>
          </cell>
        </row>
        <row r="64">
          <cell r="A64" t="str">
            <v xml:space="preserve">TRADPORT MARKETING PRIVATE LIMITED </v>
          </cell>
          <cell r="B64" t="str">
            <v>TRMA10</v>
          </cell>
        </row>
        <row r="65">
          <cell r="A65" t="str">
            <v xml:space="preserve">FOCAL FUNCTION INDUSTRIES AND      </v>
          </cell>
          <cell r="B65" t="str">
            <v>FOFU10</v>
          </cell>
        </row>
        <row r="66">
          <cell r="A66" t="str">
            <v xml:space="preserve">GRAND TEAM TECHNOLOGIES PTE LTD    </v>
          </cell>
          <cell r="B66" t="str">
            <v>GRTE10</v>
          </cell>
        </row>
        <row r="67">
          <cell r="A67" t="str">
            <v xml:space="preserve">CARNAUDMETALBOX ASIA LTD           </v>
          </cell>
          <cell r="B67" t="str">
            <v>ZEPL10</v>
          </cell>
        </row>
        <row r="68">
          <cell r="A68" t="str">
            <v xml:space="preserve">GOEDING + PARTNER ASIA CD          </v>
          </cell>
          <cell r="B68" t="str">
            <v>GOPA10</v>
          </cell>
        </row>
        <row r="69">
          <cell r="A69" t="str">
            <v xml:space="preserve">EKOL PRECISION ENGINEERING         </v>
          </cell>
          <cell r="B69" t="str">
            <v>EKPR10</v>
          </cell>
        </row>
        <row r="70">
          <cell r="A70" t="str">
            <v xml:space="preserve">FEEMAX PRECISION PTE LTD           </v>
          </cell>
          <cell r="B70" t="str">
            <v>FEPR10</v>
          </cell>
        </row>
        <row r="71">
          <cell r="A71" t="str">
            <v xml:space="preserve">DME ENGINEERING PTE. LTD.          </v>
          </cell>
          <cell r="B71" t="str">
            <v>DMEN10</v>
          </cell>
        </row>
        <row r="72">
          <cell r="A72" t="str">
            <v xml:space="preserve">PROFICIENT CENTURY LINK PTE LTD    </v>
          </cell>
          <cell r="B72" t="str">
            <v>PCTE10</v>
          </cell>
        </row>
        <row r="73">
          <cell r="A73" t="str">
            <v xml:space="preserve">AMOULD PLASTIC INDUSTRIES PTE LTD  </v>
          </cell>
          <cell r="B73" t="str">
            <v>AMPL10</v>
          </cell>
        </row>
        <row r="74">
          <cell r="A74" t="str">
            <v>SWIFT PRECISION ENGINEERING PTE LTD</v>
          </cell>
          <cell r="B74" t="str">
            <v>SWPR10</v>
          </cell>
        </row>
        <row r="75">
          <cell r="A75" t="str">
            <v xml:space="preserve">RELIABLE TECHNOLOGY SDN. BHD.      </v>
          </cell>
          <cell r="B75" t="str">
            <v>RETE20</v>
          </cell>
        </row>
        <row r="76">
          <cell r="A76" t="str">
            <v xml:space="preserve">PROTOOL ASIA PTE. LTD.             </v>
          </cell>
          <cell r="B76" t="str">
            <v>PRAS10</v>
          </cell>
        </row>
        <row r="77">
          <cell r="A77" t="str">
            <v xml:space="preserve">FUN YIP PLASTIC MOULD &amp; METAL      </v>
          </cell>
          <cell r="B77" t="str">
            <v>FUYI10</v>
          </cell>
        </row>
        <row r="78">
          <cell r="A78" t="str">
            <v xml:space="preserve">EIKOH PRECISION TECH PTE LTD       </v>
          </cell>
          <cell r="B78" t="str">
            <v>EIPR10</v>
          </cell>
        </row>
        <row r="79">
          <cell r="A79" t="str">
            <v xml:space="preserve">YEOW HENG INDUSTRIES PTE LTD       </v>
          </cell>
          <cell r="B79" t="str">
            <v>YEHE10</v>
          </cell>
        </row>
        <row r="80">
          <cell r="A80" t="str">
            <v xml:space="preserve">KA SHIN TECHNOLOGIES (S) PTE LTD   </v>
          </cell>
          <cell r="B80" t="str">
            <v>KASH10</v>
          </cell>
        </row>
        <row r="81">
          <cell r="A81" t="str">
            <v xml:space="preserve">HITECH HEAT TREATMENT SERVICES     </v>
          </cell>
          <cell r="B81" t="str">
            <v>HIHE10</v>
          </cell>
        </row>
        <row r="82">
          <cell r="A82" t="str">
            <v xml:space="preserve">HASCO SINGAPORE (PTE) LTD          </v>
          </cell>
          <cell r="B82" t="str">
            <v>HASI10</v>
          </cell>
        </row>
        <row r="83">
          <cell r="A83" t="str">
            <v xml:space="preserve">KA SHIN INDUSTRIES PTE. LTD.       </v>
          </cell>
          <cell r="B83" t="str">
            <v>KASH20</v>
          </cell>
        </row>
        <row r="84">
          <cell r="A84" t="str">
            <v xml:space="preserve">DEWETRON PTE. LTD.                 </v>
          </cell>
          <cell r="B84" t="str">
            <v>DEXX20</v>
          </cell>
        </row>
        <row r="85">
          <cell r="A85" t="str">
            <v xml:space="preserve">ESCATEC ENGINEERING PTE. LTD.      </v>
          </cell>
          <cell r="B85" t="str">
            <v>ESEN10</v>
          </cell>
        </row>
        <row r="86">
          <cell r="A86" t="str">
            <v xml:space="preserve">DI PRECISION MOLD                  </v>
          </cell>
          <cell r="B86" t="str">
            <v>DIPR10</v>
          </cell>
        </row>
        <row r="87">
          <cell r="A87" t="str">
            <v xml:space="preserve">FOCAL METAL INDUSTRIES             </v>
          </cell>
          <cell r="B87" t="str">
            <v>FOME10</v>
          </cell>
        </row>
        <row r="88">
          <cell r="A88" t="str">
            <v xml:space="preserve">RAYCO TECHNOLOGIES PTE LTD         </v>
          </cell>
          <cell r="B88" t="str">
            <v>RATE10</v>
          </cell>
        </row>
        <row r="89">
          <cell r="A89" t="str">
            <v xml:space="preserve">SINCAM TECHNOLOGIES PTE LTD        </v>
          </cell>
          <cell r="B89" t="str">
            <v>SITE20</v>
          </cell>
        </row>
        <row r="90">
          <cell r="A90" t="str">
            <v xml:space="preserve">HUNG LEUNG ENGRAVING               </v>
          </cell>
          <cell r="B90" t="str">
            <v>HULE10</v>
          </cell>
        </row>
        <row r="91">
          <cell r="A91" t="str">
            <v xml:space="preserve">BALZERS COATING PTE. LTD.          </v>
          </cell>
          <cell r="B91" t="str">
            <v>BACO10</v>
          </cell>
        </row>
        <row r="92">
          <cell r="A92" t="str">
            <v xml:space="preserve">WANCO INDUSTRIAL PTE. LTD.         </v>
          </cell>
          <cell r="B92" t="str">
            <v>WAIN10</v>
          </cell>
        </row>
        <row r="93">
          <cell r="A93" t="str">
            <v xml:space="preserve">YIHUA PTE LTD                      </v>
          </cell>
          <cell r="B93" t="str">
            <v>YIPT10</v>
          </cell>
        </row>
        <row r="94">
          <cell r="A94" t="str">
            <v xml:space="preserve">PERFECT MOULD INDUSTRY             </v>
          </cell>
          <cell r="B94" t="str">
            <v>PEMO10</v>
          </cell>
        </row>
        <row r="95">
          <cell r="A95" t="str">
            <v xml:space="preserve">RTP COMPANY (SINGAPORE) PTE LTD    </v>
          </cell>
          <cell r="B95" t="str">
            <v>RTCO10</v>
          </cell>
        </row>
        <row r="96">
          <cell r="A96" t="str">
            <v xml:space="preserve">APEX TECHNOLOGIES INTERNATIONAL    </v>
          </cell>
          <cell r="B96" t="str">
            <v>APTE10</v>
          </cell>
        </row>
        <row r="97">
          <cell r="A97" t="str">
            <v xml:space="preserve">HAI FONG INDUSTRIES                </v>
          </cell>
          <cell r="B97" t="str">
            <v>HAFO10</v>
          </cell>
        </row>
        <row r="98">
          <cell r="A98" t="str">
            <v xml:space="preserve">WEST PHARMACEUTICAL SERVICES       </v>
          </cell>
          <cell r="B98" t="str">
            <v>WEPH10</v>
          </cell>
        </row>
        <row r="99">
          <cell r="A99" t="str">
            <v xml:space="preserve">NORTECH PRECISION PTE LTD          </v>
          </cell>
          <cell r="B99" t="str">
            <v>NOPR20</v>
          </cell>
        </row>
        <row r="100">
          <cell r="A100" t="str">
            <v xml:space="preserve">LONG TECH ENGINEERING PTE LTD      </v>
          </cell>
          <cell r="B100" t="str">
            <v>LOTE10</v>
          </cell>
        </row>
        <row r="101">
          <cell r="A101" t="str">
            <v xml:space="preserve">T D &amp; M PRECISION TOOLS CO.        </v>
          </cell>
          <cell r="B101" t="str">
            <v>TDPR10</v>
          </cell>
        </row>
        <row r="102">
          <cell r="A102" t="str">
            <v xml:space="preserve">COMPLEX TOOLING PTE LTD            </v>
          </cell>
          <cell r="B102" t="str">
            <v>COTO20</v>
          </cell>
        </row>
        <row r="103">
          <cell r="A103" t="str">
            <v xml:space="preserve">SINGAPORE TOKU MFG (S) PTE LTD     </v>
          </cell>
          <cell r="B103" t="str">
            <v>SITO10</v>
          </cell>
        </row>
        <row r="104">
          <cell r="A104" t="str">
            <v>VIGOR PRECISION ENGINEERING PTE LTD</v>
          </cell>
          <cell r="B104" t="str">
            <v>VIPR10</v>
          </cell>
        </row>
        <row r="105">
          <cell r="A105" t="str">
            <v xml:space="preserve">HONGTECH PRECISION ENGINEERING     </v>
          </cell>
          <cell r="B105" t="str">
            <v>HOPR10</v>
          </cell>
        </row>
        <row r="106">
          <cell r="A106" t="str">
            <v xml:space="preserve">ASSAB STEELS SINGAPORE (PTE) LTD   </v>
          </cell>
          <cell r="B106" t="str">
            <v>ASST10</v>
          </cell>
        </row>
        <row r="107">
          <cell r="A107" t="str">
            <v>ZETER PRECISION ENGINEERING PTE LTD</v>
          </cell>
          <cell r="B107" t="str">
            <v>ZEPR10</v>
          </cell>
        </row>
        <row r="108">
          <cell r="A108" t="str">
            <v>ALPEX PRECISION ENGINEERING PTE LTD</v>
          </cell>
          <cell r="B108" t="str">
            <v>ALPR10</v>
          </cell>
        </row>
        <row r="109">
          <cell r="A109" t="str">
            <v xml:space="preserve">CHEVRON PHILLIPS CHEMICALS ASIA    </v>
          </cell>
          <cell r="B109" t="str">
            <v>PHPE10</v>
          </cell>
        </row>
        <row r="110">
          <cell r="A110" t="str">
            <v xml:space="preserve">YAM ENGINEERING WORKS              </v>
          </cell>
          <cell r="B110" t="str">
            <v>YAEN10</v>
          </cell>
        </row>
        <row r="111">
          <cell r="A111" t="str">
            <v xml:space="preserve">ADVANCED FIT ENTERPRISE            </v>
          </cell>
          <cell r="B111" t="str">
            <v>ADFI10</v>
          </cell>
        </row>
        <row r="112">
          <cell r="A112" t="str">
            <v xml:space="preserve">NORTON TECHNOLOGY PTE LTD          </v>
          </cell>
          <cell r="B112" t="str">
            <v>NOTE10</v>
          </cell>
        </row>
        <row r="113">
          <cell r="A113" t="str">
            <v>DU PONT COMPANY (SINGAPORE) PTE LTD</v>
          </cell>
          <cell r="B113" t="str">
            <v>DUPO10</v>
          </cell>
        </row>
        <row r="114">
          <cell r="A114" t="str">
            <v xml:space="preserve">NORTON PRECISION ENGINEERING       </v>
          </cell>
          <cell r="B114" t="str">
            <v>NOPR10</v>
          </cell>
        </row>
        <row r="115">
          <cell r="A115" t="str">
            <v xml:space="preserve">NAGASE SINGAPORE (PTE) LTD         </v>
          </cell>
          <cell r="B115" t="str">
            <v>NASI10</v>
          </cell>
        </row>
        <row r="116">
          <cell r="A116" t="str">
            <v xml:space="preserve">LI-TEC MANUFACTURING PTE LTD       </v>
          </cell>
          <cell r="B116" t="str">
            <v>LITE10</v>
          </cell>
        </row>
        <row r="117">
          <cell r="A117" t="str">
            <v xml:space="preserve">MOLD-MASTERS SINGAPORE PTE LTD     </v>
          </cell>
          <cell r="B117" t="str">
            <v>MOMA10</v>
          </cell>
        </row>
        <row r="118">
          <cell r="A118" t="str">
            <v xml:space="preserve">KTS PRECISION ENGINEERING          </v>
          </cell>
          <cell r="B118" t="str">
            <v>KTPR10</v>
          </cell>
        </row>
        <row r="119">
          <cell r="A119" t="str">
            <v xml:space="preserve">DSM ENGINEERING PLASTICS           </v>
          </cell>
          <cell r="B119" t="str">
            <v>DSEN10</v>
          </cell>
        </row>
        <row r="120">
          <cell r="A120" t="str">
            <v xml:space="preserve">PROFICIENT CENTURY LINK PTE LTD    </v>
          </cell>
          <cell r="B120" t="str">
            <v>PCTE11</v>
          </cell>
        </row>
        <row r="121">
          <cell r="A121" t="str">
            <v xml:space="preserve">FONG SHEN MOULD AND PRECISION      </v>
          </cell>
          <cell r="B121" t="str">
            <v>FOSH11</v>
          </cell>
        </row>
        <row r="122">
          <cell r="A122" t="str">
            <v xml:space="preserve">BIHLER OF AMERICA, INC             </v>
          </cell>
          <cell r="B122" t="str">
            <v>BIOF11</v>
          </cell>
        </row>
        <row r="123">
          <cell r="A123" t="str">
            <v xml:space="preserve">FU YU MANUFACTURING LIMITED        </v>
          </cell>
          <cell r="B123" t="str">
            <v>FUYU11</v>
          </cell>
        </row>
        <row r="124">
          <cell r="A124" t="str">
            <v xml:space="preserve">CHOSEN TECHNOLOGIES PTE LTD        </v>
          </cell>
          <cell r="B124" t="str">
            <v>CHTE11</v>
          </cell>
        </row>
        <row r="125">
          <cell r="A125" t="str">
            <v xml:space="preserve">PRESHION ENGINEERING PLASTEC       </v>
          </cell>
          <cell r="B125" t="str">
            <v>PREN11</v>
          </cell>
        </row>
        <row r="126">
          <cell r="A126" t="str">
            <v xml:space="preserve">SWISS PRECISION INDUSTRIES PTE LTD </v>
          </cell>
          <cell r="B126" t="str">
            <v>SWPR11</v>
          </cell>
        </row>
        <row r="127">
          <cell r="A127" t="str">
            <v xml:space="preserve">GLOBAL PLASTICS GROUP              </v>
          </cell>
          <cell r="B127" t="str">
            <v>GLPL11</v>
          </cell>
        </row>
        <row r="128">
          <cell r="A128" t="str">
            <v xml:space="preserve">NIPPON SP TECH (S) PTE LTD         </v>
          </cell>
          <cell r="B128" t="str">
            <v>NISP11</v>
          </cell>
        </row>
        <row r="129">
          <cell r="A129" t="str">
            <v xml:space="preserve">SOLVAY ASIA PACIFIC PTE LTD        </v>
          </cell>
          <cell r="B129" t="str">
            <v>BPSI11</v>
          </cell>
        </row>
        <row r="130">
          <cell r="A130" t="str">
            <v xml:space="preserve">ITOCHU PLASTICS PTE LTD            </v>
          </cell>
          <cell r="B130" t="str">
            <v>ITPL11</v>
          </cell>
        </row>
        <row r="131">
          <cell r="A131" t="str">
            <v xml:space="preserve">NHK INFOTEC SINGAPORE PTE LTD      </v>
          </cell>
          <cell r="B131" t="str">
            <v>NHIN11</v>
          </cell>
        </row>
        <row r="132">
          <cell r="A132" t="str">
            <v xml:space="preserve">INABATA SINGAPORE (PTE) LTD        </v>
          </cell>
          <cell r="B132" t="str">
            <v>INSI11</v>
          </cell>
        </row>
        <row r="133">
          <cell r="A133" t="str">
            <v xml:space="preserve">PLASTECHNIC MARKETING PTE. LTD.    </v>
          </cell>
          <cell r="B133" t="str">
            <v>PLMA11</v>
          </cell>
        </row>
        <row r="134">
          <cell r="A134" t="str">
            <v xml:space="preserve">EDRO ENGINEERING, INCORPORATED     </v>
          </cell>
          <cell r="B134" t="str">
            <v>EDEN11</v>
          </cell>
        </row>
        <row r="135">
          <cell r="A135" t="str">
            <v xml:space="preserve">ATOFINA SOUTH EAST ASIA PTE LTD    </v>
          </cell>
          <cell r="B135" t="str">
            <v>ATSO11</v>
          </cell>
        </row>
        <row r="136">
          <cell r="A136" t="str">
            <v xml:space="preserve">BOSSARD PTE LTD                    </v>
          </cell>
          <cell r="B136" t="str">
            <v>BOXX11</v>
          </cell>
        </row>
        <row r="137">
          <cell r="A137" t="str">
            <v xml:space="preserve">OSRAM SYLVANIA INC.                </v>
          </cell>
          <cell r="B137" t="str">
            <v>OSSY11</v>
          </cell>
        </row>
        <row r="138">
          <cell r="A138" t="str">
            <v xml:space="preserve">ASSOCIATED SPRING ASIA PTE LTD     </v>
          </cell>
          <cell r="B138" t="str">
            <v>ASSP11</v>
          </cell>
        </row>
        <row r="139">
          <cell r="A139" t="str">
            <v>PROGRESSIVE COMPONENTS ASIA PTE LTD</v>
          </cell>
          <cell r="B139" t="str">
            <v>PRCO11</v>
          </cell>
        </row>
        <row r="140">
          <cell r="A140" t="str">
            <v xml:space="preserve">RHODIA SINGAPORE PTE LTD           </v>
          </cell>
          <cell r="B140" t="str">
            <v>RHSI11</v>
          </cell>
        </row>
        <row r="141">
          <cell r="A141" t="str">
            <v xml:space="preserve">KATO SPRING (S) PTE LTD            </v>
          </cell>
          <cell r="B141" t="str">
            <v>KASP11</v>
          </cell>
        </row>
        <row r="142">
          <cell r="A142" t="str">
            <v xml:space="preserve">TEXCHEM SINGAPORE PTE LTD          </v>
          </cell>
          <cell r="B142" t="str">
            <v>TESI11</v>
          </cell>
        </row>
        <row r="143">
          <cell r="A143" t="str">
            <v xml:space="preserve">CONNELL BROS. CO. (SINGAPORE)      </v>
          </cell>
          <cell r="B143" t="str">
            <v>COBR11</v>
          </cell>
        </row>
        <row r="144">
          <cell r="A144" t="str">
            <v xml:space="preserve">SOLVAY S.A.                        </v>
          </cell>
          <cell r="B144" t="str">
            <v>SOSA11</v>
          </cell>
        </row>
        <row r="145">
          <cell r="A145" t="str">
            <v xml:space="preserve">CLARIANT (SINGAPORE) PTE LTD       </v>
          </cell>
          <cell r="B145" t="str">
            <v>CLSI11</v>
          </cell>
        </row>
        <row r="146">
          <cell r="A146" t="str">
            <v xml:space="preserve">SONY ELECTRONICS (SINGAPORE)       </v>
          </cell>
          <cell r="B146" t="str">
            <v>SOPR11</v>
          </cell>
        </row>
        <row r="147">
          <cell r="A147" t="str">
            <v xml:space="preserve">BAYER (SOUTH EAST ASIA) PTE LTD    </v>
          </cell>
          <cell r="B147" t="str">
            <v>BASI11</v>
          </cell>
        </row>
        <row r="148">
          <cell r="A148" t="str">
            <v xml:space="preserve">SPINDEX INDUSTRIES LIMITED         </v>
          </cell>
          <cell r="B148" t="str">
            <v>SPIN11</v>
          </cell>
        </row>
        <row r="149">
          <cell r="A149" t="str">
            <v xml:space="preserve">HUSKY INJECTION MOLDING SYSTEMS    </v>
          </cell>
          <cell r="B149" t="str">
            <v>HUIN11</v>
          </cell>
        </row>
        <row r="150">
          <cell r="A150" t="str">
            <v xml:space="preserve">AMOULD PLASTIC INDUSTRIES PTE LTD  </v>
          </cell>
          <cell r="B150" t="str">
            <v>AMPL11</v>
          </cell>
        </row>
        <row r="151">
          <cell r="A151" t="str">
            <v xml:space="preserve">YIHUA PTE LTD                      </v>
          </cell>
          <cell r="B151" t="str">
            <v>YIPT11</v>
          </cell>
        </row>
        <row r="152">
          <cell r="A152" t="str">
            <v xml:space="preserve">MECBA TECHNOLOGY (S) PTE LTD       </v>
          </cell>
          <cell r="B152" t="str">
            <v>METE11</v>
          </cell>
        </row>
        <row r="153">
          <cell r="A153" t="str">
            <v xml:space="preserve">CHIYODA INTEGRE CO. (S) PTE. LTD.  </v>
          </cell>
          <cell r="B153" t="str">
            <v>CHIN11</v>
          </cell>
        </row>
        <row r="154">
          <cell r="A154" t="str">
            <v xml:space="preserve">INNOVALUES PRECISION LIMITED       </v>
          </cell>
          <cell r="B154" t="str">
            <v>INPR11</v>
          </cell>
        </row>
        <row r="155">
          <cell r="A155" t="str">
            <v xml:space="preserve">GES (SINGAPORE) PTE LTD            </v>
          </cell>
          <cell r="B155" t="str">
            <v>GESI11</v>
          </cell>
        </row>
        <row r="156">
          <cell r="A156" t="str">
            <v>DU PONT COMPANY (SINGAPORE) PTE LTD</v>
          </cell>
          <cell r="B156" t="str">
            <v>DUPO11</v>
          </cell>
        </row>
        <row r="157">
          <cell r="A157" t="str">
            <v xml:space="preserve">FIRST ENGINEERING PLASTICS PTE LTD </v>
          </cell>
          <cell r="B157" t="str">
            <v>FIEN11</v>
          </cell>
        </row>
        <row r="158">
          <cell r="A158" t="str">
            <v xml:space="preserve">BASF SINGAPORE PTE LTD             </v>
          </cell>
          <cell r="B158" t="str">
            <v>BASI21</v>
          </cell>
        </row>
        <row r="159">
          <cell r="A159" t="str">
            <v xml:space="preserve">JOHNSON ELECTRIC WORLD TRADE       </v>
          </cell>
          <cell r="B159" t="str">
            <v>JOEL11</v>
          </cell>
        </row>
        <row r="160">
          <cell r="A160" t="str">
            <v xml:space="preserve">DOW CHEMICAL PACIFIC (SINGAPORE)   </v>
          </cell>
          <cell r="B160" t="str">
            <v>DOCH11</v>
          </cell>
        </row>
        <row r="161">
          <cell r="A161" t="str">
            <v xml:space="preserve">POLYONE SINGAPORE PTE LTD          </v>
          </cell>
          <cell r="B161" t="str">
            <v>COTE11</v>
          </cell>
        </row>
        <row r="162">
          <cell r="A162" t="str">
            <v xml:space="preserve">SLS BEARINGS (S) PTE LTD           </v>
          </cell>
          <cell r="B162" t="str">
            <v>SLBE11</v>
          </cell>
        </row>
        <row r="163">
          <cell r="A163" t="str">
            <v xml:space="preserve">NAGASE SINGAPORE (PTE) LTD         </v>
          </cell>
          <cell r="B163" t="str">
            <v>NASI11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3">
          <cell r="A13" t="str">
            <v>SAWI MESS- UND REGELTECHNIK AG                                       Terms of Payment   :  TT</v>
          </cell>
        </row>
      </sheetData>
      <sheetData sheetId="20">
        <row r="13">
          <cell r="A13" t="str">
            <v>SAWI MESS- UND REGELTECHNIK AG                                       Terms of Payment   :  TT</v>
          </cell>
        </row>
      </sheetData>
      <sheetData sheetId="21">
        <row r="13">
          <cell r="A13" t="str">
            <v>SAWI MESS- UND REGELTECHNIK AG                                       Terms of Payment   :  TT</v>
          </cell>
        </row>
      </sheetData>
      <sheetData sheetId="22">
        <row r="13">
          <cell r="A13" t="str">
            <v>SAWI MESS- UND REGELTECHNIK AG                                       Terms of Payment   :  TT</v>
          </cell>
        </row>
      </sheetData>
      <sheetData sheetId="23">
        <row r="13">
          <cell r="A13" t="str">
            <v>SAWI MESS- UND REGELTECHNIK AG                                       Terms of Payment   :  TT</v>
          </cell>
        </row>
      </sheetData>
      <sheetData sheetId="24">
        <row r="13">
          <cell r="A13" t="str">
            <v>SAWI MESS- UND REGELTECHNIK AG                                       Terms of Payment   :  TT</v>
          </cell>
        </row>
      </sheetData>
      <sheetData sheetId="25">
        <row r="13">
          <cell r="A13" t="str">
            <v>SAWI MESS- UND REGELTECHNIK AG                                       Terms of Payment   :  TT</v>
          </cell>
        </row>
      </sheetData>
      <sheetData sheetId="26">
        <row r="13">
          <cell r="A13" t="str">
            <v>SAWI MESS- UND REGELTECHNIK AG                                       Terms of Payment   :  TT</v>
          </cell>
        </row>
      </sheetData>
      <sheetData sheetId="27">
        <row r="13">
          <cell r="A13" t="str">
            <v>SAWI MESS- UND REGELTECHNIK AG                                       Terms of Payment   :  TT</v>
          </cell>
        </row>
      </sheetData>
      <sheetData sheetId="28">
        <row r="13">
          <cell r="A13" t="str">
            <v>SAWI MESS- UND REGELTECHNIK AG                                       Terms of Payment   :  TT</v>
          </cell>
        </row>
      </sheetData>
      <sheetData sheetId="29">
        <row r="13">
          <cell r="A13" t="str">
            <v>SAWI MESS- UND REGELTECHNIK AG                                       Terms of Payment   :  TT</v>
          </cell>
        </row>
      </sheetData>
      <sheetData sheetId="30">
        <row r="13">
          <cell r="A13" t="str">
            <v>SAWI MESS- UND REGELTECHNIK AG                                       Terms of Payment   :  TT</v>
          </cell>
        </row>
      </sheetData>
      <sheetData sheetId="31" refreshError="1"/>
      <sheetData sheetId="3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rrency Rating"/>
      <sheetName val="Material Info"/>
      <sheetName val="Machine Info"/>
      <sheetName val="Overhead"/>
    </sheetNames>
    <sheetDataSet>
      <sheetData sheetId="0"/>
      <sheetData sheetId="1"/>
      <sheetData sheetId="2"/>
      <sheetData sheetId="3" refreshError="1">
        <row r="18">
          <cell r="D18">
            <v>80647.340666666671</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
      <sheetName val="Sheet1"/>
    </sheetNames>
    <sheetDataSet>
      <sheetData sheetId="0" refreshError="1"/>
      <sheetData sheetId="1" refreshError="1">
        <row r="5">
          <cell r="B5">
            <v>1.4671361502347418</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 (Rate per Budget Template)"/>
      <sheetName val="OPI (Based on Mthly ave rate)"/>
      <sheetName val="Sheet1"/>
    </sheetNames>
    <sheetDataSet>
      <sheetData sheetId="0" refreshError="1"/>
      <sheetData sheetId="1" refreshError="1"/>
      <sheetData sheetId="2" refreshError="1">
        <row r="4">
          <cell r="K4">
            <v>1.4585999999999999</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132-1 Options"/>
      <sheetName val="NTA"/>
      <sheetName val="7132-2 Warrants"/>
      <sheetName val="IAS 32"/>
      <sheetName val="EPS"/>
      <sheetName val="Tickmarks "/>
      <sheetName val="7132_1 Options"/>
      <sheetName val="固定资产总清单"/>
      <sheetName val="Sheet1"/>
      <sheetName val="Sheet2"/>
    </sheetNames>
    <sheetDataSet>
      <sheetData sheetId="0" refreshError="1">
        <row r="192">
          <cell r="D192">
            <v>5138611</v>
          </cell>
        </row>
      </sheetData>
      <sheetData sheetId="1"/>
      <sheetData sheetId="2"/>
      <sheetData sheetId="3"/>
      <sheetData sheetId="4"/>
      <sheetData sheetId="5"/>
      <sheetData sheetId="6" refreshError="1"/>
      <sheetData sheetId="7" refreshError="1"/>
      <sheetData sheetId="8" refreshError="1"/>
      <sheetData sheetId="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_expalloc"/>
      <sheetName val="Exp Alloc"/>
      <sheetName val="CostAlloc"/>
      <sheetName val="sum_costalloc"/>
      <sheetName val="SCOP unallocated amt"/>
      <sheetName val="Worksht"/>
      <sheetName val="Reclass"/>
      <sheetName val="TOTAL SUMM"/>
      <sheetName val="CELECT"/>
      <sheetName val="Ratio"/>
      <sheetName val="Value Added"/>
      <sheetName val="Value Added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A Summ"/>
      <sheetName val="CA payroll"/>
    </sheetNames>
    <sheetDataSet>
      <sheetData sheetId="0" refreshError="1"/>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O29"/>
  <sheetViews>
    <sheetView tabSelected="1" workbookViewId="0">
      <selection activeCell="F6" sqref="F6"/>
    </sheetView>
  </sheetViews>
  <sheetFormatPr defaultRowHeight="15"/>
  <cols>
    <col min="3" max="3" width="19.42578125" bestFit="1" customWidth="1"/>
    <col min="4" max="4" width="23.140625" customWidth="1"/>
    <col min="5" max="5" width="19.7109375" bestFit="1" customWidth="1"/>
    <col min="6" max="7" width="11.42578125" bestFit="1" customWidth="1"/>
    <col min="8" max="8" width="11.5703125" bestFit="1" customWidth="1"/>
    <col min="9" max="9" width="11.5703125" customWidth="1"/>
    <col min="10" max="10" width="23" customWidth="1"/>
    <col min="11" max="11" width="16.42578125" customWidth="1"/>
    <col min="12" max="12" width="21.85546875" bestFit="1" customWidth="1"/>
  </cols>
  <sheetData>
    <row r="1" spans="2:15">
      <c r="D1" s="109"/>
      <c r="E1" s="110"/>
    </row>
    <row r="2" spans="2:15">
      <c r="D2" s="37" t="s">
        <v>138</v>
      </c>
      <c r="E2" s="38" t="s">
        <v>139</v>
      </c>
      <c r="F2" s="38" t="s">
        <v>139</v>
      </c>
      <c r="G2" s="38" t="s">
        <v>139</v>
      </c>
      <c r="H2" s="38" t="s">
        <v>139</v>
      </c>
    </row>
    <row r="3" spans="2:15">
      <c r="E3" s="38" t="s">
        <v>140</v>
      </c>
      <c r="F3" s="39"/>
      <c r="G3" s="39"/>
      <c r="H3" s="39"/>
    </row>
    <row r="4" spans="2:15">
      <c r="F4" s="39"/>
      <c r="G4" s="16"/>
      <c r="H4" s="39"/>
    </row>
    <row r="5" spans="2:15" ht="15.75" thickBot="1">
      <c r="H5" s="40"/>
    </row>
    <row r="6" spans="2:15" ht="45">
      <c r="B6" s="1" t="s">
        <v>0</v>
      </c>
      <c r="C6" s="2" t="s">
        <v>1</v>
      </c>
      <c r="D6" s="3" t="s">
        <v>2</v>
      </c>
      <c r="E6" s="4" t="s">
        <v>3</v>
      </c>
      <c r="F6" s="4" t="s">
        <v>4</v>
      </c>
      <c r="G6" s="4" t="s">
        <v>5</v>
      </c>
      <c r="H6" s="4" t="s">
        <v>6</v>
      </c>
      <c r="I6" s="4" t="s">
        <v>7</v>
      </c>
      <c r="J6" s="4" t="s">
        <v>8</v>
      </c>
      <c r="K6" s="4" t="s">
        <v>9</v>
      </c>
      <c r="L6" s="13" t="s">
        <v>10</v>
      </c>
      <c r="M6" s="4" t="s">
        <v>11</v>
      </c>
      <c r="N6" s="4" t="s">
        <v>12</v>
      </c>
      <c r="O6" s="5" t="s">
        <v>13</v>
      </c>
    </row>
    <row r="7" spans="2:15" ht="26.25" thickBot="1">
      <c r="B7" s="6"/>
      <c r="C7" s="7"/>
      <c r="D7" s="8"/>
      <c r="E7" s="8"/>
      <c r="F7" s="8"/>
      <c r="G7" s="8"/>
      <c r="H7" s="8"/>
      <c r="I7" s="8"/>
      <c r="J7" s="9" t="s">
        <v>14</v>
      </c>
      <c r="K7" s="10" t="s">
        <v>15</v>
      </c>
      <c r="L7" s="9" t="s">
        <v>16</v>
      </c>
      <c r="M7" s="9" t="s">
        <v>17</v>
      </c>
      <c r="N7" s="15"/>
      <c r="O7" s="10" t="s">
        <v>18</v>
      </c>
    </row>
    <row r="8" spans="2:15">
      <c r="B8" s="41" t="s">
        <v>105</v>
      </c>
      <c r="C8" s="42" t="s">
        <v>119</v>
      </c>
      <c r="D8" s="43"/>
      <c r="E8" s="106">
        <f>VLOOKUP($B8,'汇总FY16 BG'!$B:$L,11,0)</f>
        <v>4.7001658428167152</v>
      </c>
      <c r="F8" s="106">
        <f>VLOOKUP($B8,'汇总FY16 BG'!$B:$L,9,0)</f>
        <v>2.4560748940195176</v>
      </c>
      <c r="G8" s="3">
        <v>0</v>
      </c>
      <c r="H8" s="3">
        <v>0</v>
      </c>
      <c r="I8" s="3"/>
      <c r="J8" s="3"/>
      <c r="K8" s="44">
        <v>3.25</v>
      </c>
      <c r="L8" s="3"/>
      <c r="M8" s="3"/>
      <c r="N8" s="3"/>
      <c r="O8" s="41">
        <v>0.37</v>
      </c>
    </row>
    <row r="9" spans="2:15">
      <c r="B9" s="45" t="s">
        <v>106</v>
      </c>
      <c r="C9" s="46" t="s">
        <v>120</v>
      </c>
      <c r="D9" s="47" t="s">
        <v>132</v>
      </c>
      <c r="E9" s="107">
        <f>VLOOKUP($B9,'汇总FY16 BG'!$B:$L,11,0)</f>
        <v>4.9765274966255912</v>
      </c>
      <c r="F9" s="107">
        <f>VLOOKUP($B9,'汇总FY16 BG'!$B:$L,9,0)</f>
        <v>2.568874641576071</v>
      </c>
      <c r="G9" s="12">
        <v>0</v>
      </c>
      <c r="H9" s="12">
        <v>0</v>
      </c>
      <c r="I9" s="12"/>
      <c r="J9" s="12"/>
      <c r="K9" s="48">
        <v>3.25</v>
      </c>
      <c r="L9" s="12"/>
      <c r="M9" s="12"/>
      <c r="N9" s="12"/>
      <c r="O9" s="45">
        <v>0.37</v>
      </c>
    </row>
    <row r="10" spans="2:15">
      <c r="B10" s="45" t="s">
        <v>107</v>
      </c>
      <c r="C10" s="46" t="s">
        <v>121</v>
      </c>
      <c r="D10" s="47" t="s">
        <v>132</v>
      </c>
      <c r="E10" s="107">
        <f>VLOOKUP($B10,'汇总FY16 BG'!$B:$L,11,0)</f>
        <v>5.8437102682636679</v>
      </c>
      <c r="F10" s="108">
        <f>VLOOKUP($B10,'汇总FY16 BG'!$B:$L,9,0)</f>
        <v>3.1584399371601752</v>
      </c>
      <c r="G10" s="45">
        <v>0</v>
      </c>
      <c r="H10" s="12">
        <v>0</v>
      </c>
      <c r="I10" s="12"/>
      <c r="J10" s="12"/>
      <c r="K10" s="48">
        <v>3.25</v>
      </c>
      <c r="L10" s="12"/>
      <c r="M10" s="12"/>
      <c r="N10" s="12"/>
      <c r="O10" s="45">
        <v>0.37</v>
      </c>
    </row>
    <row r="11" spans="2:15">
      <c r="B11" s="45" t="s">
        <v>108</v>
      </c>
      <c r="C11" s="46" t="s">
        <v>122</v>
      </c>
      <c r="D11" s="47" t="s">
        <v>132</v>
      </c>
      <c r="E11" s="107">
        <f>VLOOKUP($B11,'汇总FY16 BG'!$B:$L,11,0)</f>
        <v>4.6912757534232288</v>
      </c>
      <c r="F11" s="107">
        <f>VLOOKUP($B11,'汇总FY16 BG'!$B:$L,9,0)</f>
        <v>2.477153233636467</v>
      </c>
      <c r="G11" s="58">
        <v>0</v>
      </c>
      <c r="H11" s="12">
        <v>0</v>
      </c>
      <c r="I11" s="12"/>
      <c r="J11" s="12"/>
      <c r="K11" s="48">
        <v>3.25</v>
      </c>
      <c r="L11" s="12"/>
      <c r="M11" s="12"/>
      <c r="N11" s="12"/>
      <c r="O11" s="48">
        <v>8.3333333333333329E-2</v>
      </c>
    </row>
    <row r="12" spans="2:15">
      <c r="B12" s="45" t="s">
        <v>109</v>
      </c>
      <c r="C12" s="46" t="s">
        <v>123</v>
      </c>
      <c r="D12" s="47" t="s">
        <v>133</v>
      </c>
      <c r="E12" s="107">
        <f>VLOOKUP($B12,'汇总FY16 BG'!$B:$L,11,0)</f>
        <v>3.7864157313621902</v>
      </c>
      <c r="F12" s="107">
        <f>VLOOKUP($B12,'汇总FY16 BG'!$B:$L,9,0)</f>
        <v>1.8949886483668652</v>
      </c>
      <c r="G12" s="12">
        <v>0</v>
      </c>
      <c r="H12" s="12">
        <v>0</v>
      </c>
      <c r="I12" s="12"/>
      <c r="J12" s="12"/>
      <c r="K12" s="48">
        <v>3.25</v>
      </c>
      <c r="L12" s="12"/>
      <c r="M12" s="12"/>
      <c r="N12" s="12"/>
      <c r="O12" s="45">
        <v>0.13300000000000001</v>
      </c>
    </row>
    <row r="13" spans="2:15">
      <c r="B13" s="45" t="s">
        <v>110</v>
      </c>
      <c r="C13" s="46" t="s">
        <v>124</v>
      </c>
      <c r="D13" s="47" t="s">
        <v>133</v>
      </c>
      <c r="E13" s="107">
        <f>VLOOKUP($B13,'汇总FY16 BG'!$B:$L,11,0)</f>
        <v>3.7864153250979906</v>
      </c>
      <c r="F13" s="107">
        <f>VLOOKUP($B13,'汇总FY16 BG'!$B:$L,9,0)</f>
        <v>1.8949884964679629</v>
      </c>
      <c r="G13" s="12">
        <v>0</v>
      </c>
      <c r="H13" s="12">
        <v>0</v>
      </c>
      <c r="I13" s="12"/>
      <c r="J13" s="12"/>
      <c r="K13" s="48">
        <v>3.25</v>
      </c>
      <c r="L13" s="12"/>
      <c r="M13" s="12"/>
      <c r="N13" s="12"/>
      <c r="O13" s="45">
        <v>0.13300000000000001</v>
      </c>
    </row>
    <row r="14" spans="2:15">
      <c r="B14" s="45" t="s">
        <v>111</v>
      </c>
      <c r="C14" s="46" t="s">
        <v>125</v>
      </c>
      <c r="D14" s="47" t="s">
        <v>134</v>
      </c>
      <c r="E14" s="107">
        <f>VLOOKUP($B14,'汇总FY16 BG'!$B:$L,11,0)</f>
        <v>15.058269848674167</v>
      </c>
      <c r="F14" s="107">
        <f>VLOOKUP($B14,'汇总FY16 BG'!$B:$L,9,0)</f>
        <v>8.2454264896092244</v>
      </c>
      <c r="G14" s="12">
        <v>0</v>
      </c>
      <c r="H14" s="12">
        <v>0</v>
      </c>
      <c r="I14" s="12"/>
      <c r="J14" s="12"/>
      <c r="K14" s="48">
        <v>3.25</v>
      </c>
      <c r="L14" s="12"/>
      <c r="M14" s="12"/>
      <c r="N14" s="12"/>
      <c r="O14" s="45">
        <v>0.5</v>
      </c>
    </row>
    <row r="15" spans="2:15">
      <c r="B15" s="45" t="s">
        <v>112</v>
      </c>
      <c r="C15" s="46" t="s">
        <v>126</v>
      </c>
      <c r="D15" s="47" t="s">
        <v>135</v>
      </c>
      <c r="E15" s="107">
        <f>VLOOKUP($B15,'汇总FY16 BG'!$B:$L,11,0)</f>
        <v>16.613567924984292</v>
      </c>
      <c r="F15" s="107">
        <f>VLOOKUP($B15,'汇总FY16 BG'!$B:$L,9,0)</f>
        <v>9.4619776177559505</v>
      </c>
      <c r="G15" s="12">
        <v>0</v>
      </c>
      <c r="H15" s="12">
        <v>0</v>
      </c>
      <c r="I15" s="12"/>
      <c r="J15" s="12"/>
      <c r="K15" s="48">
        <v>3.25</v>
      </c>
      <c r="L15" s="12"/>
      <c r="M15" s="12"/>
      <c r="N15" s="12"/>
      <c r="O15" s="45">
        <v>3.0830000000000002</v>
      </c>
    </row>
    <row r="16" spans="2:15">
      <c r="B16" s="45" t="s">
        <v>113</v>
      </c>
      <c r="C16" s="46" t="s">
        <v>127</v>
      </c>
      <c r="D16" s="47" t="s">
        <v>136</v>
      </c>
      <c r="E16" s="107">
        <f>VLOOKUP($B16,'汇总FY16 BG'!$B:$L,11,0)</f>
        <v>3.5793414856876229</v>
      </c>
      <c r="F16" s="107">
        <f>VLOOKUP($B16,'汇总FY16 BG'!$B:$L,9,0)</f>
        <v>1.7858201939130063</v>
      </c>
      <c r="G16" s="12">
        <v>0</v>
      </c>
      <c r="H16" s="12">
        <v>0</v>
      </c>
      <c r="I16" s="12"/>
      <c r="J16" s="12"/>
      <c r="K16" s="48">
        <v>3.25</v>
      </c>
      <c r="L16" s="12"/>
      <c r="M16" s="12"/>
      <c r="N16" s="12"/>
      <c r="O16" s="45">
        <v>0.13300000000000001</v>
      </c>
    </row>
    <row r="17" spans="2:15">
      <c r="B17" s="45" t="s">
        <v>114</v>
      </c>
      <c r="C17" s="46" t="s">
        <v>128</v>
      </c>
      <c r="D17" s="47" t="s">
        <v>136</v>
      </c>
      <c r="E17" s="107">
        <f>VLOOKUP($B17,'汇总FY16 BG'!$B:$L,11,0)</f>
        <v>4.841545572307079</v>
      </c>
      <c r="F17" s="107">
        <f>VLOOKUP($B17,'汇总FY16 BG'!$B:$L,9,0)</f>
        <v>2.3629399172273655</v>
      </c>
      <c r="G17" s="12">
        <v>0</v>
      </c>
      <c r="H17" s="12">
        <v>0</v>
      </c>
      <c r="I17" s="12"/>
      <c r="J17" s="12"/>
      <c r="K17" s="48">
        <v>3.25</v>
      </c>
      <c r="L17" s="12"/>
      <c r="M17" s="12"/>
      <c r="N17" s="12"/>
      <c r="O17" s="45">
        <v>0.13300000000000001</v>
      </c>
    </row>
    <row r="18" spans="2:15">
      <c r="B18" s="45" t="s">
        <v>115</v>
      </c>
      <c r="C18" s="46" t="s">
        <v>129</v>
      </c>
      <c r="D18" s="47" t="s">
        <v>136</v>
      </c>
      <c r="E18" s="107">
        <f>VLOOKUP($B18,'汇总FY16 BG'!$B:$L,11,0)</f>
        <v>4.4984850042533644</v>
      </c>
      <c r="F18" s="107">
        <f>VLOOKUP($B18,'汇总FY16 BG'!$B:$L,9,0)</f>
        <v>2.224655877687967</v>
      </c>
      <c r="G18" s="12">
        <v>0</v>
      </c>
      <c r="H18" s="12">
        <v>0</v>
      </c>
      <c r="I18" s="12"/>
      <c r="J18" s="12"/>
      <c r="K18" s="48">
        <v>3.25</v>
      </c>
      <c r="L18" s="12"/>
      <c r="M18" s="12"/>
      <c r="N18" s="12"/>
      <c r="O18" s="45">
        <v>0.13300000000000001</v>
      </c>
    </row>
    <row r="19" spans="2:15">
      <c r="B19" s="45" t="s">
        <v>116</v>
      </c>
      <c r="C19" s="46" t="s">
        <v>130</v>
      </c>
      <c r="D19" s="47" t="s">
        <v>136</v>
      </c>
      <c r="E19" s="107">
        <f>VLOOKUP($B19,'汇总FY16 BG'!$B:$L,11,0)</f>
        <v>3.7524052730756514</v>
      </c>
      <c r="F19" s="107">
        <f>VLOOKUP($B19,'汇总FY16 BG'!$B:$L,9,0)</f>
        <v>1.8990976569228266</v>
      </c>
      <c r="G19" s="12">
        <v>0</v>
      </c>
      <c r="H19" s="12">
        <v>0</v>
      </c>
      <c r="I19" s="12"/>
      <c r="J19" s="12"/>
      <c r="K19" s="48">
        <v>3.25</v>
      </c>
      <c r="L19" s="12"/>
      <c r="M19" s="12"/>
      <c r="N19" s="12"/>
      <c r="O19" s="45">
        <v>0</v>
      </c>
    </row>
    <row r="20" spans="2:15">
      <c r="B20" s="45" t="s">
        <v>117</v>
      </c>
      <c r="C20" s="46" t="s">
        <v>131</v>
      </c>
      <c r="D20" s="47" t="s">
        <v>137</v>
      </c>
      <c r="E20" s="107">
        <f>VLOOKUP($B20,'汇总FY16 BG'!$B:$L,11,0)</f>
        <v>857.76738557677379</v>
      </c>
      <c r="F20" s="107">
        <f>VLOOKUP($B20,'汇总FY16 BG'!$B:$L,9,0)</f>
        <v>730.86108858496834</v>
      </c>
      <c r="G20" s="12">
        <v>0</v>
      </c>
      <c r="H20" s="12">
        <v>0</v>
      </c>
      <c r="I20" s="12"/>
      <c r="J20" s="12"/>
      <c r="K20" s="48">
        <v>3.25</v>
      </c>
      <c r="L20" s="12"/>
      <c r="M20" s="12"/>
      <c r="N20" s="12"/>
      <c r="O20" s="45">
        <v>0.112</v>
      </c>
    </row>
    <row r="21" spans="2:15">
      <c r="B21" s="45" t="s">
        <v>118</v>
      </c>
      <c r="C21" s="46" t="s">
        <v>131</v>
      </c>
      <c r="D21" s="47" t="s">
        <v>137</v>
      </c>
      <c r="E21" s="107">
        <f>VLOOKUP($B21,'汇总FY16 BG'!$B:$L,11,0)</f>
        <v>1510.5318528562398</v>
      </c>
      <c r="F21" s="107">
        <f>VLOOKUP($B21,'汇总FY16 BG'!$B:$L,9,0)</f>
        <v>1283.8229684016444</v>
      </c>
      <c r="G21" s="12">
        <v>0</v>
      </c>
      <c r="H21" s="12">
        <v>0</v>
      </c>
      <c r="I21" s="12"/>
      <c r="J21" s="12"/>
      <c r="K21" s="48">
        <v>3.25</v>
      </c>
      <c r="L21" s="12"/>
      <c r="M21" s="12"/>
      <c r="N21" s="12"/>
      <c r="O21" s="45">
        <v>0.112</v>
      </c>
    </row>
    <row r="22" spans="2:15">
      <c r="B22" s="45"/>
      <c r="C22" s="49"/>
      <c r="D22" s="50"/>
      <c r="E22" s="107"/>
      <c r="F22" s="107"/>
      <c r="G22" s="12"/>
      <c r="H22" s="12"/>
      <c r="I22" s="12"/>
      <c r="J22" s="12"/>
      <c r="K22" s="48"/>
      <c r="L22" s="12"/>
      <c r="M22" s="12"/>
      <c r="N22" s="12"/>
      <c r="O22" s="45">
        <v>0.112</v>
      </c>
    </row>
    <row r="23" spans="2:15">
      <c r="B23" s="12"/>
      <c r="C23" s="12"/>
      <c r="D23" s="12"/>
      <c r="E23" s="12"/>
      <c r="F23" s="12"/>
      <c r="G23" s="12"/>
      <c r="H23" s="12"/>
      <c r="I23" s="12"/>
      <c r="J23" s="12"/>
      <c r="K23" s="12"/>
      <c r="L23" s="12"/>
      <c r="M23" s="12"/>
      <c r="N23" s="12"/>
      <c r="O23" s="12"/>
    </row>
    <row r="24" spans="2:15">
      <c r="B24" s="12"/>
      <c r="C24" s="12"/>
      <c r="D24" s="12"/>
      <c r="E24" s="12"/>
      <c r="F24" s="12"/>
      <c r="G24" s="12"/>
      <c r="H24" s="12"/>
      <c r="I24" s="12"/>
      <c r="J24" s="12"/>
      <c r="K24" s="12"/>
      <c r="L24" s="12"/>
      <c r="M24" s="12"/>
      <c r="N24" s="12"/>
      <c r="O24" s="12"/>
    </row>
    <row r="25" spans="2:15">
      <c r="D25" t="s">
        <v>19</v>
      </c>
      <c r="E25" t="s">
        <v>20</v>
      </c>
    </row>
    <row r="26" spans="2:15">
      <c r="D26" t="s">
        <v>21</v>
      </c>
      <c r="E26" t="s">
        <v>22</v>
      </c>
    </row>
    <row r="27" spans="2:15">
      <c r="D27" t="s">
        <v>23</v>
      </c>
      <c r="E27" t="s">
        <v>24</v>
      </c>
    </row>
    <row r="28" spans="2:15">
      <c r="D28" t="s">
        <v>25</v>
      </c>
      <c r="E28" t="s">
        <v>26</v>
      </c>
    </row>
    <row r="29" spans="2:15">
      <c r="D29" t="s">
        <v>27</v>
      </c>
      <c r="E29" t="s">
        <v>28</v>
      </c>
    </row>
  </sheetData>
  <pageMargins left="0.7" right="0.7" top="0.75" bottom="0.75" header="0.3" footer="0.3"/>
  <pageSetup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V27"/>
  <sheetViews>
    <sheetView workbookViewId="0">
      <selection activeCell="D14" sqref="D14"/>
    </sheetView>
  </sheetViews>
  <sheetFormatPr defaultRowHeight="15"/>
  <cols>
    <col min="1" max="2" width="9.140625" style="20"/>
    <col min="3" max="3" width="27.7109375" style="20" bestFit="1" customWidth="1"/>
    <col min="4" max="4" width="23.140625" style="20" customWidth="1"/>
    <col min="5" max="5" width="19.7109375" style="20" bestFit="1" customWidth="1"/>
    <col min="6" max="7" width="11.42578125" style="20" bestFit="1" customWidth="1"/>
    <col min="8" max="8" width="11.5703125" style="20" bestFit="1" customWidth="1"/>
    <col min="9" max="9" width="11.5703125" style="20" customWidth="1"/>
    <col min="10" max="10" width="23" style="20" customWidth="1"/>
    <col min="11" max="11" width="16.42578125" style="20" customWidth="1"/>
    <col min="12" max="12" width="21.85546875" style="20" bestFit="1" customWidth="1"/>
    <col min="13" max="16384" width="9.140625" style="20"/>
  </cols>
  <sheetData>
    <row r="1" spans="2:22">
      <c r="D1" s="109"/>
      <c r="E1" s="110"/>
    </row>
    <row r="2" spans="2:22">
      <c r="C2"/>
      <c r="D2" s="37" t="s">
        <v>138</v>
      </c>
      <c r="E2" s="38" t="s">
        <v>139</v>
      </c>
      <c r="F2" s="38" t="s">
        <v>139</v>
      </c>
      <c r="G2" s="38" t="s">
        <v>139</v>
      </c>
      <c r="H2" s="38" t="s">
        <v>139</v>
      </c>
    </row>
    <row r="3" spans="2:22">
      <c r="C3"/>
      <c r="D3"/>
      <c r="E3" s="38" t="s">
        <v>140</v>
      </c>
      <c r="F3" s="39"/>
      <c r="G3" s="39"/>
      <c r="H3" s="39"/>
    </row>
    <row r="4" spans="2:22">
      <c r="C4"/>
      <c r="D4"/>
      <c r="E4"/>
      <c r="F4" s="39"/>
      <c r="G4" s="16"/>
      <c r="H4" s="39"/>
    </row>
    <row r="5" spans="2:22" ht="15.75" thickBot="1">
      <c r="C5"/>
      <c r="D5"/>
      <c r="E5"/>
      <c r="F5"/>
      <c r="G5"/>
      <c r="H5" s="40"/>
    </row>
    <row r="6" spans="2:22" ht="45">
      <c r="B6" s="21" t="s">
        <v>0</v>
      </c>
      <c r="C6" s="22" t="s">
        <v>1</v>
      </c>
      <c r="D6" s="23" t="s">
        <v>2</v>
      </c>
      <c r="E6" s="24" t="s">
        <v>3</v>
      </c>
      <c r="F6" s="24" t="s">
        <v>4</v>
      </c>
      <c r="G6" s="24" t="s">
        <v>5</v>
      </c>
      <c r="H6" s="24" t="s">
        <v>6</v>
      </c>
      <c r="I6" s="24" t="s">
        <v>7</v>
      </c>
      <c r="J6" s="24" t="s">
        <v>8</v>
      </c>
      <c r="K6" s="24" t="s">
        <v>9</v>
      </c>
      <c r="L6" s="25" t="s">
        <v>10</v>
      </c>
      <c r="M6" s="24" t="s">
        <v>11</v>
      </c>
      <c r="N6" s="26" t="s">
        <v>29</v>
      </c>
      <c r="O6" s="27" t="s">
        <v>76</v>
      </c>
      <c r="P6" s="27" t="s">
        <v>77</v>
      </c>
      <c r="Q6" s="27" t="s">
        <v>78</v>
      </c>
      <c r="R6" s="27" t="s">
        <v>79</v>
      </c>
      <c r="S6" s="27" t="s">
        <v>80</v>
      </c>
      <c r="T6" s="27" t="s">
        <v>81</v>
      </c>
      <c r="V6" s="27"/>
    </row>
    <row r="7" spans="2:22" ht="45.75" thickBot="1">
      <c r="B7" s="28"/>
      <c r="C7" s="29"/>
      <c r="D7" s="30"/>
      <c r="E7" s="30"/>
      <c r="F7" s="30"/>
      <c r="G7" s="30"/>
      <c r="H7" s="30"/>
      <c r="I7" s="30"/>
      <c r="J7" s="31" t="s">
        <v>14</v>
      </c>
      <c r="K7" s="32" t="s">
        <v>15</v>
      </c>
      <c r="L7" s="31" t="s">
        <v>16</v>
      </c>
      <c r="M7" s="31" t="s">
        <v>17</v>
      </c>
      <c r="N7" s="33" t="s">
        <v>18</v>
      </c>
      <c r="P7" s="34"/>
      <c r="Q7" s="27"/>
      <c r="R7" s="27"/>
      <c r="S7" s="27"/>
      <c r="T7" s="27"/>
      <c r="U7" s="27"/>
      <c r="V7" s="27"/>
    </row>
    <row r="8" spans="2:22">
      <c r="B8" s="53" t="s">
        <v>85</v>
      </c>
      <c r="C8" s="53" t="s">
        <v>94</v>
      </c>
      <c r="D8" s="53" t="s">
        <v>100</v>
      </c>
      <c r="E8" s="106">
        <f>VLOOKUP($B8,'汇总FY16 BG'!$B:$L,11,0)</f>
        <v>22.087800198214289</v>
      </c>
      <c r="F8" s="106">
        <f>VLOOKUP($B8,'汇总FY16 BG'!$B:$L,9,0)</f>
        <v>10.27517310314709</v>
      </c>
      <c r="G8" s="3">
        <v>0</v>
      </c>
      <c r="H8" s="3">
        <v>0</v>
      </c>
      <c r="I8" s="53"/>
      <c r="J8" s="53"/>
      <c r="K8" s="53">
        <v>3.25</v>
      </c>
      <c r="L8" s="51"/>
      <c r="M8" s="53"/>
      <c r="N8" s="51"/>
      <c r="O8" s="35">
        <v>0.60240963855421681</v>
      </c>
      <c r="P8" s="36"/>
      <c r="Q8" s="36">
        <v>0.39759036144578314</v>
      </c>
      <c r="R8" s="54">
        <v>3.24</v>
      </c>
      <c r="S8" s="54">
        <v>2.97</v>
      </c>
      <c r="T8" s="54">
        <v>4.28</v>
      </c>
      <c r="U8" s="27"/>
      <c r="V8" s="27"/>
    </row>
    <row r="9" spans="2:22">
      <c r="B9" s="46" t="s">
        <v>86</v>
      </c>
      <c r="C9" s="46" t="s">
        <v>95</v>
      </c>
      <c r="D9" s="46" t="s">
        <v>100</v>
      </c>
      <c r="E9" s="107">
        <f>VLOOKUP($B9,'汇总FY16 BG'!$B:$L,11,0)</f>
        <v>28.465260180501026</v>
      </c>
      <c r="F9" s="107">
        <f>VLOOKUP($B9,'汇总FY16 BG'!$B:$L,9,0)</f>
        <v>15.044483541118618</v>
      </c>
      <c r="G9" s="12">
        <v>0</v>
      </c>
      <c r="H9" s="12">
        <v>0</v>
      </c>
      <c r="I9" s="46"/>
      <c r="J9" s="46"/>
      <c r="K9" s="46">
        <v>3.25</v>
      </c>
      <c r="L9" s="52"/>
      <c r="M9" s="46"/>
      <c r="N9" s="52"/>
      <c r="O9" s="35">
        <v>0.60240963855421681</v>
      </c>
      <c r="P9" s="36"/>
      <c r="Q9" s="36">
        <v>0.39759036144578314</v>
      </c>
      <c r="R9" s="54"/>
      <c r="S9" s="54"/>
      <c r="T9" s="54"/>
      <c r="U9" s="27"/>
      <c r="V9" s="27"/>
    </row>
    <row r="10" spans="2:22">
      <c r="B10" s="46" t="s">
        <v>87</v>
      </c>
      <c r="C10" s="46" t="s">
        <v>96</v>
      </c>
      <c r="D10" s="46" t="s">
        <v>100</v>
      </c>
      <c r="E10" s="108">
        <f>VLOOKUP($B10,'汇总FY16 BG'!$B:$L,11,0)</f>
        <v>34.42024800900068</v>
      </c>
      <c r="F10" s="108">
        <f>VLOOKUP($B10,'汇总FY16 BG'!$B:$L,9,0)</f>
        <v>17.813699317457928</v>
      </c>
      <c r="G10" s="45">
        <v>0</v>
      </c>
      <c r="H10" s="45">
        <v>0</v>
      </c>
      <c r="I10" s="46"/>
      <c r="J10" s="46"/>
      <c r="K10" s="46">
        <v>3.25</v>
      </c>
      <c r="L10" s="52"/>
      <c r="M10" s="46"/>
      <c r="N10" s="52"/>
      <c r="O10" s="35">
        <v>0.60240963855421681</v>
      </c>
      <c r="P10" s="36"/>
      <c r="Q10" s="36">
        <v>0.39759036144578314</v>
      </c>
      <c r="R10" s="55"/>
      <c r="S10" s="55"/>
      <c r="T10" s="55"/>
    </row>
    <row r="11" spans="2:22">
      <c r="B11" s="46" t="s">
        <v>88</v>
      </c>
      <c r="C11" s="46" t="s">
        <v>102</v>
      </c>
      <c r="D11" s="46" t="s">
        <v>100</v>
      </c>
      <c r="E11" s="108">
        <f>VLOOKUP($B11,'汇总FY16 BG'!$B:$L,11,0)</f>
        <v>47.766990427700811</v>
      </c>
      <c r="F11" s="108">
        <f>VLOOKUP($B11,'汇总FY16 BG'!$B:$L,9,0)</f>
        <v>27.111418662616025</v>
      </c>
      <c r="G11" s="45">
        <v>0</v>
      </c>
      <c r="H11" s="45">
        <v>0</v>
      </c>
      <c r="I11" s="46"/>
      <c r="J11" s="46"/>
      <c r="K11" s="46">
        <v>3.25</v>
      </c>
      <c r="L11" s="52"/>
      <c r="M11" s="46"/>
      <c r="N11" s="52"/>
      <c r="O11" s="35">
        <v>0.75187969924812026</v>
      </c>
      <c r="P11" s="36"/>
      <c r="Q11" s="36">
        <v>0.24812030075187969</v>
      </c>
      <c r="R11" s="55"/>
      <c r="S11" s="55"/>
      <c r="T11" s="55"/>
    </row>
    <row r="12" spans="2:22">
      <c r="B12" s="46" t="s">
        <v>89</v>
      </c>
      <c r="C12" s="46" t="s">
        <v>97</v>
      </c>
      <c r="D12" s="46" t="s">
        <v>101</v>
      </c>
      <c r="E12" s="108">
        <f>VLOOKUP($B12,'汇总FY16 BG'!$B:$L,11,0)</f>
        <v>10.442206435638301</v>
      </c>
      <c r="F12" s="108">
        <f>VLOOKUP($B12,'汇总FY16 BG'!$B:$L,9,0)</f>
        <v>5.7218662000222302</v>
      </c>
      <c r="G12" s="45">
        <v>0</v>
      </c>
      <c r="H12" s="45">
        <v>0</v>
      </c>
      <c r="I12" s="46"/>
      <c r="J12" s="46"/>
      <c r="K12" s="46">
        <v>3.25</v>
      </c>
      <c r="L12" s="52"/>
      <c r="M12" s="46"/>
      <c r="N12" s="52"/>
      <c r="O12" s="35">
        <v>0.75187969924812026</v>
      </c>
      <c r="P12" s="36"/>
      <c r="Q12" s="36">
        <v>0.24812030075187969</v>
      </c>
      <c r="R12" s="55"/>
      <c r="S12" s="55"/>
      <c r="T12" s="55"/>
    </row>
    <row r="13" spans="2:22">
      <c r="B13" s="46" t="s">
        <v>90</v>
      </c>
      <c r="C13" s="46" t="s">
        <v>98</v>
      </c>
      <c r="D13" s="46" t="s">
        <v>100</v>
      </c>
      <c r="E13" s="108">
        <f>VLOOKUP($B13,'汇总FY16 BG'!$B:$L,11,0)</f>
        <v>10.870784486184293</v>
      </c>
      <c r="F13" s="108">
        <f>VLOOKUP($B13,'汇总FY16 BG'!$B:$L,9,0)</f>
        <v>6.5663634799268609</v>
      </c>
      <c r="G13" s="45">
        <v>0</v>
      </c>
      <c r="H13" s="45">
        <v>0</v>
      </c>
      <c r="I13" s="12"/>
      <c r="J13" s="46"/>
      <c r="K13" s="46">
        <v>3.25</v>
      </c>
      <c r="L13" s="52"/>
      <c r="M13" s="46"/>
      <c r="N13" s="52"/>
      <c r="O13" s="35">
        <v>0.60240963855421681</v>
      </c>
      <c r="P13" s="36"/>
      <c r="Q13" s="36">
        <v>0.39759036144578314</v>
      </c>
      <c r="R13" s="55"/>
      <c r="S13" s="55"/>
      <c r="T13" s="55"/>
    </row>
    <row r="14" spans="2:22">
      <c r="B14" s="46" t="s">
        <v>91</v>
      </c>
      <c r="C14" s="46" t="s">
        <v>99</v>
      </c>
      <c r="D14" s="46" t="s">
        <v>100</v>
      </c>
      <c r="E14" s="108">
        <f>VLOOKUP($B14,'汇总FY16 BG'!$B:$L,11,0)</f>
        <v>9.9238797805183427</v>
      </c>
      <c r="F14" s="108">
        <f>VLOOKUP($B14,'汇总FY16 BG'!$B:$L,9,0)</f>
        <v>5.8340366742642198</v>
      </c>
      <c r="G14" s="45">
        <v>0</v>
      </c>
      <c r="H14" s="45">
        <v>0</v>
      </c>
      <c r="I14" s="46"/>
      <c r="J14" s="46"/>
      <c r="K14" s="46">
        <v>3.25</v>
      </c>
      <c r="L14" s="52"/>
      <c r="M14" s="46"/>
      <c r="N14" s="52"/>
      <c r="O14" s="35">
        <v>0.60240963855421681</v>
      </c>
      <c r="P14" s="36"/>
      <c r="Q14" s="36">
        <v>0.39759036144578314</v>
      </c>
      <c r="R14" s="55"/>
      <c r="S14" s="55"/>
      <c r="T14" s="55"/>
    </row>
    <row r="15" spans="2:22">
      <c r="B15" s="46" t="s">
        <v>92</v>
      </c>
      <c r="C15" s="46" t="s">
        <v>103</v>
      </c>
      <c r="D15" s="46" t="s">
        <v>100</v>
      </c>
      <c r="E15" s="108">
        <f>VLOOKUP($B15,'汇总FY16 BG'!$B:$L,11,0)</f>
        <v>22.967062105502528</v>
      </c>
      <c r="F15" s="108">
        <f>VLOOKUP($B15,'汇总FY16 BG'!$B:$L,9,0)</f>
        <v>13.267657152104793</v>
      </c>
      <c r="G15" s="45">
        <v>0</v>
      </c>
      <c r="H15" s="45">
        <v>0</v>
      </c>
      <c r="I15" s="46"/>
      <c r="J15" s="46"/>
      <c r="K15" s="46">
        <v>3.25</v>
      </c>
      <c r="L15" s="52"/>
      <c r="M15" s="46"/>
      <c r="N15" s="52"/>
      <c r="O15" s="35">
        <v>0.5</v>
      </c>
      <c r="P15" s="36"/>
      <c r="Q15" s="36">
        <v>0.5</v>
      </c>
      <c r="R15" s="55"/>
      <c r="S15" s="55"/>
      <c r="T15" s="55"/>
    </row>
    <row r="16" spans="2:22">
      <c r="B16" s="46" t="s">
        <v>93</v>
      </c>
      <c r="C16" s="46" t="s">
        <v>104</v>
      </c>
      <c r="D16" s="46" t="s">
        <v>100</v>
      </c>
      <c r="E16" s="108">
        <f>VLOOKUP($B16,'汇总FY16 BG'!$B:$L,11,0)</f>
        <v>24.673964338712469</v>
      </c>
      <c r="F16" s="108">
        <f>VLOOKUP($B16,'汇总FY16 BG'!$B:$L,9,0)</f>
        <v>14.198803498569259</v>
      </c>
      <c r="G16" s="45">
        <v>0</v>
      </c>
      <c r="H16" s="45">
        <v>0</v>
      </c>
      <c r="I16" s="45"/>
      <c r="J16" s="46"/>
      <c r="K16" s="46">
        <v>3.25</v>
      </c>
      <c r="L16" s="52"/>
      <c r="M16" s="46"/>
      <c r="N16" s="52"/>
      <c r="O16" s="35">
        <v>0.5</v>
      </c>
      <c r="P16" s="36"/>
      <c r="Q16" s="36">
        <v>0.5</v>
      </c>
      <c r="R16" s="55"/>
      <c r="S16" s="55"/>
      <c r="T16" s="55"/>
    </row>
    <row r="17" spans="2:20">
      <c r="B17" s="46"/>
      <c r="C17" s="46"/>
      <c r="D17" s="46"/>
      <c r="E17" s="46"/>
      <c r="F17" s="46"/>
      <c r="G17" s="46"/>
      <c r="H17" s="46"/>
      <c r="I17" s="46"/>
      <c r="J17" s="46"/>
      <c r="K17" s="46"/>
      <c r="L17" s="46"/>
      <c r="M17" s="46"/>
      <c r="N17" s="46"/>
      <c r="O17" s="55"/>
      <c r="P17" s="55"/>
      <c r="Q17" s="55"/>
      <c r="R17" s="55"/>
      <c r="S17" s="55"/>
      <c r="T17" s="55"/>
    </row>
    <row r="18" spans="2:20">
      <c r="B18" s="46"/>
      <c r="C18" s="46"/>
      <c r="D18" s="46"/>
      <c r="E18" s="46"/>
      <c r="F18" s="46"/>
      <c r="G18" s="46"/>
      <c r="H18" s="46"/>
      <c r="I18" s="46"/>
      <c r="J18" s="46"/>
      <c r="K18" s="46"/>
      <c r="L18" s="46"/>
      <c r="M18" s="46"/>
      <c r="N18" s="46"/>
    </row>
    <row r="19" spans="2:20">
      <c r="B19" s="46"/>
      <c r="C19" s="46"/>
      <c r="D19" s="46"/>
      <c r="E19" s="46"/>
      <c r="F19" s="46"/>
      <c r="G19" s="46"/>
      <c r="H19" s="46"/>
      <c r="I19" s="46"/>
      <c r="J19" s="46"/>
      <c r="K19" s="46"/>
      <c r="L19" s="46"/>
      <c r="M19" s="46"/>
      <c r="N19" s="46"/>
    </row>
    <row r="20" spans="2:20">
      <c r="B20" s="46"/>
      <c r="C20" s="46"/>
      <c r="D20" s="46"/>
      <c r="E20" s="46"/>
      <c r="F20" s="46"/>
      <c r="G20" s="46"/>
      <c r="H20" s="46"/>
      <c r="I20" s="46"/>
      <c r="J20" s="46"/>
      <c r="K20" s="46"/>
      <c r="L20" s="46"/>
      <c r="M20" s="46"/>
      <c r="N20" s="46"/>
    </row>
    <row r="21" spans="2:20">
      <c r="B21" s="46"/>
      <c r="C21" s="46"/>
      <c r="D21" s="46"/>
      <c r="E21" s="46"/>
      <c r="F21" s="46"/>
      <c r="G21" s="46"/>
      <c r="H21" s="46"/>
      <c r="I21" s="46"/>
      <c r="J21" s="46"/>
      <c r="K21" s="46"/>
      <c r="L21" s="46"/>
      <c r="M21" s="46"/>
      <c r="N21" s="46"/>
    </row>
    <row r="22" spans="2:20">
      <c r="B22" s="46"/>
      <c r="C22" s="46"/>
      <c r="D22" s="46"/>
      <c r="E22" s="46"/>
      <c r="F22" s="46"/>
      <c r="G22" s="46"/>
      <c r="H22" s="46"/>
      <c r="I22" s="46"/>
      <c r="J22" s="46"/>
      <c r="K22" s="46"/>
      <c r="L22" s="46"/>
      <c r="M22" s="46"/>
      <c r="N22" s="46"/>
    </row>
    <row r="23" spans="2:20">
      <c r="B23" s="46"/>
      <c r="C23" s="46"/>
      <c r="D23" s="46"/>
      <c r="E23" s="46"/>
      <c r="F23" s="46"/>
      <c r="G23" s="46"/>
      <c r="H23" s="46"/>
      <c r="I23" s="46"/>
      <c r="J23" s="46"/>
      <c r="K23" s="46"/>
      <c r="L23" s="46"/>
      <c r="M23" s="46"/>
      <c r="N23" s="46"/>
    </row>
    <row r="24" spans="2:20">
      <c r="B24" s="46"/>
      <c r="C24" s="46"/>
      <c r="D24" s="46"/>
      <c r="E24" s="46"/>
      <c r="F24" s="46"/>
      <c r="G24" s="46"/>
      <c r="H24" s="46"/>
      <c r="I24" s="46"/>
      <c r="J24" s="46"/>
      <c r="K24" s="46"/>
      <c r="L24" s="46"/>
      <c r="M24" s="46"/>
      <c r="N24" s="46"/>
    </row>
    <row r="25" spans="2:20">
      <c r="D25" s="20" t="s">
        <v>19</v>
      </c>
      <c r="E25" s="20" t="s">
        <v>30</v>
      </c>
    </row>
    <row r="26" spans="2:20">
      <c r="D26" s="20" t="s">
        <v>21</v>
      </c>
      <c r="E26" s="20" t="s">
        <v>22</v>
      </c>
    </row>
    <row r="27" spans="2:20">
      <c r="D27" s="20" t="s">
        <v>23</v>
      </c>
      <c r="E27" s="20" t="s">
        <v>24</v>
      </c>
    </row>
  </sheetData>
  <pageMargins left="0.7" right="0.7" top="0.75" bottom="0.75" header="0.3" footer="0.3"/>
  <pageSetup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P23"/>
  <sheetViews>
    <sheetView workbookViewId="0"/>
  </sheetViews>
  <sheetFormatPr defaultRowHeight="15"/>
  <cols>
    <col min="3" max="3" width="19.42578125" bestFit="1" customWidth="1"/>
    <col min="4" max="4" width="23.140625" customWidth="1"/>
    <col min="5" max="5" width="19.7109375" bestFit="1" customWidth="1"/>
    <col min="6" max="7" width="11.42578125" bestFit="1" customWidth="1"/>
    <col min="8" max="8" width="11.5703125" bestFit="1" customWidth="1"/>
    <col min="9" max="9" width="11.5703125" customWidth="1"/>
    <col min="10" max="10" width="23" customWidth="1"/>
    <col min="11" max="11" width="16.42578125" customWidth="1"/>
    <col min="12" max="12" width="21.85546875" bestFit="1" customWidth="1"/>
    <col min="15" max="15" width="17.42578125" customWidth="1"/>
  </cols>
  <sheetData>
    <row r="1" spans="2:16" ht="15.75" thickBot="1"/>
    <row r="2" spans="2:16" ht="45">
      <c r="B2" s="1" t="s">
        <v>0</v>
      </c>
      <c r="C2" s="2" t="s">
        <v>1</v>
      </c>
      <c r="D2" s="3" t="s">
        <v>2</v>
      </c>
      <c r="E2" s="4" t="s">
        <v>3</v>
      </c>
      <c r="F2" s="4" t="s">
        <v>4</v>
      </c>
      <c r="G2" s="4" t="s">
        <v>5</v>
      </c>
      <c r="H2" s="4" t="s">
        <v>6</v>
      </c>
      <c r="I2" s="4" t="s">
        <v>7</v>
      </c>
      <c r="J2" s="4" t="s">
        <v>8</v>
      </c>
      <c r="K2" s="4" t="s">
        <v>9</v>
      </c>
      <c r="L2" s="13" t="s">
        <v>10</v>
      </c>
      <c r="M2" s="4" t="s">
        <v>11</v>
      </c>
      <c r="N2" s="13" t="s">
        <v>29</v>
      </c>
      <c r="O2" s="59" t="s">
        <v>82</v>
      </c>
      <c r="P2" s="5" t="s">
        <v>83</v>
      </c>
    </row>
    <row r="3" spans="2:16" ht="39" thickBot="1">
      <c r="B3" s="6"/>
      <c r="C3" s="7"/>
      <c r="D3" s="8"/>
      <c r="E3" s="8"/>
      <c r="F3" s="8"/>
      <c r="G3" s="8"/>
      <c r="H3" s="8"/>
      <c r="I3" s="8"/>
      <c r="J3" s="9" t="s">
        <v>14</v>
      </c>
      <c r="K3" s="10" t="s">
        <v>15</v>
      </c>
      <c r="L3" s="9" t="s">
        <v>16</v>
      </c>
      <c r="M3" s="9" t="s">
        <v>17</v>
      </c>
      <c r="N3" s="9" t="s">
        <v>18</v>
      </c>
      <c r="O3" s="18"/>
      <c r="P3" s="9" t="s">
        <v>84</v>
      </c>
    </row>
    <row r="4" spans="2:16">
      <c r="B4" s="11"/>
      <c r="C4" s="11"/>
      <c r="D4" s="11"/>
      <c r="E4" s="11"/>
      <c r="F4" s="11"/>
      <c r="G4" s="11"/>
      <c r="H4" s="11"/>
      <c r="I4" s="11"/>
      <c r="J4" s="11"/>
      <c r="K4" s="11"/>
      <c r="L4" s="11"/>
      <c r="M4" s="11"/>
      <c r="N4" s="11"/>
      <c r="O4" s="11"/>
      <c r="P4" s="11"/>
    </row>
    <row r="5" spans="2:16">
      <c r="B5" s="12"/>
      <c r="C5" s="12"/>
      <c r="D5" s="12"/>
      <c r="E5" s="12"/>
      <c r="F5" s="12"/>
      <c r="G5" s="12"/>
      <c r="H5" s="12"/>
      <c r="I5" s="12"/>
      <c r="J5" s="12"/>
      <c r="K5" s="12"/>
      <c r="L5" s="12"/>
      <c r="M5" s="12"/>
      <c r="N5" s="12"/>
      <c r="O5" s="12"/>
      <c r="P5" s="12"/>
    </row>
    <row r="6" spans="2:16">
      <c r="B6" s="12"/>
      <c r="C6" s="12"/>
      <c r="D6" s="12"/>
      <c r="E6" s="12"/>
      <c r="F6" s="12"/>
      <c r="G6" s="12"/>
      <c r="H6" s="12"/>
      <c r="I6" s="12"/>
      <c r="J6" s="12"/>
      <c r="K6" s="12"/>
      <c r="L6" s="12"/>
      <c r="M6" s="12"/>
      <c r="N6" s="12"/>
      <c r="O6" s="12"/>
      <c r="P6" s="12"/>
    </row>
    <row r="7" spans="2:16">
      <c r="B7" s="12"/>
      <c r="C7" s="12"/>
      <c r="D7" s="12"/>
      <c r="E7" s="12"/>
      <c r="F7" s="12"/>
      <c r="G7" s="12"/>
      <c r="H7" s="12"/>
      <c r="I7" s="12"/>
      <c r="J7" s="12"/>
      <c r="K7" s="12"/>
      <c r="L7" s="12"/>
      <c r="M7" s="12"/>
      <c r="N7" s="12"/>
      <c r="O7" s="12"/>
      <c r="P7" s="12"/>
    </row>
    <row r="8" spans="2:16">
      <c r="B8" s="12"/>
      <c r="C8" s="12"/>
      <c r="D8" s="12"/>
      <c r="E8" s="12"/>
      <c r="F8" s="12"/>
      <c r="G8" s="12"/>
      <c r="H8" s="12"/>
      <c r="I8" s="12"/>
      <c r="J8" s="12"/>
      <c r="K8" s="12"/>
      <c r="L8" s="12"/>
      <c r="M8" s="12"/>
      <c r="N8" s="12"/>
      <c r="O8" s="12"/>
      <c r="P8" s="12"/>
    </row>
    <row r="9" spans="2:16">
      <c r="B9" s="12"/>
      <c r="C9" s="12"/>
      <c r="D9" s="12"/>
      <c r="E9" s="12"/>
      <c r="F9" s="12"/>
      <c r="G9" s="12"/>
      <c r="H9" s="12"/>
      <c r="I9" s="12"/>
      <c r="J9" s="12"/>
      <c r="K9" s="12"/>
      <c r="L9" s="12"/>
      <c r="M9" s="12"/>
      <c r="N9" s="12"/>
      <c r="O9" s="12"/>
      <c r="P9" s="12"/>
    </row>
    <row r="10" spans="2:16">
      <c r="B10" s="12"/>
      <c r="C10" s="12"/>
      <c r="D10" s="12"/>
      <c r="E10" s="12"/>
      <c r="F10" s="12"/>
      <c r="G10" s="12"/>
      <c r="H10" s="12"/>
      <c r="I10" s="12"/>
      <c r="J10" s="12"/>
      <c r="K10" s="12"/>
      <c r="L10" s="12"/>
      <c r="M10" s="12"/>
      <c r="N10" s="12"/>
      <c r="O10" s="12"/>
      <c r="P10" s="12"/>
    </row>
    <row r="11" spans="2:16">
      <c r="B11" s="12"/>
      <c r="C11" s="12"/>
      <c r="D11" s="12"/>
      <c r="E11" s="12"/>
      <c r="F11" s="12"/>
      <c r="G11" s="12"/>
      <c r="H11" s="12"/>
      <c r="I11" s="12"/>
      <c r="J11" s="12"/>
      <c r="K11" s="12"/>
      <c r="L11" s="12"/>
      <c r="M11" s="12"/>
      <c r="N11" s="12"/>
      <c r="O11" s="12"/>
      <c r="P11" s="12"/>
    </row>
    <row r="12" spans="2:16">
      <c r="B12" s="12"/>
      <c r="C12" s="12"/>
      <c r="D12" s="12"/>
      <c r="E12" s="12"/>
      <c r="F12" s="12"/>
      <c r="G12" s="12"/>
      <c r="H12" s="12"/>
      <c r="I12" s="12"/>
      <c r="J12" s="12"/>
      <c r="K12" s="12"/>
      <c r="L12" s="12"/>
      <c r="M12" s="12"/>
      <c r="N12" s="12"/>
      <c r="O12" s="12"/>
      <c r="P12" s="12"/>
    </row>
    <row r="13" spans="2:16">
      <c r="B13" s="12"/>
      <c r="C13" s="12"/>
      <c r="D13" s="12"/>
      <c r="E13" s="12"/>
      <c r="F13" s="12"/>
      <c r="G13" s="12"/>
      <c r="H13" s="12"/>
      <c r="I13" s="12"/>
      <c r="J13" s="12"/>
      <c r="K13" s="12"/>
      <c r="L13" s="12"/>
      <c r="M13" s="12"/>
      <c r="N13" s="12"/>
      <c r="O13" s="12"/>
      <c r="P13" s="12"/>
    </row>
    <row r="14" spans="2:16">
      <c r="B14" s="12"/>
      <c r="C14" s="12"/>
      <c r="D14" s="12"/>
      <c r="E14" s="12"/>
      <c r="F14" s="12"/>
      <c r="G14" s="12"/>
      <c r="H14" s="12"/>
      <c r="I14" s="12"/>
      <c r="J14" s="12"/>
      <c r="K14" s="12"/>
      <c r="L14" s="12"/>
      <c r="M14" s="12"/>
      <c r="N14" s="12"/>
      <c r="O14" s="12"/>
      <c r="P14" s="12"/>
    </row>
    <row r="15" spans="2:16">
      <c r="B15" s="12"/>
      <c r="C15" s="12"/>
      <c r="D15" s="12"/>
      <c r="E15" s="12"/>
      <c r="F15" s="12"/>
      <c r="G15" s="12"/>
      <c r="H15" s="12"/>
      <c r="I15" s="12"/>
      <c r="J15" s="12"/>
      <c r="K15" s="12"/>
      <c r="L15" s="12"/>
      <c r="M15" s="12"/>
      <c r="N15" s="12"/>
      <c r="O15" s="12"/>
      <c r="P15" s="12"/>
    </row>
    <row r="16" spans="2:16">
      <c r="B16" s="12"/>
      <c r="C16" s="12"/>
      <c r="D16" s="12"/>
      <c r="E16" s="12"/>
      <c r="F16" s="12"/>
      <c r="G16" s="12"/>
      <c r="H16" s="12"/>
      <c r="I16" s="12"/>
      <c r="J16" s="12"/>
      <c r="K16" s="12"/>
      <c r="L16" s="12"/>
      <c r="M16" s="12"/>
      <c r="N16" s="12"/>
      <c r="O16" s="12"/>
      <c r="P16" s="12"/>
    </row>
    <row r="17" spans="2:16">
      <c r="B17" s="12"/>
      <c r="C17" s="12"/>
      <c r="D17" s="12"/>
      <c r="E17" s="12"/>
      <c r="F17" s="12"/>
      <c r="G17" s="12"/>
      <c r="H17" s="12"/>
      <c r="I17" s="12"/>
      <c r="J17" s="12"/>
      <c r="K17" s="12"/>
      <c r="L17" s="12"/>
      <c r="M17" s="12"/>
      <c r="N17" s="12"/>
      <c r="O17" s="12"/>
      <c r="P17" s="12"/>
    </row>
    <row r="18" spans="2:16">
      <c r="B18" s="12"/>
      <c r="C18" s="12"/>
      <c r="D18" s="12"/>
      <c r="E18" s="12"/>
      <c r="F18" s="12"/>
      <c r="G18" s="12"/>
      <c r="H18" s="12"/>
      <c r="I18" s="12"/>
      <c r="J18" s="12"/>
      <c r="K18" s="12"/>
      <c r="L18" s="12"/>
      <c r="M18" s="12"/>
      <c r="N18" s="12"/>
      <c r="O18" s="12"/>
      <c r="P18" s="12"/>
    </row>
    <row r="19" spans="2:16">
      <c r="B19" s="12"/>
      <c r="C19" s="12"/>
      <c r="D19" s="12"/>
      <c r="E19" s="12"/>
      <c r="F19" s="12"/>
      <c r="G19" s="12"/>
      <c r="H19" s="12"/>
      <c r="I19" s="12"/>
      <c r="J19" s="12"/>
      <c r="K19" s="12"/>
      <c r="L19" s="12"/>
      <c r="M19" s="12"/>
      <c r="N19" s="12"/>
      <c r="O19" s="12"/>
      <c r="P19" s="12"/>
    </row>
    <row r="20" spans="2:16">
      <c r="B20" s="12"/>
      <c r="C20" s="12"/>
      <c r="D20" s="12"/>
      <c r="E20" s="12"/>
      <c r="F20" s="12"/>
      <c r="G20" s="12"/>
      <c r="H20" s="12"/>
      <c r="I20" s="12"/>
      <c r="J20" s="12"/>
      <c r="K20" s="12"/>
      <c r="L20" s="12"/>
      <c r="M20" s="12"/>
      <c r="N20" s="12"/>
      <c r="O20" s="12"/>
      <c r="P20" s="12"/>
    </row>
    <row r="21" spans="2:16">
      <c r="D21" t="s">
        <v>19</v>
      </c>
      <c r="E21" t="s">
        <v>31</v>
      </c>
    </row>
    <row r="22" spans="2:16">
      <c r="D22" t="s">
        <v>21</v>
      </c>
      <c r="E22" t="s">
        <v>22</v>
      </c>
    </row>
    <row r="23" spans="2:16">
      <c r="D23" t="s">
        <v>23</v>
      </c>
      <c r="E23" t="s">
        <v>24</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23"/>
  <sheetViews>
    <sheetView workbookViewId="0"/>
  </sheetViews>
  <sheetFormatPr defaultRowHeight="15"/>
  <cols>
    <col min="3" max="3" width="19.42578125" bestFit="1" customWidth="1"/>
    <col min="4" max="4" width="23.140625" customWidth="1"/>
    <col min="5" max="5" width="19.7109375" bestFit="1" customWidth="1"/>
    <col min="6" max="7" width="11.42578125" bestFit="1" customWidth="1"/>
    <col min="8" max="8" width="11.5703125" bestFit="1" customWidth="1"/>
    <col min="9" max="9" width="11.5703125" customWidth="1"/>
    <col min="10" max="10" width="23" customWidth="1"/>
    <col min="11" max="11" width="16.42578125" customWidth="1"/>
    <col min="12" max="12" width="21.85546875" bestFit="1" customWidth="1"/>
  </cols>
  <sheetData>
    <row r="1" spans="2:14" ht="15.75" thickBot="1"/>
    <row r="2" spans="2:14" ht="45">
      <c r="B2" s="1" t="s">
        <v>0</v>
      </c>
      <c r="C2" s="2" t="s">
        <v>1</v>
      </c>
      <c r="D2" s="3" t="s">
        <v>2</v>
      </c>
      <c r="E2" s="4" t="s">
        <v>3</v>
      </c>
      <c r="F2" s="4" t="s">
        <v>4</v>
      </c>
      <c r="G2" s="4" t="s">
        <v>5</v>
      </c>
      <c r="H2" s="4" t="s">
        <v>6</v>
      </c>
      <c r="I2" s="4" t="s">
        <v>7</v>
      </c>
      <c r="J2" s="4" t="s">
        <v>8</v>
      </c>
      <c r="K2" s="4" t="s">
        <v>9</v>
      </c>
      <c r="L2" s="4" t="s">
        <v>10</v>
      </c>
      <c r="M2" s="4" t="s">
        <v>11</v>
      </c>
      <c r="N2" s="5" t="s">
        <v>29</v>
      </c>
    </row>
    <row r="3" spans="2:14" ht="26.25" thickBot="1">
      <c r="B3" s="6"/>
      <c r="C3" s="7"/>
      <c r="D3" s="8"/>
      <c r="E3" s="8"/>
      <c r="F3" s="8"/>
      <c r="G3" s="8"/>
      <c r="H3" s="8"/>
      <c r="I3" s="8"/>
      <c r="J3" s="9" t="s">
        <v>14</v>
      </c>
      <c r="K3" s="10" t="s">
        <v>15</v>
      </c>
      <c r="L3" s="9" t="s">
        <v>16</v>
      </c>
      <c r="M3" s="9" t="s">
        <v>17</v>
      </c>
      <c r="N3" s="14" t="s">
        <v>18</v>
      </c>
    </row>
    <row r="4" spans="2:14">
      <c r="B4" s="11"/>
      <c r="C4" s="11"/>
      <c r="D4" s="11"/>
      <c r="E4" s="11"/>
      <c r="F4" s="11"/>
      <c r="G4" s="11"/>
      <c r="H4" s="11"/>
      <c r="I4" s="11"/>
      <c r="J4" s="11"/>
      <c r="K4" s="11"/>
      <c r="L4" s="11"/>
      <c r="M4" s="11"/>
      <c r="N4" s="11"/>
    </row>
    <row r="5" spans="2:14">
      <c r="B5" s="12"/>
      <c r="C5" s="12"/>
      <c r="D5" s="12"/>
      <c r="E5" s="12"/>
      <c r="F5" s="12"/>
      <c r="G5" s="12"/>
      <c r="H5" s="12"/>
      <c r="I5" s="12"/>
      <c r="J5" s="12"/>
      <c r="K5" s="12"/>
      <c r="L5" s="12"/>
      <c r="M5" s="12"/>
      <c r="N5" s="12"/>
    </row>
    <row r="6" spans="2:14">
      <c r="B6" s="12"/>
      <c r="C6" s="12"/>
      <c r="D6" s="12"/>
      <c r="E6" s="12"/>
      <c r="F6" s="12"/>
      <c r="G6" s="12"/>
      <c r="H6" s="12"/>
      <c r="I6" s="12"/>
      <c r="J6" s="12"/>
      <c r="K6" s="12"/>
      <c r="L6" s="12"/>
      <c r="M6" s="12"/>
      <c r="N6" s="12"/>
    </row>
    <row r="7" spans="2:14">
      <c r="B7" s="12"/>
      <c r="C7" s="12"/>
      <c r="D7" s="12"/>
      <c r="E7" s="12"/>
      <c r="F7" s="12"/>
      <c r="G7" s="12"/>
      <c r="H7" s="12"/>
      <c r="I7" s="12"/>
      <c r="J7" s="12"/>
      <c r="K7" s="12"/>
      <c r="L7" s="12"/>
      <c r="M7" s="12"/>
      <c r="N7" s="12"/>
    </row>
    <row r="8" spans="2:14">
      <c r="B8" s="12"/>
      <c r="C8" s="12"/>
      <c r="D8" s="12"/>
      <c r="E8" s="12"/>
      <c r="F8" s="12"/>
      <c r="G8" s="12"/>
      <c r="H8" s="12"/>
      <c r="I8" s="12"/>
      <c r="J8" s="12"/>
      <c r="K8" s="12"/>
      <c r="L8" s="12"/>
      <c r="M8" s="12"/>
      <c r="N8" s="12"/>
    </row>
    <row r="9" spans="2:14">
      <c r="B9" s="12"/>
      <c r="C9" s="12"/>
      <c r="D9" s="12"/>
      <c r="E9" s="12"/>
      <c r="F9" s="12"/>
      <c r="G9" s="12"/>
      <c r="H9" s="12"/>
      <c r="I9" s="12"/>
      <c r="J9" s="12"/>
      <c r="K9" s="12"/>
      <c r="L9" s="12"/>
      <c r="M9" s="12"/>
      <c r="N9" s="12"/>
    </row>
    <row r="10" spans="2:14">
      <c r="B10" s="12"/>
      <c r="C10" s="12"/>
      <c r="D10" s="12"/>
      <c r="E10" s="12"/>
      <c r="F10" s="12"/>
      <c r="G10" s="12"/>
      <c r="H10" s="12"/>
      <c r="I10" s="12"/>
      <c r="J10" s="12"/>
      <c r="K10" s="12"/>
      <c r="L10" s="12"/>
      <c r="M10" s="12"/>
      <c r="N10" s="12"/>
    </row>
    <row r="11" spans="2:14">
      <c r="B11" s="12"/>
      <c r="C11" s="12"/>
      <c r="D11" s="12"/>
      <c r="E11" s="12"/>
      <c r="F11" s="12"/>
      <c r="G11" s="12"/>
      <c r="H11" s="12"/>
      <c r="I11" s="12"/>
      <c r="J11" s="12"/>
      <c r="K11" s="12"/>
      <c r="L11" s="12"/>
      <c r="M11" s="12"/>
      <c r="N11" s="12"/>
    </row>
    <row r="12" spans="2:14">
      <c r="B12" s="12"/>
      <c r="C12" s="12"/>
      <c r="D12" s="12"/>
      <c r="E12" s="12"/>
      <c r="F12" s="12"/>
      <c r="G12" s="12"/>
      <c r="H12" s="12"/>
      <c r="I12" s="12"/>
      <c r="J12" s="12"/>
      <c r="K12" s="12"/>
      <c r="L12" s="12"/>
      <c r="M12" s="12"/>
      <c r="N12" s="12"/>
    </row>
    <row r="13" spans="2:14">
      <c r="B13" s="12"/>
      <c r="C13" s="12"/>
      <c r="D13" s="12"/>
      <c r="E13" s="12"/>
      <c r="F13" s="12"/>
      <c r="G13" s="12"/>
      <c r="H13" s="12"/>
      <c r="I13" s="12"/>
      <c r="J13" s="12"/>
      <c r="K13" s="12"/>
      <c r="L13" s="12"/>
      <c r="M13" s="12"/>
      <c r="N13" s="12"/>
    </row>
    <row r="14" spans="2:14">
      <c r="B14" s="12"/>
      <c r="C14" s="12"/>
      <c r="D14" s="12"/>
      <c r="E14" s="12"/>
      <c r="F14" s="12"/>
      <c r="G14" s="12"/>
      <c r="H14" s="12"/>
      <c r="I14" s="12"/>
      <c r="J14" s="12"/>
      <c r="K14" s="12"/>
      <c r="L14" s="12"/>
      <c r="M14" s="12"/>
      <c r="N14" s="12"/>
    </row>
    <row r="15" spans="2:14">
      <c r="B15" s="12"/>
      <c r="C15" s="12"/>
      <c r="D15" s="12"/>
      <c r="E15" s="12"/>
      <c r="F15" s="12"/>
      <c r="G15" s="12"/>
      <c r="H15" s="12"/>
      <c r="I15" s="12"/>
      <c r="J15" s="12"/>
      <c r="K15" s="12"/>
      <c r="L15" s="12"/>
      <c r="M15" s="12"/>
      <c r="N15" s="12"/>
    </row>
    <row r="16" spans="2:14">
      <c r="B16" s="12"/>
      <c r="C16" s="12"/>
      <c r="D16" s="12"/>
      <c r="E16" s="12"/>
      <c r="F16" s="12"/>
      <c r="G16" s="12"/>
      <c r="H16" s="12"/>
      <c r="I16" s="12"/>
      <c r="J16" s="12"/>
      <c r="K16" s="12"/>
      <c r="L16" s="12"/>
      <c r="M16" s="12"/>
      <c r="N16" s="12"/>
    </row>
    <row r="17" spans="2:14">
      <c r="B17" s="12"/>
      <c r="C17" s="12"/>
      <c r="D17" s="12"/>
      <c r="E17" s="12"/>
      <c r="F17" s="12"/>
      <c r="G17" s="12"/>
      <c r="H17" s="12"/>
      <c r="I17" s="12"/>
      <c r="J17" s="12"/>
      <c r="K17" s="12"/>
      <c r="L17" s="12"/>
      <c r="M17" s="12"/>
      <c r="N17" s="12"/>
    </row>
    <row r="18" spans="2:14">
      <c r="B18" s="12"/>
      <c r="C18" s="12"/>
      <c r="D18" s="12"/>
      <c r="E18" s="12"/>
      <c r="F18" s="12"/>
      <c r="G18" s="12"/>
      <c r="H18" s="12"/>
      <c r="I18" s="12"/>
      <c r="J18" s="12"/>
      <c r="K18" s="12"/>
      <c r="L18" s="12"/>
      <c r="M18" s="12"/>
      <c r="N18" s="12"/>
    </row>
    <row r="19" spans="2:14">
      <c r="B19" s="12"/>
      <c r="C19" s="12"/>
      <c r="D19" s="12"/>
      <c r="E19" s="12"/>
      <c r="F19" s="12"/>
      <c r="G19" s="12"/>
      <c r="H19" s="12"/>
      <c r="I19" s="12"/>
      <c r="J19" s="12"/>
      <c r="K19" s="12"/>
      <c r="L19" s="12"/>
      <c r="M19" s="12"/>
      <c r="N19" s="12"/>
    </row>
    <row r="20" spans="2:14">
      <c r="B20" s="12"/>
      <c r="C20" s="12"/>
      <c r="D20" s="12"/>
      <c r="E20" s="12"/>
      <c r="F20" s="12"/>
      <c r="G20" s="12"/>
      <c r="H20" s="12"/>
      <c r="I20" s="12"/>
      <c r="J20" s="12"/>
      <c r="K20" s="12"/>
      <c r="L20" s="12"/>
      <c r="M20" s="12"/>
      <c r="N20" s="12"/>
    </row>
    <row r="21" spans="2:14">
      <c r="D21" t="s">
        <v>19</v>
      </c>
      <c r="E21" t="s">
        <v>30</v>
      </c>
    </row>
    <row r="22" spans="2:14">
      <c r="D22" t="s">
        <v>21</v>
      </c>
      <c r="E22" t="s">
        <v>22</v>
      </c>
    </row>
    <row r="23" spans="2:14">
      <c r="D23" t="s">
        <v>23</v>
      </c>
      <c r="E23"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23"/>
  <sheetViews>
    <sheetView workbookViewId="0"/>
  </sheetViews>
  <sheetFormatPr defaultRowHeight="15"/>
  <cols>
    <col min="3" max="3" width="19.42578125" bestFit="1" customWidth="1"/>
    <col min="4" max="4" width="23.140625" customWidth="1"/>
    <col min="5" max="5" width="19.7109375" bestFit="1" customWidth="1"/>
    <col min="6" max="7" width="11.42578125" bestFit="1" customWidth="1"/>
    <col min="8" max="8" width="11.5703125" bestFit="1" customWidth="1"/>
    <col min="9" max="9" width="11.5703125" customWidth="1"/>
    <col min="10" max="10" width="23" customWidth="1"/>
    <col min="11" max="11" width="16.42578125" customWidth="1"/>
    <col min="12" max="12" width="21.85546875" bestFit="1" customWidth="1"/>
  </cols>
  <sheetData>
    <row r="1" spans="2:14" ht="15.75" thickBot="1"/>
    <row r="2" spans="2:14" ht="45">
      <c r="B2" s="1" t="s">
        <v>0</v>
      </c>
      <c r="C2" s="2" t="s">
        <v>1</v>
      </c>
      <c r="D2" s="3" t="s">
        <v>2</v>
      </c>
      <c r="E2" s="4" t="s">
        <v>3</v>
      </c>
      <c r="F2" s="4" t="s">
        <v>4</v>
      </c>
      <c r="G2" s="4" t="s">
        <v>5</v>
      </c>
      <c r="H2" s="4" t="s">
        <v>6</v>
      </c>
      <c r="I2" s="4" t="s">
        <v>7</v>
      </c>
      <c r="J2" s="4" t="s">
        <v>8</v>
      </c>
      <c r="K2" s="4" t="s">
        <v>9</v>
      </c>
      <c r="L2" s="4" t="s">
        <v>10</v>
      </c>
      <c r="M2" s="4" t="s">
        <v>11</v>
      </c>
      <c r="N2" s="5" t="s">
        <v>29</v>
      </c>
    </row>
    <row r="3" spans="2:14" ht="26.25" thickBot="1">
      <c r="B3" s="6"/>
      <c r="C3" s="7"/>
      <c r="D3" s="8"/>
      <c r="E3" s="8"/>
      <c r="F3" s="8"/>
      <c r="G3" s="8"/>
      <c r="H3" s="8"/>
      <c r="I3" s="8"/>
      <c r="J3" s="9" t="s">
        <v>14</v>
      </c>
      <c r="K3" s="10" t="s">
        <v>15</v>
      </c>
      <c r="L3" s="9" t="s">
        <v>16</v>
      </c>
      <c r="M3" s="9" t="s">
        <v>17</v>
      </c>
      <c r="N3" s="14" t="s">
        <v>18</v>
      </c>
    </row>
    <row r="4" spans="2:14">
      <c r="B4" s="11"/>
      <c r="C4" s="11"/>
      <c r="D4" s="11"/>
      <c r="E4" s="11"/>
      <c r="F4" s="11"/>
      <c r="G4" s="11"/>
      <c r="H4" s="11"/>
      <c r="I4" s="11"/>
      <c r="J4" s="11"/>
      <c r="K4" s="11"/>
      <c r="L4" s="11"/>
      <c r="M4" s="11"/>
      <c r="N4" s="11"/>
    </row>
    <row r="5" spans="2:14">
      <c r="B5" s="12"/>
      <c r="C5" s="12"/>
      <c r="D5" s="12"/>
      <c r="E5" s="12"/>
      <c r="F5" s="12"/>
      <c r="G5" s="12"/>
      <c r="H5" s="12"/>
      <c r="I5" s="12"/>
      <c r="J5" s="12"/>
      <c r="K5" s="12"/>
      <c r="L5" s="12"/>
      <c r="M5" s="12"/>
      <c r="N5" s="12"/>
    </row>
    <row r="6" spans="2:14">
      <c r="B6" s="12"/>
      <c r="C6" s="12"/>
      <c r="D6" s="12"/>
      <c r="E6" s="12"/>
      <c r="F6" s="12"/>
      <c r="G6" s="12"/>
      <c r="H6" s="12"/>
      <c r="I6" s="12"/>
      <c r="J6" s="12"/>
      <c r="K6" s="12"/>
      <c r="L6" s="12"/>
      <c r="M6" s="12"/>
      <c r="N6" s="12"/>
    </row>
    <row r="7" spans="2:14">
      <c r="B7" s="12"/>
      <c r="C7" s="12"/>
      <c r="D7" s="12"/>
      <c r="E7" s="12"/>
      <c r="F7" s="12"/>
      <c r="G7" s="12"/>
      <c r="H7" s="12"/>
      <c r="I7" s="12"/>
      <c r="J7" s="12"/>
      <c r="K7" s="12"/>
      <c r="L7" s="12"/>
      <c r="M7" s="12"/>
      <c r="N7" s="12"/>
    </row>
    <row r="8" spans="2:14">
      <c r="B8" s="12"/>
      <c r="C8" s="12"/>
      <c r="D8" s="12"/>
      <c r="E8" s="12"/>
      <c r="F8" s="12"/>
      <c r="G8" s="12"/>
      <c r="H8" s="12"/>
      <c r="I8" s="12"/>
      <c r="J8" s="12"/>
      <c r="K8" s="12"/>
      <c r="L8" s="12"/>
      <c r="M8" s="12"/>
      <c r="N8" s="12"/>
    </row>
    <row r="9" spans="2:14">
      <c r="B9" s="12"/>
      <c r="C9" s="12"/>
      <c r="D9" s="12"/>
      <c r="E9" s="12"/>
      <c r="F9" s="12"/>
      <c r="G9" s="12"/>
      <c r="H9" s="12"/>
      <c r="I9" s="12"/>
      <c r="J9" s="12"/>
      <c r="K9" s="12"/>
      <c r="L9" s="12"/>
      <c r="M9" s="12"/>
      <c r="N9" s="12"/>
    </row>
    <row r="10" spans="2:14">
      <c r="B10" s="12"/>
      <c r="C10" s="12"/>
      <c r="D10" s="12"/>
      <c r="E10" s="12"/>
      <c r="F10" s="12"/>
      <c r="G10" s="12"/>
      <c r="H10" s="12"/>
      <c r="I10" s="12"/>
      <c r="J10" s="12"/>
      <c r="K10" s="12"/>
      <c r="L10" s="12"/>
      <c r="M10" s="12"/>
      <c r="N10" s="12"/>
    </row>
    <row r="11" spans="2:14">
      <c r="B11" s="12"/>
      <c r="C11" s="12"/>
      <c r="D11" s="12"/>
      <c r="E11" s="12"/>
      <c r="F11" s="12"/>
      <c r="G11" s="12"/>
      <c r="H11" s="12"/>
      <c r="I11" s="12"/>
      <c r="J11" s="12"/>
      <c r="K11" s="12"/>
      <c r="L11" s="12"/>
      <c r="M11" s="12"/>
      <c r="N11" s="12"/>
    </row>
    <row r="12" spans="2:14">
      <c r="B12" s="12"/>
      <c r="C12" s="12"/>
      <c r="D12" s="12"/>
      <c r="E12" s="12"/>
      <c r="F12" s="12"/>
      <c r="G12" s="12"/>
      <c r="H12" s="12"/>
      <c r="I12" s="12"/>
      <c r="J12" s="12"/>
      <c r="K12" s="12"/>
      <c r="L12" s="12"/>
      <c r="M12" s="12"/>
      <c r="N12" s="12"/>
    </row>
    <row r="13" spans="2:14">
      <c r="B13" s="12"/>
      <c r="C13" s="12"/>
      <c r="D13" s="12"/>
      <c r="E13" s="12"/>
      <c r="F13" s="12"/>
      <c r="G13" s="12"/>
      <c r="H13" s="12"/>
      <c r="I13" s="12"/>
      <c r="J13" s="12"/>
      <c r="K13" s="12"/>
      <c r="L13" s="12"/>
      <c r="M13" s="12"/>
      <c r="N13" s="12"/>
    </row>
    <row r="14" spans="2:14">
      <c r="B14" s="12"/>
      <c r="C14" s="12"/>
      <c r="D14" s="12"/>
      <c r="E14" s="12"/>
      <c r="F14" s="12"/>
      <c r="G14" s="12"/>
      <c r="H14" s="12"/>
      <c r="I14" s="12"/>
      <c r="J14" s="12"/>
      <c r="K14" s="12"/>
      <c r="L14" s="12"/>
      <c r="M14" s="12"/>
      <c r="N14" s="12"/>
    </row>
    <row r="15" spans="2:14">
      <c r="B15" s="12"/>
      <c r="C15" s="12"/>
      <c r="D15" s="12"/>
      <c r="E15" s="12"/>
      <c r="F15" s="12"/>
      <c r="G15" s="12"/>
      <c r="H15" s="12"/>
      <c r="I15" s="12"/>
      <c r="J15" s="12"/>
      <c r="K15" s="12"/>
      <c r="L15" s="12"/>
      <c r="M15" s="12"/>
      <c r="N15" s="12"/>
    </row>
    <row r="16" spans="2:14">
      <c r="B16" s="12"/>
      <c r="C16" s="12"/>
      <c r="D16" s="12"/>
      <c r="E16" s="12"/>
      <c r="F16" s="12"/>
      <c r="G16" s="12"/>
      <c r="H16" s="12"/>
      <c r="I16" s="12"/>
      <c r="J16" s="12"/>
      <c r="K16" s="12"/>
      <c r="L16" s="12"/>
      <c r="M16" s="12"/>
      <c r="N16" s="12"/>
    </row>
    <row r="17" spans="2:14">
      <c r="B17" s="12"/>
      <c r="C17" s="12"/>
      <c r="D17" s="12"/>
      <c r="E17" s="12"/>
      <c r="F17" s="12"/>
      <c r="G17" s="12"/>
      <c r="H17" s="12"/>
      <c r="I17" s="12"/>
      <c r="J17" s="12"/>
      <c r="K17" s="12"/>
      <c r="L17" s="12"/>
      <c r="M17" s="12"/>
      <c r="N17" s="12"/>
    </row>
    <row r="18" spans="2:14">
      <c r="B18" s="12"/>
      <c r="C18" s="12"/>
      <c r="D18" s="12"/>
      <c r="E18" s="12"/>
      <c r="F18" s="12"/>
      <c r="G18" s="12"/>
      <c r="H18" s="12"/>
      <c r="I18" s="12"/>
      <c r="J18" s="12"/>
      <c r="K18" s="12"/>
      <c r="L18" s="12"/>
      <c r="M18" s="12"/>
      <c r="N18" s="12"/>
    </row>
    <row r="19" spans="2:14">
      <c r="B19" s="12"/>
      <c r="C19" s="12"/>
      <c r="D19" s="12"/>
      <c r="E19" s="12"/>
      <c r="F19" s="12"/>
      <c r="G19" s="12"/>
      <c r="H19" s="12"/>
      <c r="I19" s="12"/>
      <c r="J19" s="12"/>
      <c r="K19" s="12"/>
      <c r="L19" s="12"/>
      <c r="M19" s="12"/>
      <c r="N19" s="12"/>
    </row>
    <row r="20" spans="2:14">
      <c r="B20" s="12"/>
      <c r="C20" s="12"/>
      <c r="D20" s="12"/>
      <c r="E20" s="12"/>
      <c r="F20" s="12"/>
      <c r="G20" s="12"/>
      <c r="H20" s="12"/>
      <c r="I20" s="12"/>
      <c r="J20" s="12"/>
      <c r="K20" s="12"/>
      <c r="L20" s="12"/>
      <c r="M20" s="12"/>
      <c r="N20" s="12"/>
    </row>
    <row r="21" spans="2:14">
      <c r="D21" t="s">
        <v>19</v>
      </c>
      <c r="E21" t="s">
        <v>30</v>
      </c>
    </row>
    <row r="22" spans="2:14">
      <c r="D22" t="s">
        <v>21</v>
      </c>
      <c r="E22" t="s">
        <v>22</v>
      </c>
    </row>
    <row r="23" spans="2:14">
      <c r="D23" t="s">
        <v>23</v>
      </c>
      <c r="E23" t="s">
        <v>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workbookViewId="0">
      <selection activeCell="C8" sqref="C8"/>
    </sheetView>
  </sheetViews>
  <sheetFormatPr defaultRowHeight="15"/>
  <cols>
    <col min="1" max="1" width="38.42578125" bestFit="1" customWidth="1"/>
    <col min="2" max="2" width="81.7109375" bestFit="1" customWidth="1"/>
  </cols>
  <sheetData>
    <row r="1" spans="1:3">
      <c r="C1" t="s">
        <v>32</v>
      </c>
    </row>
    <row r="2" spans="1:3">
      <c r="A2" t="s">
        <v>33</v>
      </c>
      <c r="B2" t="s">
        <v>34</v>
      </c>
      <c r="C2" s="19">
        <v>2.5000000000000001E-3</v>
      </c>
    </row>
    <row r="3" spans="1:3">
      <c r="A3" t="s">
        <v>35</v>
      </c>
      <c r="B3" t="s">
        <v>36</v>
      </c>
      <c r="C3" s="19">
        <v>5.0000000000000001E-3</v>
      </c>
    </row>
    <row r="4" spans="1:3">
      <c r="A4" t="s">
        <v>37</v>
      </c>
      <c r="B4" t="s">
        <v>38</v>
      </c>
      <c r="C4" s="19">
        <v>3.25</v>
      </c>
    </row>
    <row r="5" spans="1:3">
      <c r="A5" t="s">
        <v>39</v>
      </c>
      <c r="B5" t="s">
        <v>40</v>
      </c>
      <c r="C5" s="19">
        <v>3.25</v>
      </c>
    </row>
    <row r="6" spans="1:3">
      <c r="A6" t="s">
        <v>41</v>
      </c>
      <c r="B6" t="s">
        <v>42</v>
      </c>
      <c r="C6" s="19">
        <v>3.25</v>
      </c>
    </row>
    <row r="7" spans="1:3">
      <c r="A7" t="s">
        <v>264</v>
      </c>
      <c r="B7" t="s">
        <v>263</v>
      </c>
      <c r="C7" s="19">
        <v>3.25</v>
      </c>
    </row>
    <row r="8" spans="1:3">
      <c r="C8" s="16"/>
    </row>
    <row r="9" spans="1:3">
      <c r="C9" s="16"/>
    </row>
    <row r="10" spans="1:3">
      <c r="A10" t="s">
        <v>43</v>
      </c>
      <c r="B10" s="57" t="s">
        <v>43</v>
      </c>
      <c r="C10" s="16"/>
    </row>
    <row r="11" spans="1:3">
      <c r="C11" s="17"/>
    </row>
    <row r="12" spans="1:3">
      <c r="A12" t="s">
        <v>44</v>
      </c>
      <c r="B12" t="s">
        <v>45</v>
      </c>
      <c r="C12" s="19"/>
    </row>
    <row r="13" spans="1:3">
      <c r="A13" t="s">
        <v>46</v>
      </c>
      <c r="B13" t="s">
        <v>47</v>
      </c>
      <c r="C13" s="19"/>
    </row>
    <row r="14" spans="1:3">
      <c r="A14" t="s">
        <v>48</v>
      </c>
      <c r="B14" t="s">
        <v>49</v>
      </c>
      <c r="C14" s="19"/>
    </row>
    <row r="15" spans="1:3">
      <c r="A15" t="s">
        <v>50</v>
      </c>
      <c r="B15" t="s">
        <v>51</v>
      </c>
      <c r="C15" s="19"/>
    </row>
    <row r="16" spans="1:3">
      <c r="C16" s="19"/>
    </row>
    <row r="17" spans="1:3">
      <c r="A17" t="s">
        <v>52</v>
      </c>
      <c r="B17" t="s">
        <v>53</v>
      </c>
      <c r="C17" s="19"/>
    </row>
    <row r="18" spans="1:3">
      <c r="A18" t="s">
        <v>54</v>
      </c>
      <c r="B18" t="s">
        <v>55</v>
      </c>
      <c r="C18" s="19"/>
    </row>
    <row r="19" spans="1:3">
      <c r="A19" t="s">
        <v>56</v>
      </c>
      <c r="B19" t="s">
        <v>57</v>
      </c>
      <c r="C19" s="19"/>
    </row>
    <row r="20" spans="1:3">
      <c r="A20" t="s">
        <v>58</v>
      </c>
      <c r="B20" t="s">
        <v>59</v>
      </c>
      <c r="C20" s="19"/>
    </row>
    <row r="21" spans="1:3">
      <c r="A21" t="s">
        <v>60</v>
      </c>
      <c r="B21" t="s">
        <v>61</v>
      </c>
      <c r="C21" s="19"/>
    </row>
    <row r="22" spans="1:3">
      <c r="A22" t="s">
        <v>62</v>
      </c>
      <c r="B22" t="s">
        <v>63</v>
      </c>
      <c r="C22" s="19"/>
    </row>
    <row r="23" spans="1:3">
      <c r="A23" t="s">
        <v>64</v>
      </c>
      <c r="B23" t="s">
        <v>65</v>
      </c>
      <c r="C23" s="19"/>
    </row>
    <row r="24" spans="1:3">
      <c r="A24" t="s">
        <v>66</v>
      </c>
      <c r="B24" t="s">
        <v>67</v>
      </c>
      <c r="C24" s="19"/>
    </row>
    <row r="25" spans="1:3">
      <c r="A25" t="s">
        <v>68</v>
      </c>
      <c r="B25" t="s">
        <v>69</v>
      </c>
      <c r="C25" s="19"/>
    </row>
    <row r="26" spans="1:3">
      <c r="A26" t="s">
        <v>70</v>
      </c>
      <c r="B26" t="s">
        <v>71</v>
      </c>
      <c r="C26" s="19"/>
    </row>
    <row r="27" spans="1:3">
      <c r="A27" t="s">
        <v>72</v>
      </c>
      <c r="B27" t="s">
        <v>73</v>
      </c>
      <c r="C27" s="19"/>
    </row>
    <row r="28" spans="1:3">
      <c r="A28" t="s">
        <v>74</v>
      </c>
      <c r="B28" t="s">
        <v>75</v>
      </c>
      <c r="C28" s="19"/>
    </row>
  </sheetData>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
  <sheetViews>
    <sheetView workbookViewId="0">
      <selection activeCell="I43" sqref="I43"/>
    </sheetView>
  </sheetViews>
  <sheetFormatPr defaultRowHeight="15"/>
  <cols>
    <col min="1" max="1" width="18.28515625" bestFit="1" customWidth="1"/>
    <col min="2" max="2" width="29.7109375" bestFit="1" customWidth="1"/>
    <col min="3" max="3" width="19.5703125" bestFit="1" customWidth="1"/>
  </cols>
  <sheetData>
    <row r="1" spans="1:3">
      <c r="A1" t="s">
        <v>141</v>
      </c>
      <c r="B1" t="s">
        <v>142</v>
      </c>
      <c r="C1" t="s">
        <v>143</v>
      </c>
    </row>
    <row r="2" spans="1:3">
      <c r="A2" t="s">
        <v>144</v>
      </c>
      <c r="B2" t="s">
        <v>145</v>
      </c>
      <c r="C2" t="s">
        <v>146</v>
      </c>
    </row>
    <row r="3" spans="1:3">
      <c r="A3" t="s">
        <v>141</v>
      </c>
      <c r="B3" t="s">
        <v>142</v>
      </c>
      <c r="C3" t="s">
        <v>143</v>
      </c>
    </row>
    <row r="4" spans="1:3">
      <c r="A4" t="s">
        <v>182</v>
      </c>
      <c r="B4" t="s">
        <v>185</v>
      </c>
      <c r="C4" s="56">
        <v>22</v>
      </c>
    </row>
    <row r="5" spans="1:3">
      <c r="A5" t="s">
        <v>182</v>
      </c>
      <c r="B5" t="s">
        <v>183</v>
      </c>
      <c r="C5" s="56">
        <v>10.28</v>
      </c>
    </row>
    <row r="6" spans="1:3">
      <c r="A6" t="s">
        <v>182</v>
      </c>
      <c r="B6" t="s">
        <v>186</v>
      </c>
      <c r="C6" s="56">
        <v>0</v>
      </c>
    </row>
    <row r="7" spans="1:3">
      <c r="A7" t="s">
        <v>182</v>
      </c>
      <c r="B7" t="s">
        <v>184</v>
      </c>
      <c r="C7" s="56">
        <v>0</v>
      </c>
    </row>
    <row r="8" spans="1:3">
      <c r="A8" t="s">
        <v>172</v>
      </c>
      <c r="B8" t="s">
        <v>174</v>
      </c>
      <c r="C8" s="56">
        <v>22</v>
      </c>
    </row>
    <row r="9" spans="1:3">
      <c r="A9" t="s">
        <v>172</v>
      </c>
      <c r="B9" t="s">
        <v>176</v>
      </c>
      <c r="C9" s="56">
        <v>15.04</v>
      </c>
    </row>
    <row r="10" spans="1:3">
      <c r="A10" t="s">
        <v>172</v>
      </c>
      <c r="B10" t="s">
        <v>175</v>
      </c>
      <c r="C10" s="56">
        <v>0</v>
      </c>
    </row>
    <row r="11" spans="1:3">
      <c r="A11" t="s">
        <v>172</v>
      </c>
      <c r="B11" t="s">
        <v>173</v>
      </c>
      <c r="C11" s="56">
        <v>0</v>
      </c>
    </row>
    <row r="12" spans="1:3">
      <c r="A12" t="s">
        <v>147</v>
      </c>
      <c r="B12" t="s">
        <v>151</v>
      </c>
      <c r="C12" s="56">
        <v>28</v>
      </c>
    </row>
    <row r="13" spans="1:3">
      <c r="A13" t="s">
        <v>147</v>
      </c>
      <c r="B13" t="s">
        <v>150</v>
      </c>
      <c r="C13" s="56">
        <v>17.809999999999999</v>
      </c>
    </row>
    <row r="14" spans="1:3">
      <c r="A14" t="s">
        <v>147</v>
      </c>
      <c r="B14" t="s">
        <v>149</v>
      </c>
      <c r="C14" s="56">
        <v>0</v>
      </c>
    </row>
    <row r="15" spans="1:3">
      <c r="A15" t="s">
        <v>147</v>
      </c>
      <c r="B15" t="s">
        <v>148</v>
      </c>
      <c r="C15" s="56">
        <v>0</v>
      </c>
    </row>
    <row r="16" spans="1:3">
      <c r="A16" t="s">
        <v>187</v>
      </c>
      <c r="B16" t="s">
        <v>190</v>
      </c>
      <c r="C16" s="56">
        <v>48</v>
      </c>
    </row>
    <row r="17" spans="1:3">
      <c r="A17" t="s">
        <v>187</v>
      </c>
      <c r="B17" t="s">
        <v>188</v>
      </c>
      <c r="C17" s="56">
        <v>27.11</v>
      </c>
    </row>
    <row r="18" spans="1:3">
      <c r="A18" t="s">
        <v>187</v>
      </c>
      <c r="B18" t="s">
        <v>189</v>
      </c>
      <c r="C18" s="56">
        <v>0</v>
      </c>
    </row>
    <row r="19" spans="1:3">
      <c r="A19" t="s">
        <v>187</v>
      </c>
      <c r="B19" t="s">
        <v>191</v>
      </c>
      <c r="C19" s="56">
        <v>0</v>
      </c>
    </row>
    <row r="20" spans="1:3">
      <c r="A20" t="s">
        <v>167</v>
      </c>
      <c r="B20" t="s">
        <v>170</v>
      </c>
      <c r="C20" s="56">
        <v>9999</v>
      </c>
    </row>
    <row r="21" spans="1:3">
      <c r="A21" t="s">
        <v>167</v>
      </c>
      <c r="B21" t="s">
        <v>169</v>
      </c>
      <c r="C21" s="56">
        <v>13.27</v>
      </c>
    </row>
    <row r="22" spans="1:3">
      <c r="A22" t="s">
        <v>167</v>
      </c>
      <c r="B22" t="s">
        <v>171</v>
      </c>
      <c r="C22" s="56">
        <v>0</v>
      </c>
    </row>
    <row r="23" spans="1:3">
      <c r="A23" t="s">
        <v>167</v>
      </c>
      <c r="B23" t="s">
        <v>168</v>
      </c>
      <c r="C23" s="56">
        <v>0</v>
      </c>
    </row>
    <row r="24" spans="1:3">
      <c r="A24" t="s">
        <v>157</v>
      </c>
      <c r="B24" t="s">
        <v>158</v>
      </c>
      <c r="C24" s="56">
        <v>9999</v>
      </c>
    </row>
    <row r="25" spans="1:3">
      <c r="A25" t="s">
        <v>157</v>
      </c>
      <c r="B25" t="s">
        <v>161</v>
      </c>
      <c r="C25" s="56">
        <v>14.2</v>
      </c>
    </row>
    <row r="26" spans="1:3">
      <c r="A26" t="s">
        <v>157</v>
      </c>
      <c r="B26" t="s">
        <v>160</v>
      </c>
      <c r="C26" s="56">
        <v>0</v>
      </c>
    </row>
    <row r="27" spans="1:3">
      <c r="A27" t="s">
        <v>157</v>
      </c>
      <c r="B27" t="s">
        <v>159</v>
      </c>
      <c r="C27" s="56">
        <v>0</v>
      </c>
    </row>
    <row r="28" spans="1:3">
      <c r="A28" t="s">
        <v>177</v>
      </c>
      <c r="B28" t="s">
        <v>181</v>
      </c>
      <c r="C28" s="56">
        <v>11</v>
      </c>
    </row>
    <row r="29" spans="1:3">
      <c r="A29" t="s">
        <v>177</v>
      </c>
      <c r="B29" t="s">
        <v>180</v>
      </c>
      <c r="C29" s="56">
        <v>5.72</v>
      </c>
    </row>
    <row r="30" spans="1:3">
      <c r="A30" t="s">
        <v>177</v>
      </c>
      <c r="B30" t="s">
        <v>179</v>
      </c>
      <c r="C30" s="56">
        <v>0</v>
      </c>
    </row>
    <row r="31" spans="1:3">
      <c r="A31" t="s">
        <v>177</v>
      </c>
      <c r="B31" t="s">
        <v>178</v>
      </c>
      <c r="C31" s="56">
        <v>0</v>
      </c>
    </row>
    <row r="32" spans="1:3">
      <c r="A32" t="s">
        <v>152</v>
      </c>
      <c r="B32" t="s">
        <v>153</v>
      </c>
      <c r="C32">
        <v>11</v>
      </c>
    </row>
    <row r="33" spans="1:3">
      <c r="A33" t="s">
        <v>152</v>
      </c>
      <c r="B33" t="s">
        <v>156</v>
      </c>
      <c r="C33">
        <v>6.57</v>
      </c>
    </row>
    <row r="34" spans="1:3">
      <c r="A34" t="s">
        <v>152</v>
      </c>
      <c r="B34" t="s">
        <v>155</v>
      </c>
      <c r="C34">
        <v>0</v>
      </c>
    </row>
    <row r="35" spans="1:3">
      <c r="A35" t="s">
        <v>152</v>
      </c>
      <c r="B35" t="s">
        <v>154</v>
      </c>
      <c r="C35">
        <v>0</v>
      </c>
    </row>
    <row r="36" spans="1:3">
      <c r="A36" t="s">
        <v>162</v>
      </c>
      <c r="B36" t="s">
        <v>164</v>
      </c>
      <c r="C36">
        <v>10</v>
      </c>
    </row>
    <row r="37" spans="1:3">
      <c r="A37" t="s">
        <v>162</v>
      </c>
      <c r="B37" t="s">
        <v>166</v>
      </c>
      <c r="C37">
        <v>5.83</v>
      </c>
    </row>
    <row r="38" spans="1:3">
      <c r="A38" t="s">
        <v>162</v>
      </c>
      <c r="B38" t="s">
        <v>165</v>
      </c>
      <c r="C38">
        <v>0</v>
      </c>
    </row>
    <row r="39" spans="1:3">
      <c r="A39" t="s">
        <v>162</v>
      </c>
      <c r="B39" t="s">
        <v>163</v>
      </c>
      <c r="C39">
        <v>0</v>
      </c>
    </row>
  </sheetData>
  <autoFilter ref="A2:C2">
    <sortState ref="A3:C39">
      <sortCondition ref="B2"/>
    </sortState>
  </autoFilter>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8"/>
  <sheetViews>
    <sheetView topLeftCell="A10" workbookViewId="0">
      <selection activeCell="C55" sqref="C55:C58"/>
    </sheetView>
  </sheetViews>
  <sheetFormatPr defaultRowHeight="15"/>
  <cols>
    <col min="1" max="1" width="14.140625" bestFit="1" customWidth="1"/>
    <col min="2" max="2" width="23.140625" bestFit="1" customWidth="1"/>
    <col min="3" max="3" width="22.42578125" bestFit="1" customWidth="1"/>
  </cols>
  <sheetData>
    <row r="1" spans="1:3">
      <c r="A1" t="s">
        <v>192</v>
      </c>
      <c r="B1" t="s">
        <v>143</v>
      </c>
      <c r="C1" t="s">
        <v>143</v>
      </c>
    </row>
    <row r="2" spans="1:3">
      <c r="A2" t="s">
        <v>144</v>
      </c>
      <c r="B2" t="s">
        <v>145</v>
      </c>
      <c r="C2" t="s">
        <v>146</v>
      </c>
    </row>
    <row r="3" spans="1:3">
      <c r="A3" t="s">
        <v>258</v>
      </c>
      <c r="B3" t="s">
        <v>260</v>
      </c>
      <c r="C3" s="56">
        <v>9999</v>
      </c>
    </row>
    <row r="4" spans="1:3">
      <c r="A4" t="s">
        <v>258</v>
      </c>
      <c r="B4" t="s">
        <v>259</v>
      </c>
      <c r="C4" s="56">
        <v>8.25</v>
      </c>
    </row>
    <row r="5" spans="1:3">
      <c r="A5" t="s">
        <v>258</v>
      </c>
      <c r="B5" t="s">
        <v>261</v>
      </c>
      <c r="C5" s="56">
        <v>0</v>
      </c>
    </row>
    <row r="6" spans="1:3">
      <c r="A6" t="s">
        <v>258</v>
      </c>
      <c r="B6" t="s">
        <v>262</v>
      </c>
      <c r="C6" s="56">
        <v>0</v>
      </c>
    </row>
    <row r="7" spans="1:3">
      <c r="A7" t="s">
        <v>243</v>
      </c>
      <c r="B7" t="s">
        <v>246</v>
      </c>
      <c r="C7" s="56">
        <v>1.97</v>
      </c>
    </row>
    <row r="8" spans="1:3">
      <c r="A8" t="s">
        <v>243</v>
      </c>
      <c r="B8" t="s">
        <v>247</v>
      </c>
      <c r="C8" s="56">
        <v>1.9</v>
      </c>
    </row>
    <row r="9" spans="1:3">
      <c r="A9" t="s">
        <v>243</v>
      </c>
      <c r="B9" t="s">
        <v>244</v>
      </c>
      <c r="C9" s="56">
        <v>0</v>
      </c>
    </row>
    <row r="10" spans="1:3">
      <c r="A10" t="s">
        <v>243</v>
      </c>
      <c r="B10" t="s">
        <v>245</v>
      </c>
      <c r="C10" s="56">
        <v>0</v>
      </c>
    </row>
    <row r="11" spans="1:3">
      <c r="A11" t="s">
        <v>238</v>
      </c>
      <c r="B11" t="s">
        <v>242</v>
      </c>
      <c r="C11" s="56">
        <v>857.77</v>
      </c>
    </row>
    <row r="12" spans="1:3">
      <c r="A12" t="s">
        <v>238</v>
      </c>
      <c r="B12" t="s">
        <v>240</v>
      </c>
      <c r="C12" s="56">
        <v>730.86</v>
      </c>
    </row>
    <row r="13" spans="1:3">
      <c r="A13" t="s">
        <v>238</v>
      </c>
      <c r="B13" t="s">
        <v>241</v>
      </c>
      <c r="C13" s="56">
        <v>0</v>
      </c>
    </row>
    <row r="14" spans="1:3">
      <c r="A14" t="s">
        <v>238</v>
      </c>
      <c r="B14" t="s">
        <v>239</v>
      </c>
      <c r="C14" s="56">
        <v>0</v>
      </c>
    </row>
    <row r="15" spans="1:3">
      <c r="A15" t="s">
        <v>223</v>
      </c>
      <c r="B15" t="s">
        <v>227</v>
      </c>
      <c r="C15" s="56">
        <v>1510.53</v>
      </c>
    </row>
    <row r="16" spans="1:3">
      <c r="A16" t="s">
        <v>223</v>
      </c>
      <c r="B16" t="s">
        <v>224</v>
      </c>
      <c r="C16" s="56">
        <v>1283.82</v>
      </c>
    </row>
    <row r="17" spans="1:3">
      <c r="A17" t="s">
        <v>223</v>
      </c>
      <c r="B17" t="s">
        <v>225</v>
      </c>
      <c r="C17" s="56">
        <v>0</v>
      </c>
    </row>
    <row r="18" spans="1:3">
      <c r="A18" t="s">
        <v>223</v>
      </c>
      <c r="B18" t="s">
        <v>226</v>
      </c>
      <c r="C18" s="56">
        <v>0</v>
      </c>
    </row>
    <row r="19" spans="1:3">
      <c r="A19" t="s">
        <v>228</v>
      </c>
      <c r="B19" t="s">
        <v>230</v>
      </c>
      <c r="C19" s="56">
        <v>2.0099999999999998</v>
      </c>
    </row>
    <row r="20" spans="1:3">
      <c r="A20" t="s">
        <v>228</v>
      </c>
      <c r="B20" t="s">
        <v>231</v>
      </c>
      <c r="C20" s="56">
        <v>1.89</v>
      </c>
    </row>
    <row r="21" spans="1:3">
      <c r="A21" t="s">
        <v>228</v>
      </c>
      <c r="B21" t="s">
        <v>232</v>
      </c>
      <c r="C21" s="56">
        <v>0</v>
      </c>
    </row>
    <row r="22" spans="1:3">
      <c r="A22" t="s">
        <v>228</v>
      </c>
      <c r="B22" t="s">
        <v>229</v>
      </c>
      <c r="C22" s="56">
        <v>0</v>
      </c>
    </row>
    <row r="23" spans="1:3">
      <c r="A23" t="s">
        <v>203</v>
      </c>
      <c r="B23" t="s">
        <v>205</v>
      </c>
      <c r="C23" s="56">
        <v>2.0099999999999998</v>
      </c>
    </row>
    <row r="24" spans="1:3">
      <c r="A24" t="s">
        <v>203</v>
      </c>
      <c r="B24" t="s">
        <v>207</v>
      </c>
      <c r="C24" s="56">
        <v>1.89</v>
      </c>
    </row>
    <row r="25" spans="1:3">
      <c r="A25" t="s">
        <v>203</v>
      </c>
      <c r="B25" t="s">
        <v>204</v>
      </c>
      <c r="C25" s="56">
        <v>0</v>
      </c>
    </row>
    <row r="26" spans="1:3">
      <c r="A26" t="s">
        <v>203</v>
      </c>
      <c r="B26" t="s">
        <v>206</v>
      </c>
      <c r="C26" s="56">
        <v>0</v>
      </c>
    </row>
    <row r="27" spans="1:3">
      <c r="A27" t="s">
        <v>248</v>
      </c>
      <c r="B27" t="s">
        <v>249</v>
      </c>
      <c r="C27" s="56">
        <v>9999</v>
      </c>
    </row>
    <row r="28" spans="1:3">
      <c r="A28" t="s">
        <v>248</v>
      </c>
      <c r="B28" t="s">
        <v>251</v>
      </c>
      <c r="C28" s="56">
        <v>1.79</v>
      </c>
    </row>
    <row r="29" spans="1:3">
      <c r="A29" t="s">
        <v>248</v>
      </c>
      <c r="B29" t="s">
        <v>250</v>
      </c>
      <c r="C29" s="56">
        <v>0</v>
      </c>
    </row>
    <row r="30" spans="1:3">
      <c r="A30" t="s">
        <v>248</v>
      </c>
      <c r="B30" t="s">
        <v>252</v>
      </c>
      <c r="C30" s="56">
        <v>0</v>
      </c>
    </row>
    <row r="31" spans="1:3">
      <c r="A31" t="s">
        <v>253</v>
      </c>
      <c r="B31" t="s">
        <v>256</v>
      </c>
      <c r="C31" s="56">
        <v>3.16</v>
      </c>
    </row>
    <row r="32" spans="1:3">
      <c r="A32" t="s">
        <v>253</v>
      </c>
      <c r="B32" t="s">
        <v>257</v>
      </c>
      <c r="C32" s="56">
        <v>2.36</v>
      </c>
    </row>
    <row r="33" spans="1:3">
      <c r="A33" t="s">
        <v>253</v>
      </c>
      <c r="B33" t="s">
        <v>254</v>
      </c>
      <c r="C33" s="56">
        <v>0</v>
      </c>
    </row>
    <row r="34" spans="1:3">
      <c r="A34" t="s">
        <v>253</v>
      </c>
      <c r="B34" t="s">
        <v>255</v>
      </c>
      <c r="C34" s="56">
        <v>0</v>
      </c>
    </row>
    <row r="35" spans="1:3">
      <c r="A35" t="s">
        <v>193</v>
      </c>
      <c r="B35" t="s">
        <v>197</v>
      </c>
      <c r="C35" s="56">
        <v>9999</v>
      </c>
    </row>
    <row r="36" spans="1:3">
      <c r="A36" t="s">
        <v>193</v>
      </c>
      <c r="B36" t="s">
        <v>196</v>
      </c>
      <c r="C36" s="56">
        <v>2.2200000000000002</v>
      </c>
    </row>
    <row r="37" spans="1:3">
      <c r="A37" t="s">
        <v>193</v>
      </c>
      <c r="B37" t="s">
        <v>194</v>
      </c>
      <c r="C37" s="56">
        <v>0</v>
      </c>
    </row>
    <row r="38" spans="1:3">
      <c r="A38" t="s">
        <v>193</v>
      </c>
      <c r="B38" t="s">
        <v>195</v>
      </c>
      <c r="C38" s="56">
        <v>0</v>
      </c>
    </row>
    <row r="39" spans="1:3">
      <c r="A39" t="s">
        <v>218</v>
      </c>
      <c r="B39" t="s">
        <v>221</v>
      </c>
      <c r="C39" s="56">
        <v>9999</v>
      </c>
    </row>
    <row r="40" spans="1:3">
      <c r="A40" t="s">
        <v>218</v>
      </c>
      <c r="B40" t="s">
        <v>219</v>
      </c>
      <c r="C40" s="56">
        <v>9.4600000000000009</v>
      </c>
    </row>
    <row r="41" spans="1:3">
      <c r="A41" t="s">
        <v>218</v>
      </c>
      <c r="B41" t="s">
        <v>222</v>
      </c>
      <c r="C41" s="56">
        <v>0</v>
      </c>
    </row>
    <row r="42" spans="1:3">
      <c r="A42" t="s">
        <v>218</v>
      </c>
      <c r="B42" t="s">
        <v>220</v>
      </c>
      <c r="C42" s="56">
        <v>0</v>
      </c>
    </row>
    <row r="43" spans="1:3">
      <c r="A43" t="s">
        <v>213</v>
      </c>
      <c r="B43" t="s">
        <v>216</v>
      </c>
      <c r="C43" s="56">
        <v>3.24</v>
      </c>
    </row>
    <row r="44" spans="1:3">
      <c r="A44" t="s">
        <v>213</v>
      </c>
      <c r="B44" t="s">
        <v>215</v>
      </c>
      <c r="C44" s="56">
        <v>2.46</v>
      </c>
    </row>
    <row r="45" spans="1:3">
      <c r="A45" t="s">
        <v>213</v>
      </c>
      <c r="B45" t="s">
        <v>217</v>
      </c>
      <c r="C45" s="56">
        <v>0</v>
      </c>
    </row>
    <row r="46" spans="1:3">
      <c r="A46" t="s">
        <v>213</v>
      </c>
      <c r="B46" t="s">
        <v>214</v>
      </c>
      <c r="C46" s="56">
        <v>0</v>
      </c>
    </row>
    <row r="47" spans="1:3">
      <c r="A47" t="s">
        <v>198</v>
      </c>
      <c r="B47" t="s">
        <v>200</v>
      </c>
      <c r="C47" s="56">
        <v>3.24</v>
      </c>
    </row>
    <row r="48" spans="1:3">
      <c r="A48" t="s">
        <v>198</v>
      </c>
      <c r="B48" t="s">
        <v>199</v>
      </c>
      <c r="C48" s="56">
        <v>2.57</v>
      </c>
    </row>
    <row r="49" spans="1:3">
      <c r="A49" t="s">
        <v>198</v>
      </c>
      <c r="B49" t="s">
        <v>202</v>
      </c>
      <c r="C49" s="56">
        <v>0</v>
      </c>
    </row>
    <row r="50" spans="1:3">
      <c r="A50" t="s">
        <v>198</v>
      </c>
      <c r="B50" t="s">
        <v>201</v>
      </c>
      <c r="C50" s="56">
        <v>0</v>
      </c>
    </row>
    <row r="51" spans="1:3">
      <c r="A51" t="s">
        <v>233</v>
      </c>
      <c r="B51" t="s">
        <v>234</v>
      </c>
      <c r="C51">
        <v>4.05</v>
      </c>
    </row>
    <row r="52" spans="1:3">
      <c r="A52" t="s">
        <v>233</v>
      </c>
      <c r="B52" t="s">
        <v>235</v>
      </c>
      <c r="C52">
        <v>0</v>
      </c>
    </row>
    <row r="53" spans="1:3">
      <c r="A53" t="s">
        <v>233</v>
      </c>
      <c r="B53" t="s">
        <v>237</v>
      </c>
      <c r="C53">
        <v>3.16</v>
      </c>
    </row>
    <row r="54" spans="1:3">
      <c r="A54" t="s">
        <v>233</v>
      </c>
      <c r="B54" t="s">
        <v>236</v>
      </c>
      <c r="C54">
        <v>0</v>
      </c>
    </row>
    <row r="55" spans="1:3">
      <c r="A55" t="s">
        <v>208</v>
      </c>
      <c r="B55" t="s">
        <v>212</v>
      </c>
      <c r="C55">
        <v>0</v>
      </c>
    </row>
    <row r="56" spans="1:3">
      <c r="A56" t="s">
        <v>208</v>
      </c>
      <c r="B56" t="s">
        <v>210</v>
      </c>
      <c r="C56">
        <v>3.24</v>
      </c>
    </row>
    <row r="57" spans="1:3">
      <c r="A57" t="s">
        <v>208</v>
      </c>
      <c r="B57" t="s">
        <v>211</v>
      </c>
      <c r="C57">
        <v>2.48</v>
      </c>
    </row>
    <row r="58" spans="1:3">
      <c r="A58" t="s">
        <v>208</v>
      </c>
      <c r="B58" t="s">
        <v>209</v>
      </c>
      <c r="C58">
        <v>0</v>
      </c>
    </row>
  </sheetData>
  <autoFilter ref="A2:C2"/>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H19"/>
  <sheetViews>
    <sheetView workbookViewId="0">
      <selection activeCell="F26" sqref="F26"/>
    </sheetView>
  </sheetViews>
  <sheetFormatPr defaultColWidth="9.140625" defaultRowHeight="12.75"/>
  <cols>
    <col min="1" max="1" width="12.85546875" style="70" customWidth="1"/>
    <col min="2" max="2" width="8.42578125" style="71" bestFit="1" customWidth="1"/>
    <col min="3" max="3" width="19.85546875" style="70" customWidth="1"/>
    <col min="4" max="4" width="24.42578125" style="70" customWidth="1"/>
    <col min="5" max="5" width="22.7109375" style="75" bestFit="1" customWidth="1"/>
    <col min="6" max="6" width="18.5703125" style="69" customWidth="1"/>
    <col min="7" max="7" width="2.42578125" style="70" customWidth="1"/>
    <col min="8" max="16384" width="9.140625" style="70"/>
  </cols>
  <sheetData>
    <row r="1" spans="1:8" s="65" customFormat="1">
      <c r="A1" s="60" t="s">
        <v>265</v>
      </c>
      <c r="B1" s="61" t="s">
        <v>266</v>
      </c>
      <c r="C1" s="60" t="s">
        <v>267</v>
      </c>
      <c r="D1" s="62" t="s">
        <v>268</v>
      </c>
      <c r="E1" s="63" t="s">
        <v>269</v>
      </c>
      <c r="F1" s="64" t="s">
        <v>270</v>
      </c>
    </row>
    <row r="2" spans="1:8" hidden="1">
      <c r="A2" s="66" t="s">
        <v>271</v>
      </c>
      <c r="B2" s="67" t="s">
        <v>272</v>
      </c>
      <c r="C2" s="66" t="s">
        <v>273</v>
      </c>
      <c r="D2" s="66" t="s">
        <v>274</v>
      </c>
      <c r="E2" s="68" t="s">
        <v>275</v>
      </c>
      <c r="F2" s="69">
        <v>4.4408437560647371</v>
      </c>
    </row>
    <row r="3" spans="1:8" hidden="1">
      <c r="A3" s="66" t="s">
        <v>276</v>
      </c>
      <c r="B3" s="67" t="s">
        <v>277</v>
      </c>
      <c r="C3" s="66" t="s">
        <v>278</v>
      </c>
      <c r="D3" s="66" t="s">
        <v>274</v>
      </c>
      <c r="E3" s="68" t="s">
        <v>275</v>
      </c>
      <c r="F3" s="69">
        <v>4.4408437560647371</v>
      </c>
    </row>
    <row r="4" spans="1:8" hidden="1">
      <c r="A4" s="66" t="s">
        <v>279</v>
      </c>
      <c r="B4" s="67" t="s">
        <v>280</v>
      </c>
      <c r="C4" s="66" t="s">
        <v>281</v>
      </c>
      <c r="D4" s="66" t="s">
        <v>282</v>
      </c>
      <c r="E4" s="68" t="s">
        <v>283</v>
      </c>
      <c r="F4" s="69">
        <v>6.6302178928447475</v>
      </c>
    </row>
    <row r="5" spans="1:8">
      <c r="A5" s="70" t="s">
        <v>271</v>
      </c>
      <c r="B5" s="71" t="s">
        <v>284</v>
      </c>
      <c r="C5" s="70" t="s">
        <v>273</v>
      </c>
      <c r="D5" s="72" t="s">
        <v>285</v>
      </c>
      <c r="E5" s="73" t="s">
        <v>286</v>
      </c>
      <c r="F5" s="104">
        <v>3.2439579230567963</v>
      </c>
    </row>
    <row r="6" spans="1:8">
      <c r="A6" s="70" t="s">
        <v>276</v>
      </c>
      <c r="B6" s="71" t="s">
        <v>287</v>
      </c>
      <c r="C6" s="70" t="s">
        <v>278</v>
      </c>
      <c r="D6" s="72" t="s">
        <v>285</v>
      </c>
      <c r="E6" s="73" t="s">
        <v>286</v>
      </c>
      <c r="F6" s="104">
        <v>3.2439579230567963</v>
      </c>
      <c r="H6" s="70" t="s">
        <v>366</v>
      </c>
    </row>
    <row r="7" spans="1:8">
      <c r="A7" s="70" t="s">
        <v>288</v>
      </c>
      <c r="B7" s="71" t="s">
        <v>289</v>
      </c>
      <c r="C7" s="70" t="s">
        <v>290</v>
      </c>
      <c r="D7" s="72" t="s">
        <v>291</v>
      </c>
      <c r="E7" s="73" t="s">
        <v>292</v>
      </c>
      <c r="F7" s="104">
        <v>3.5152452585776781</v>
      </c>
      <c r="H7" s="105">
        <f>AVERAGE(F5:F11)</f>
        <v>3.2510691798218945</v>
      </c>
    </row>
    <row r="8" spans="1:8">
      <c r="A8" s="70" t="s">
        <v>271</v>
      </c>
      <c r="B8" s="71" t="s">
        <v>293</v>
      </c>
      <c r="C8" s="70" t="s">
        <v>273</v>
      </c>
      <c r="D8" s="72" t="s">
        <v>294</v>
      </c>
      <c r="E8" s="73" t="s">
        <v>295</v>
      </c>
      <c r="F8" s="104">
        <v>3.2635084607520533</v>
      </c>
    </row>
    <row r="9" spans="1:8">
      <c r="A9" s="70" t="s">
        <v>271</v>
      </c>
      <c r="B9" s="71" t="s">
        <v>296</v>
      </c>
      <c r="C9" s="70" t="s">
        <v>273</v>
      </c>
      <c r="D9" s="72" t="s">
        <v>297</v>
      </c>
      <c r="E9" s="73" t="s">
        <v>298</v>
      </c>
      <c r="F9" s="104">
        <v>3.2635084607520533</v>
      </c>
    </row>
    <row r="10" spans="1:8">
      <c r="A10" s="70" t="s">
        <v>271</v>
      </c>
      <c r="B10" s="71" t="s">
        <v>299</v>
      </c>
      <c r="C10" s="70" t="s">
        <v>273</v>
      </c>
      <c r="D10" s="72" t="s">
        <v>300</v>
      </c>
      <c r="E10" s="73" t="s">
        <v>301</v>
      </c>
      <c r="F10" s="104">
        <v>2.9753212878642663</v>
      </c>
    </row>
    <row r="11" spans="1:8">
      <c r="A11" s="70" t="s">
        <v>279</v>
      </c>
      <c r="B11" s="71" t="s">
        <v>302</v>
      </c>
      <c r="C11" s="70" t="s">
        <v>281</v>
      </c>
      <c r="D11" s="72" t="s">
        <v>303</v>
      </c>
      <c r="E11" s="73" t="s">
        <v>304</v>
      </c>
      <c r="F11" s="104">
        <v>3.2519849446936178</v>
      </c>
    </row>
    <row r="12" spans="1:8">
      <c r="A12" s="70" t="s">
        <v>279</v>
      </c>
      <c r="B12" s="71" t="s">
        <v>305</v>
      </c>
      <c r="C12" s="70" t="s">
        <v>281</v>
      </c>
      <c r="D12" s="70" t="s">
        <v>306</v>
      </c>
      <c r="E12" s="73" t="s">
        <v>307</v>
      </c>
      <c r="F12" s="69">
        <v>4.2785069992359146</v>
      </c>
    </row>
    <row r="13" spans="1:8">
      <c r="A13" s="70" t="s">
        <v>271</v>
      </c>
      <c r="B13" s="71" t="s">
        <v>305</v>
      </c>
      <c r="C13" s="70" t="s">
        <v>273</v>
      </c>
      <c r="D13" s="70" t="s">
        <v>306</v>
      </c>
      <c r="E13" s="73" t="s">
        <v>307</v>
      </c>
      <c r="F13" s="69">
        <v>4.2785069992359146</v>
      </c>
    </row>
    <row r="14" spans="1:8">
      <c r="A14" s="70" t="s">
        <v>288</v>
      </c>
      <c r="B14" s="71" t="s">
        <v>308</v>
      </c>
      <c r="C14" s="70" t="s">
        <v>290</v>
      </c>
      <c r="D14" s="70" t="s">
        <v>309</v>
      </c>
      <c r="E14" s="73" t="s">
        <v>307</v>
      </c>
      <c r="F14" s="69">
        <v>4.2785069992359146</v>
      </c>
    </row>
    <row r="15" spans="1:8">
      <c r="A15" s="70" t="s">
        <v>276</v>
      </c>
      <c r="B15" s="71" t="s">
        <v>310</v>
      </c>
      <c r="C15" s="70" t="s">
        <v>278</v>
      </c>
      <c r="D15" s="70" t="s">
        <v>306</v>
      </c>
      <c r="E15" s="73" t="s">
        <v>307</v>
      </c>
      <c r="F15" s="69">
        <v>4.2785069992359146</v>
      </c>
    </row>
    <row r="16" spans="1:8">
      <c r="A16" s="70" t="s">
        <v>271</v>
      </c>
      <c r="B16" s="71" t="s">
        <v>311</v>
      </c>
      <c r="C16" s="70" t="s">
        <v>273</v>
      </c>
      <c r="D16" s="72" t="s">
        <v>312</v>
      </c>
      <c r="E16" s="74" t="s">
        <v>275</v>
      </c>
      <c r="F16" s="69">
        <v>4.4408437560647371</v>
      </c>
    </row>
    <row r="17" spans="1:6">
      <c r="A17" s="70" t="s">
        <v>288</v>
      </c>
      <c r="B17" s="71" t="s">
        <v>313</v>
      </c>
      <c r="C17" s="70" t="s">
        <v>290</v>
      </c>
      <c r="D17" s="72" t="s">
        <v>314</v>
      </c>
      <c r="E17" s="73" t="s">
        <v>292</v>
      </c>
      <c r="F17" s="69">
        <v>3.5152452585776781</v>
      </c>
    </row>
    <row r="18" spans="1:6">
      <c r="A18" s="70" t="s">
        <v>276</v>
      </c>
      <c r="B18" s="71" t="s">
        <v>315</v>
      </c>
      <c r="C18" s="70" t="s">
        <v>278</v>
      </c>
      <c r="D18" s="71" t="s">
        <v>312</v>
      </c>
      <c r="E18" s="74" t="s">
        <v>316</v>
      </c>
      <c r="F18" s="69">
        <v>4.4408437560647371</v>
      </c>
    </row>
    <row r="19" spans="1:6">
      <c r="A19" s="70" t="s">
        <v>279</v>
      </c>
      <c r="B19" s="71" t="s">
        <v>317</v>
      </c>
      <c r="C19" s="70" t="s">
        <v>281</v>
      </c>
      <c r="D19" s="72" t="s">
        <v>318</v>
      </c>
      <c r="E19" s="68" t="s">
        <v>283</v>
      </c>
      <c r="F19" s="69">
        <v>6.6302178928447475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291"/>
  <sheetViews>
    <sheetView showGridLines="0" workbookViewId="0">
      <pane xSplit="8" ySplit="4" topLeftCell="I5" activePane="bottomRight" state="frozen"/>
      <selection activeCell="E20" sqref="E20"/>
      <selection pane="topRight" activeCell="E20" sqref="E20"/>
      <selection pane="bottomLeft" activeCell="E20" sqref="E20"/>
      <selection pane="bottomRight" activeCell="E12" sqref="E12"/>
    </sheetView>
  </sheetViews>
  <sheetFormatPr defaultRowHeight="12.75"/>
  <cols>
    <col min="1" max="1" width="5.5703125" style="76" customWidth="1"/>
    <col min="2" max="4" width="13.85546875" style="76" customWidth="1"/>
    <col min="5" max="5" width="25.140625" style="76" customWidth="1"/>
    <col min="6" max="6" width="8.85546875" style="77" customWidth="1"/>
    <col min="7" max="7" width="8.85546875" style="76" customWidth="1"/>
    <col min="8" max="9" width="11.5703125" style="76" customWidth="1"/>
    <col min="10" max="10" width="14.85546875" style="76" customWidth="1"/>
    <col min="11" max="11" width="3.28515625" style="76" customWidth="1"/>
    <col min="12" max="12" width="9.85546875" style="76" customWidth="1"/>
    <col min="13" max="13" width="10.7109375" style="76" customWidth="1"/>
    <col min="14" max="16384" width="9.140625" style="76"/>
  </cols>
  <sheetData>
    <row r="1" spans="1:13" ht="25.5">
      <c r="J1" s="78" t="s">
        <v>319</v>
      </c>
    </row>
    <row r="2" spans="1:13" ht="36.75" thickBot="1">
      <c r="A2" s="79"/>
      <c r="B2" s="80" t="s">
        <v>320</v>
      </c>
      <c r="C2" s="80" t="s">
        <v>321</v>
      </c>
      <c r="D2" s="80" t="s">
        <v>322</v>
      </c>
      <c r="E2" s="80" t="s">
        <v>323</v>
      </c>
      <c r="F2" s="80" t="s">
        <v>324</v>
      </c>
      <c r="G2" s="80"/>
      <c r="H2" s="81" t="s">
        <v>325</v>
      </c>
      <c r="I2" s="82"/>
      <c r="J2" s="83" t="s">
        <v>326</v>
      </c>
      <c r="K2" s="82"/>
      <c r="L2" s="84" t="s">
        <v>327</v>
      </c>
      <c r="M2" s="80"/>
    </row>
    <row r="3" spans="1:13" ht="15">
      <c r="A3" s="79"/>
      <c r="B3" s="80"/>
      <c r="C3" s="80"/>
      <c r="D3" s="80"/>
      <c r="E3" s="80"/>
      <c r="F3" s="80"/>
      <c r="G3" s="80"/>
      <c r="H3" s="85" t="s">
        <v>328</v>
      </c>
      <c r="I3" s="82"/>
      <c r="J3" s="86" t="s">
        <v>328</v>
      </c>
      <c r="K3" s="82"/>
      <c r="L3" s="86" t="s">
        <v>328</v>
      </c>
      <c r="M3" s="80"/>
    </row>
    <row r="4" spans="1:13" ht="15">
      <c r="A4" s="79"/>
      <c r="B4" s="80"/>
      <c r="C4" s="80"/>
      <c r="D4" s="80"/>
      <c r="E4" s="80"/>
      <c r="F4" s="80"/>
      <c r="G4" s="80"/>
      <c r="H4" s="87"/>
      <c r="I4" s="87"/>
      <c r="J4" s="87"/>
      <c r="K4" s="87"/>
      <c r="L4" s="87"/>
      <c r="M4" s="80"/>
    </row>
    <row r="5" spans="1:13" ht="15">
      <c r="A5" s="79">
        <v>1</v>
      </c>
      <c r="B5" s="88" t="s">
        <v>85</v>
      </c>
      <c r="C5" s="88" t="s">
        <v>329</v>
      </c>
      <c r="D5" s="88" t="s">
        <v>330</v>
      </c>
      <c r="E5" s="88" t="s">
        <v>94</v>
      </c>
      <c r="F5" s="89">
        <f>VLOOKUP($B5,'[1]Stamping - 3 shift'!$C:$AR,16,FALSE)</f>
        <v>3</v>
      </c>
      <c r="G5" s="90"/>
      <c r="H5" s="90">
        <f>VLOOKUP($B5,'[1]Stamping - 3 shift'!$C:$AR,35,FALSE)</f>
        <v>0.9169210203007887</v>
      </c>
      <c r="I5" s="90"/>
      <c r="J5" s="90">
        <f>VLOOKUP($B5,'[1]Stamping - 3 shift'!$C:$AR,37,FALSE)</f>
        <v>10.27517310314709</v>
      </c>
      <c r="K5" s="90"/>
      <c r="L5" s="90">
        <f>VLOOKUP($B5,'[1]Stamping - 3 shift'!$C:$AR,39,FALSE)</f>
        <v>22.087800198214289</v>
      </c>
      <c r="M5" s="91"/>
    </row>
    <row r="6" spans="1:13" ht="15">
      <c r="A6" s="79">
        <v>2</v>
      </c>
      <c r="B6" s="88" t="s">
        <v>86</v>
      </c>
      <c r="C6" s="88" t="s">
        <v>329</v>
      </c>
      <c r="D6" s="88" t="s">
        <v>331</v>
      </c>
      <c r="E6" s="88" t="s">
        <v>95</v>
      </c>
      <c r="F6" s="89">
        <f>VLOOKUP($B6,'[1]Stamping - 3 shift'!$C:$AR,16,FALSE)</f>
        <v>3</v>
      </c>
      <c r="G6" s="88"/>
      <c r="H6" s="90">
        <f>VLOOKUP($B6,'[1]Stamping - 3 shift'!$C:$AR,35,FALSE)</f>
        <v>4.7014100422884235</v>
      </c>
      <c r="I6" s="90"/>
      <c r="J6" s="90">
        <f>VLOOKUP($B6,'[1]Stamping - 3 shift'!$C:$AR,37,FALSE)</f>
        <v>15.044483541118618</v>
      </c>
      <c r="K6" s="90"/>
      <c r="L6" s="90">
        <f>VLOOKUP($B6,'[1]Stamping - 3 shift'!$C:$AR,39,FALSE)</f>
        <v>28.465260180501026</v>
      </c>
      <c r="M6" s="91"/>
    </row>
    <row r="7" spans="1:13" ht="15">
      <c r="A7" s="79">
        <v>3</v>
      </c>
      <c r="B7" s="88" t="s">
        <v>87</v>
      </c>
      <c r="C7" s="88" t="s">
        <v>329</v>
      </c>
      <c r="D7" s="88" t="s">
        <v>332</v>
      </c>
      <c r="E7" s="88" t="s">
        <v>96</v>
      </c>
      <c r="F7" s="89">
        <f>VLOOKUP($B7,'[1]Stamping - 3 shift'!$C:$AR,16,FALSE)</f>
        <v>3</v>
      </c>
      <c r="G7" s="88"/>
      <c r="H7" s="90">
        <f>VLOOKUP($B7,'[1]Stamping - 3 shift'!$C:$AR,35,FALSE)</f>
        <v>5.3361876615069628</v>
      </c>
      <c r="I7" s="90"/>
      <c r="J7" s="90">
        <f>VLOOKUP($B7,'[1]Stamping - 3 shift'!$C:$AR,37,FALSE)</f>
        <v>17.813699317457928</v>
      </c>
      <c r="K7" s="90"/>
      <c r="L7" s="90">
        <f>VLOOKUP($B7,'[1]Stamping - 3 shift'!$C:$AR,39,FALSE)</f>
        <v>34.42024800900068</v>
      </c>
      <c r="M7" s="91"/>
    </row>
    <row r="8" spans="1:13" ht="15">
      <c r="A8" s="79">
        <v>4</v>
      </c>
      <c r="B8" s="88" t="s">
        <v>333</v>
      </c>
      <c r="C8" s="88" t="s">
        <v>329</v>
      </c>
      <c r="D8" s="88" t="s">
        <v>334</v>
      </c>
      <c r="E8" s="88" t="s">
        <v>335</v>
      </c>
      <c r="F8" s="89">
        <f>VLOOKUP($B8,'[1]Stamping - 3 shift'!$C:$AR,16,FALSE)</f>
        <v>3</v>
      </c>
      <c r="G8" s="88"/>
      <c r="H8" s="90">
        <f>VLOOKUP($B8,'[1]Stamping - 3 shift'!$C:$AR,35,FALSE)</f>
        <v>12.838695380990485</v>
      </c>
      <c r="I8" s="90"/>
      <c r="J8" s="90">
        <f>VLOOKUP($B8,'[1]Stamping - 3 shift'!$C:$AR,37,FALSE)</f>
        <v>27.111418662616025</v>
      </c>
      <c r="K8" s="90"/>
      <c r="L8" s="90">
        <f>VLOOKUP($B8,'[1]Stamping - 3 shift'!$C:$AR,39,FALSE)</f>
        <v>47.766990427700811</v>
      </c>
      <c r="M8" s="91"/>
    </row>
    <row r="9" spans="1:13" ht="15">
      <c r="A9" s="79">
        <v>5</v>
      </c>
      <c r="B9" s="88" t="s">
        <v>89</v>
      </c>
      <c r="C9" s="88" t="s">
        <v>271</v>
      </c>
      <c r="D9" s="88" t="s">
        <v>336</v>
      </c>
      <c r="E9" s="88" t="s">
        <v>97</v>
      </c>
      <c r="F9" s="89">
        <f>VLOOKUP($B9,'[1]Stamping - 3 shift'!$C:$AR,16,FALSE)</f>
        <v>3</v>
      </c>
      <c r="G9" s="88"/>
      <c r="H9" s="90">
        <f>VLOOKUP($B9,'[1]Stamping - 3 shift'!$C:$AR,35,FALSE)</f>
        <v>1.5222362193944561</v>
      </c>
      <c r="I9" s="90"/>
      <c r="J9" s="90">
        <f>VLOOKUP($B9,'[1]Stamping - 3 shift'!$C:$AR,37,FALSE)</f>
        <v>5.7218662000222302</v>
      </c>
      <c r="K9" s="90"/>
      <c r="L9" s="90">
        <f>VLOOKUP($B9,'[1]Stamping - 3 shift'!$C:$AR,39,FALSE)</f>
        <v>10.442206435638301</v>
      </c>
      <c r="M9" s="91"/>
    </row>
    <row r="10" spans="1:13" ht="15">
      <c r="A10" s="79">
        <v>6</v>
      </c>
      <c r="B10" s="88" t="s">
        <v>90</v>
      </c>
      <c r="C10" s="88" t="s">
        <v>271</v>
      </c>
      <c r="D10" s="88" t="s">
        <v>337</v>
      </c>
      <c r="E10" s="88" t="s">
        <v>98</v>
      </c>
      <c r="F10" s="89">
        <f>VLOOKUP($B10,'[1]Stamping - 3 shift'!$C:$AR,16,FALSE)</f>
        <v>3</v>
      </c>
      <c r="G10" s="88"/>
      <c r="H10" s="90">
        <f>VLOOKUP($B10,'[1]Stamping - 3 shift'!$C:$AR,35,FALSE)</f>
        <v>2.9327338225424247</v>
      </c>
      <c r="I10" s="90"/>
      <c r="J10" s="90">
        <f>VLOOKUP($B10,'[1]Stamping - 3 shift'!$C:$AR,37,FALSE)</f>
        <v>6.5663634799268609</v>
      </c>
      <c r="K10" s="90"/>
      <c r="L10" s="90">
        <f>VLOOKUP($B10,'[1]Stamping - 3 shift'!$C:$AR,39,FALSE)</f>
        <v>10.870784486184293</v>
      </c>
      <c r="M10" s="91"/>
    </row>
    <row r="11" spans="1:13" ht="15">
      <c r="A11" s="79">
        <v>7</v>
      </c>
      <c r="B11" s="88" t="s">
        <v>91</v>
      </c>
      <c r="C11" s="88" t="s">
        <v>271</v>
      </c>
      <c r="D11" s="88" t="s">
        <v>338</v>
      </c>
      <c r="E11" s="88" t="s">
        <v>99</v>
      </c>
      <c r="F11" s="89">
        <f>VLOOKUP($B11,'[1]Stamping - 3 shift'!$C:$AR,16,FALSE)</f>
        <v>3</v>
      </c>
      <c r="G11" s="88"/>
      <c r="H11" s="90">
        <f>VLOOKUP($B11,'[1]Stamping - 3 shift'!$C:$AR,35,FALSE)</f>
        <v>2.1916876868735353</v>
      </c>
      <c r="I11" s="90"/>
      <c r="J11" s="90">
        <f>VLOOKUP($B11,'[1]Stamping - 3 shift'!$C:$AR,37,FALSE)</f>
        <v>5.8340366742642198</v>
      </c>
      <c r="K11" s="90"/>
      <c r="L11" s="90">
        <f>VLOOKUP($B11,'[1]Stamping - 3 shift'!$C:$AR,39,FALSE)</f>
        <v>9.9238797805183427</v>
      </c>
      <c r="M11" s="91"/>
    </row>
    <row r="12" spans="1:13" s="97" customFormat="1" ht="15">
      <c r="A12" s="92">
        <v>8</v>
      </c>
      <c r="B12" s="93" t="s">
        <v>92</v>
      </c>
      <c r="C12" s="93" t="s">
        <v>339</v>
      </c>
      <c r="D12" s="93" t="s">
        <v>340</v>
      </c>
      <c r="E12" s="93" t="s">
        <v>341</v>
      </c>
      <c r="F12" s="94">
        <f>VLOOKUP($B12,'[1]Stamping - 3 shift'!$C:$AR,16,FALSE)</f>
        <v>3</v>
      </c>
      <c r="G12" s="93"/>
      <c r="H12" s="95">
        <f>VLOOKUP($B12,'[1]Stamping - 3 shift'!$C:$AR,35,FALSE)</f>
        <v>5.3919284059478176</v>
      </c>
      <c r="I12" s="95"/>
      <c r="J12" s="95">
        <f>VLOOKUP($B12,'[1]Stamping - 3 shift'!$C:$AR,37,FALSE)</f>
        <v>13.267657152104793</v>
      </c>
      <c r="K12" s="95"/>
      <c r="L12" s="95">
        <f>VLOOKUP($B12,'[1]Stamping - 3 shift'!$C:$AR,39,FALSE)</f>
        <v>22.967062105502528</v>
      </c>
      <c r="M12" s="96"/>
    </row>
    <row r="13" spans="1:13" s="97" customFormat="1" ht="15">
      <c r="A13" s="92">
        <v>9</v>
      </c>
      <c r="B13" s="93" t="s">
        <v>93</v>
      </c>
      <c r="C13" s="93" t="s">
        <v>339</v>
      </c>
      <c r="D13" s="93" t="s">
        <v>342</v>
      </c>
      <c r="E13" s="93" t="s">
        <v>343</v>
      </c>
      <c r="F13" s="94">
        <f>VLOOKUP($B13,'[1]Stamping - 3 shift'!$C:$AR,16,FALSE)</f>
        <v>3</v>
      </c>
      <c r="G13" s="93"/>
      <c r="H13" s="95">
        <f>VLOOKUP($B13,'[1]Stamping - 3 shift'!$C:$AR,35,FALSE)</f>
        <v>5.9213734254437203</v>
      </c>
      <c r="I13" s="95"/>
      <c r="J13" s="95">
        <f>VLOOKUP($B13,'[1]Stamping - 3 shift'!$C:$AR,37,FALSE)</f>
        <v>14.198803498569259</v>
      </c>
      <c r="K13" s="95"/>
      <c r="L13" s="95">
        <f>VLOOKUP($B13,'[1]Stamping - 3 shift'!$C:$AR,39,FALSE)</f>
        <v>24.673964338712469</v>
      </c>
      <c r="M13" s="96"/>
    </row>
    <row r="14" spans="1:13" s="97" customFormat="1" ht="15">
      <c r="A14" s="92">
        <v>10</v>
      </c>
      <c r="B14" s="93" t="s">
        <v>105</v>
      </c>
      <c r="C14" s="93" t="s">
        <v>271</v>
      </c>
      <c r="D14" s="93" t="s">
        <v>344</v>
      </c>
      <c r="E14" s="93" t="s">
        <v>119</v>
      </c>
      <c r="F14" s="94">
        <f>VLOOKUP($B14,'[1]Stamping - 3 shift'!$C:$AR,16,FALSE)</f>
        <v>3</v>
      </c>
      <c r="G14" s="93"/>
      <c r="H14" s="95">
        <f>VLOOKUP($B14,'[1]Stamping - 3 shift'!$C:$AR,35,FALSE)</f>
        <v>0.21428978777305657</v>
      </c>
      <c r="I14" s="95"/>
      <c r="J14" s="95">
        <f>VLOOKUP($B14,'[1]Stamping - 3 shift'!$C:$AR,37,FALSE)</f>
        <v>2.4560748940195176</v>
      </c>
      <c r="K14" s="95"/>
      <c r="L14" s="95">
        <f>VLOOKUP($B14,'[1]Stamping - 3 shift'!$C:$AR,39,FALSE)</f>
        <v>4.7001658428167152</v>
      </c>
      <c r="M14" s="96"/>
    </row>
    <row r="15" spans="1:13" s="97" customFormat="1" ht="15">
      <c r="A15" s="92">
        <v>11</v>
      </c>
      <c r="B15" s="93" t="s">
        <v>106</v>
      </c>
      <c r="C15" s="93" t="s">
        <v>271</v>
      </c>
      <c r="D15" s="93" t="s">
        <v>345</v>
      </c>
      <c r="E15" s="93" t="s">
        <v>120</v>
      </c>
      <c r="F15" s="94">
        <f>VLOOKUP($B15,'[1]Stamping - 3 shift'!$C:$AR,16,FALSE)</f>
        <v>3</v>
      </c>
      <c r="G15" s="93"/>
      <c r="H15" s="95">
        <f>VLOOKUP($B15,'[1]Stamping - 3 shift'!$C:$AR,35,FALSE)</f>
        <v>0.20342543115567238</v>
      </c>
      <c r="I15" s="95"/>
      <c r="J15" s="95">
        <f>VLOOKUP($B15,'[1]Stamping - 3 shift'!$C:$AR,37,FALSE)</f>
        <v>2.568874641576071</v>
      </c>
      <c r="K15" s="95"/>
      <c r="L15" s="95">
        <f>VLOOKUP($B15,'[1]Stamping - 3 shift'!$C:$AR,39,FALSE)</f>
        <v>4.9765274966255912</v>
      </c>
      <c r="M15" s="96"/>
    </row>
    <row r="16" spans="1:13" s="97" customFormat="1" ht="15">
      <c r="A16" s="92">
        <v>12</v>
      </c>
      <c r="B16" s="93" t="s">
        <v>107</v>
      </c>
      <c r="C16" s="93" t="s">
        <v>271</v>
      </c>
      <c r="D16" s="93" t="s">
        <v>346</v>
      </c>
      <c r="E16" s="93" t="s">
        <v>121</v>
      </c>
      <c r="F16" s="94">
        <f>VLOOKUP($B16,'[1]Stamping - 3 shift'!$C:$AR,16,FALSE)</f>
        <v>3</v>
      </c>
      <c r="G16" s="93"/>
      <c r="H16" s="95">
        <f>VLOOKUP($B16,'[1]Stamping - 3 shift'!$C:$AR,35,FALSE)</f>
        <v>0.65052906508875141</v>
      </c>
      <c r="I16" s="95"/>
      <c r="J16" s="95">
        <f>VLOOKUP($B16,'[1]Stamping - 3 shift'!$C:$AR,37,FALSE)</f>
        <v>3.1584399371601752</v>
      </c>
      <c r="K16" s="95"/>
      <c r="L16" s="95">
        <f>VLOOKUP($B16,'[1]Stamping - 3 shift'!$C:$AR,39,FALSE)</f>
        <v>5.8437102682636679</v>
      </c>
      <c r="M16" s="96"/>
    </row>
    <row r="17" spans="1:13" s="97" customFormat="1" ht="15">
      <c r="A17" s="92">
        <v>13</v>
      </c>
      <c r="B17" s="93" t="s">
        <v>108</v>
      </c>
      <c r="C17" s="93" t="s">
        <v>271</v>
      </c>
      <c r="D17" s="93" t="s">
        <v>347</v>
      </c>
      <c r="E17" s="93" t="s">
        <v>122</v>
      </c>
      <c r="F17" s="94">
        <f>VLOOKUP($B17,'[1]Stamping - 3 shift'!$C:$AR,16,FALSE)</f>
        <v>3</v>
      </c>
      <c r="G17" s="93"/>
      <c r="H17" s="95">
        <f>VLOOKUP($B17,'[1]Stamping - 3 shift'!$C:$AR,35,FALSE)</f>
        <v>0.253264324409121</v>
      </c>
      <c r="I17" s="95"/>
      <c r="J17" s="95">
        <f>VLOOKUP($B17,'[1]Stamping - 3 shift'!$C:$AR,37,FALSE)</f>
        <v>2.477153233636467</v>
      </c>
      <c r="K17" s="95"/>
      <c r="L17" s="95">
        <f>VLOOKUP($B17,'[1]Stamping - 3 shift'!$C:$AR,39,FALSE)</f>
        <v>4.6912757534232288</v>
      </c>
      <c r="M17" s="96"/>
    </row>
    <row r="18" spans="1:13" s="97" customFormat="1" ht="15">
      <c r="A18" s="92">
        <v>14</v>
      </c>
      <c r="B18" s="93" t="s">
        <v>109</v>
      </c>
      <c r="C18" s="93" t="s">
        <v>271</v>
      </c>
      <c r="D18" s="93" t="s">
        <v>348</v>
      </c>
      <c r="E18" s="93" t="s">
        <v>123</v>
      </c>
      <c r="F18" s="94">
        <f>VLOOKUP($B18,'[1]Stamping - 3 shift'!$C:$AR,16,FALSE)</f>
        <v>3</v>
      </c>
      <c r="G18" s="93"/>
      <c r="H18" s="95">
        <f>VLOOKUP($B18,'[1]Stamping - 3 shift'!$C:$AR,35,FALSE)</f>
        <v>1.5640208011458608E-2</v>
      </c>
      <c r="I18" s="95"/>
      <c r="J18" s="95">
        <f>VLOOKUP($B18,'[1]Stamping - 3 shift'!$C:$AR,37,FALSE)</f>
        <v>1.8949886483668652</v>
      </c>
      <c r="K18" s="95"/>
      <c r="L18" s="95">
        <f>VLOOKUP($B18,'[1]Stamping - 3 shift'!$C:$AR,39,FALSE)</f>
        <v>3.7864157313621902</v>
      </c>
      <c r="M18" s="96"/>
    </row>
    <row r="19" spans="1:13" s="97" customFormat="1" ht="15">
      <c r="A19" s="92">
        <v>15</v>
      </c>
      <c r="B19" s="93" t="s">
        <v>110</v>
      </c>
      <c r="C19" s="93" t="s">
        <v>271</v>
      </c>
      <c r="D19" s="93" t="s">
        <v>349</v>
      </c>
      <c r="E19" s="93" t="s">
        <v>124</v>
      </c>
      <c r="F19" s="94">
        <f>VLOOKUP($B19,'[1]Stamping - 3 shift'!$C:$AR,16,FALSE)</f>
        <v>3</v>
      </c>
      <c r="G19" s="93"/>
      <c r="H19" s="95">
        <f>VLOOKUP($B19,'[1]Stamping - 3 shift'!$C:$AR,35,FALSE)</f>
        <v>1.5640208011458608E-2</v>
      </c>
      <c r="I19" s="95"/>
      <c r="J19" s="95">
        <f>VLOOKUP($B19,'[1]Stamping - 3 shift'!$C:$AR,37,FALSE)</f>
        <v>1.8949884964679629</v>
      </c>
      <c r="K19" s="95"/>
      <c r="L19" s="95">
        <f>VLOOKUP($B19,'[1]Stamping - 3 shift'!$C:$AR,39,FALSE)</f>
        <v>3.7864153250979906</v>
      </c>
      <c r="M19" s="96"/>
    </row>
    <row r="20" spans="1:13" s="97" customFormat="1" ht="15">
      <c r="A20" s="92">
        <v>16</v>
      </c>
      <c r="B20" s="93" t="s">
        <v>350</v>
      </c>
      <c r="C20" s="93" t="s">
        <v>329</v>
      </c>
      <c r="D20" s="93" t="s">
        <v>351</v>
      </c>
      <c r="E20" s="93" t="s">
        <v>352</v>
      </c>
      <c r="F20" s="94">
        <f>VLOOKUP($B20,'[1]Stamping - 3 shift'!$C:$AR,16,FALSE)</f>
        <v>3</v>
      </c>
      <c r="G20" s="93"/>
      <c r="H20" s="95">
        <f>VLOOKUP($B20,'[1]Stamping - 3 shift'!$C:$AR,35,FALSE)</f>
        <v>1.9498313738530686</v>
      </c>
      <c r="I20" s="95"/>
      <c r="J20" s="95">
        <f>VLOOKUP($B20,'[1]Stamping - 3 shift'!$C:$AR,37,FALSE)</f>
        <v>8.2454264896092244</v>
      </c>
      <c r="K20" s="95"/>
      <c r="L20" s="95">
        <f>VLOOKUP($B20,'[1]Stamping - 3 shift'!$C:$AR,39,FALSE)</f>
        <v>15.058269848674167</v>
      </c>
      <c r="M20" s="96"/>
    </row>
    <row r="21" spans="1:13" s="97" customFormat="1" ht="15">
      <c r="A21" s="92">
        <v>17</v>
      </c>
      <c r="B21" s="93" t="s">
        <v>353</v>
      </c>
      <c r="C21" s="93" t="s">
        <v>354</v>
      </c>
      <c r="D21" s="93" t="s">
        <v>355</v>
      </c>
      <c r="E21" s="93" t="s">
        <v>356</v>
      </c>
      <c r="F21" s="94">
        <f>VLOOKUP($B21,'[1]Stamping - 3 shift'!$C:$AR,16,FALSE)</f>
        <v>3</v>
      </c>
      <c r="G21" s="93"/>
      <c r="H21" s="95">
        <f>VLOOKUP($B21,'[1]Stamping - 3 shift'!$C:$AR,35,FALSE)</f>
        <v>2.533204849333937</v>
      </c>
      <c r="I21" s="95"/>
      <c r="J21" s="95">
        <f>VLOOKUP($B21,'[1]Stamping - 3 shift'!$C:$AR,37,FALSE)</f>
        <v>9.4619776177559505</v>
      </c>
      <c r="K21" s="95"/>
      <c r="L21" s="95">
        <f>VLOOKUP($B21,'[1]Stamping - 3 shift'!$C:$AR,39,FALSE)</f>
        <v>16.613567924984292</v>
      </c>
      <c r="M21" s="96"/>
    </row>
    <row r="22" spans="1:13" s="97" customFormat="1" ht="15">
      <c r="A22" s="92">
        <v>18</v>
      </c>
      <c r="B22" s="93" t="s">
        <v>113</v>
      </c>
      <c r="C22" s="93" t="s">
        <v>271</v>
      </c>
      <c r="D22" s="93" t="s">
        <v>357</v>
      </c>
      <c r="E22" s="93" t="s">
        <v>127</v>
      </c>
      <c r="F22" s="94">
        <f>VLOOKUP($B22,'[1]Stamping - 3 shift'!$C:$AR,16,FALSE)</f>
        <v>3</v>
      </c>
      <c r="G22" s="93"/>
      <c r="H22" s="95">
        <f>VLOOKUP($B22,'[1]Stamping - 3 shift'!$C:$AR,35,FALSE)</f>
        <v>8.0268624034375829E-3</v>
      </c>
      <c r="I22" s="95"/>
      <c r="J22" s="95">
        <f>VLOOKUP($B22,'[1]Stamping - 3 shift'!$C:$AR,37,FALSE)</f>
        <v>1.7858201939130063</v>
      </c>
      <c r="K22" s="95"/>
      <c r="L22" s="95">
        <f>VLOOKUP($B22,'[1]Stamping - 3 shift'!$C:$AR,39,FALSE)</f>
        <v>3.5793414856876229</v>
      </c>
      <c r="M22" s="96"/>
    </row>
    <row r="23" spans="1:13" s="97" customFormat="1" ht="15">
      <c r="A23" s="92">
        <v>19</v>
      </c>
      <c r="B23" s="93" t="s">
        <v>114</v>
      </c>
      <c r="C23" s="93" t="s">
        <v>271</v>
      </c>
      <c r="D23" s="93" t="s">
        <v>358</v>
      </c>
      <c r="E23" s="93" t="s">
        <v>128</v>
      </c>
      <c r="F23" s="94">
        <f>VLOOKUP($B23,'[1]Stamping - 3 shift'!$C:$AR,16,FALSE)</f>
        <v>3</v>
      </c>
      <c r="G23" s="93"/>
      <c r="H23" s="95">
        <f>VLOOKUP($B23,'[1]Stamping - 3 shift'!$C:$AR,35,FALSE)</f>
        <v>4.5480300164492733E-2</v>
      </c>
      <c r="I23" s="95"/>
      <c r="J23" s="95">
        <f>VLOOKUP($B23,'[1]Stamping - 3 shift'!$C:$AR,37,FALSE)</f>
        <v>2.3629399172273655</v>
      </c>
      <c r="K23" s="95"/>
      <c r="L23" s="95">
        <f>VLOOKUP($B23,'[1]Stamping - 3 shift'!$C:$AR,39,FALSE)</f>
        <v>4.841545572307079</v>
      </c>
      <c r="M23" s="96"/>
    </row>
    <row r="24" spans="1:13" ht="15">
      <c r="A24" s="79">
        <v>20</v>
      </c>
      <c r="B24" s="88" t="s">
        <v>115</v>
      </c>
      <c r="C24" s="88" t="s">
        <v>271</v>
      </c>
      <c r="D24" s="88" t="s">
        <v>359</v>
      </c>
      <c r="E24" s="88" t="s">
        <v>129</v>
      </c>
      <c r="F24" s="89">
        <f>VLOOKUP($B24,'[1]Stamping - 3 shift'!$C:$AR,16,FALSE)</f>
        <v>3</v>
      </c>
      <c r="G24" s="88"/>
      <c r="H24" s="90">
        <f>VLOOKUP($B24,'[1]Stamping - 3 shift'!$C:$AR,35,FALSE)</f>
        <v>3.1797229093976351E-2</v>
      </c>
      <c r="I24" s="90"/>
      <c r="J24" s="90">
        <f>VLOOKUP($B24,'[1]Stamping - 3 shift'!$C:$AR,37,FALSE)</f>
        <v>2.224655877687967</v>
      </c>
      <c r="K24" s="90"/>
      <c r="L24" s="90">
        <f>VLOOKUP($B24,'[1]Stamping - 3 shift'!$C:$AR,39,FALSE)</f>
        <v>4.4984850042533644</v>
      </c>
      <c r="M24" s="91"/>
    </row>
    <row r="25" spans="1:13" ht="15">
      <c r="A25" s="79">
        <v>21</v>
      </c>
      <c r="B25" s="88" t="s">
        <v>116</v>
      </c>
      <c r="C25" s="88" t="s">
        <v>271</v>
      </c>
      <c r="D25" s="88" t="s">
        <v>360</v>
      </c>
      <c r="E25" s="88" t="s">
        <v>130</v>
      </c>
      <c r="F25" s="89">
        <f>VLOOKUP($B25,'[1]Stamping - 3 shift'!$C:$AR,16,FALSE)</f>
        <v>3</v>
      </c>
      <c r="G25" s="88"/>
      <c r="H25" s="90">
        <f>VLOOKUP($B25,'[1]Stamping - 3 shift'!$C:$AR,35,FALSE)</f>
        <v>3.0201849613750328E-2</v>
      </c>
      <c r="I25" s="90"/>
      <c r="J25" s="90">
        <f>VLOOKUP($B25,'[1]Stamping - 3 shift'!$C:$AR,37,FALSE)</f>
        <v>1.8990976569228266</v>
      </c>
      <c r="K25" s="90"/>
      <c r="L25" s="90">
        <f>VLOOKUP($B25,'[1]Stamping - 3 shift'!$C:$AR,39,FALSE)</f>
        <v>3.7524052730756514</v>
      </c>
      <c r="M25" s="91"/>
    </row>
    <row r="26" spans="1:13" ht="15">
      <c r="A26" s="79"/>
      <c r="B26" s="80"/>
      <c r="C26" s="80"/>
      <c r="D26" s="80"/>
      <c r="E26" s="80"/>
      <c r="F26" s="80"/>
      <c r="G26" s="80"/>
      <c r="H26" s="80"/>
      <c r="I26" s="90"/>
      <c r="J26" s="80"/>
      <c r="K26" s="90"/>
      <c r="L26" s="80"/>
      <c r="M26" s="80"/>
    </row>
    <row r="27" spans="1:13" ht="15">
      <c r="A27" s="79">
        <v>22</v>
      </c>
      <c r="B27" s="98" t="s">
        <v>361</v>
      </c>
      <c r="C27" s="98" t="s">
        <v>362</v>
      </c>
      <c r="D27" s="98" t="s">
        <v>363</v>
      </c>
      <c r="E27" s="99" t="s">
        <v>364</v>
      </c>
      <c r="F27" s="89">
        <f>VLOOKUP($B27,'[1]Plating - 3 shift'!$C:$AO,16,FALSE)</f>
        <v>3</v>
      </c>
      <c r="G27" s="89"/>
      <c r="H27" s="89">
        <f>VLOOKUP($B27,'[1]Plating - 3 shift'!$C:$AO,35,FALSE)</f>
        <v>21.279370675683325</v>
      </c>
      <c r="I27" s="90"/>
      <c r="J27" s="100">
        <f>VLOOKUP($B27,'[1]Plating - 3 shift'!$C:$AO,37,FALSE)</f>
        <v>730.86108858496834</v>
      </c>
      <c r="K27" s="90"/>
      <c r="L27" s="100">
        <f>VLOOKUP($B27,'[1]Plating - 3 shift'!$C:$AO,39,FALSE)</f>
        <v>857.76738557677379</v>
      </c>
      <c r="M27" s="91"/>
    </row>
    <row r="28" spans="1:13" ht="15">
      <c r="A28" s="79">
        <v>23</v>
      </c>
      <c r="B28" s="98" t="s">
        <v>118</v>
      </c>
      <c r="C28" s="98" t="s">
        <v>362</v>
      </c>
      <c r="D28" s="98" t="s">
        <v>365</v>
      </c>
      <c r="E28" s="99" t="s">
        <v>364</v>
      </c>
      <c r="F28" s="89">
        <f>VLOOKUP($B28,'[1]Plating - 3 shift'!$C:$AO,16,FALSE)</f>
        <v>3</v>
      </c>
      <c r="G28" s="89"/>
      <c r="H28" s="89">
        <f>VLOOKUP($B28,'[1]Plating - 3 shift'!$C:$AO,35,FALSE)</f>
        <v>90.218344266434642</v>
      </c>
      <c r="I28" s="90"/>
      <c r="J28" s="100">
        <f>VLOOKUP($B28,'[1]Plating - 3 shift'!$C:$AO,37,FALSE)</f>
        <v>1283.8229684016444</v>
      </c>
      <c r="K28" s="90"/>
      <c r="L28" s="100">
        <f>VLOOKUP($B28,'[1]Plating - 3 shift'!$C:$AO,39,FALSE)</f>
        <v>1510.5318528562398</v>
      </c>
      <c r="M28" s="80"/>
    </row>
    <row r="29" spans="1:13">
      <c r="A29" s="101"/>
      <c r="B29" s="102"/>
      <c r="C29" s="102"/>
      <c r="D29" s="102"/>
      <c r="E29" s="102"/>
      <c r="F29" s="102"/>
      <c r="G29" s="102"/>
      <c r="H29" s="87"/>
      <c r="I29" s="87"/>
      <c r="J29" s="103"/>
      <c r="K29" s="87"/>
      <c r="L29" s="87"/>
      <c r="M29" s="80"/>
    </row>
    <row r="30" spans="1:13">
      <c r="A30" s="101"/>
      <c r="B30" s="102"/>
      <c r="C30" s="102"/>
      <c r="D30" s="102"/>
      <c r="E30" s="102"/>
      <c r="F30" s="102"/>
      <c r="G30" s="102"/>
      <c r="H30" s="87"/>
      <c r="I30" s="87"/>
      <c r="J30" s="87"/>
      <c r="K30" s="87"/>
      <c r="L30" s="87"/>
      <c r="M30" s="87"/>
    </row>
    <row r="31" spans="1:13">
      <c r="L31" s="87"/>
      <c r="M31" s="87"/>
    </row>
    <row r="32" spans="1:13">
      <c r="L32" s="87"/>
      <c r="M32" s="87"/>
    </row>
    <row r="33" spans="12:13">
      <c r="L33" s="87"/>
      <c r="M33" s="87"/>
    </row>
    <row r="34" spans="12:13">
      <c r="L34" s="87"/>
      <c r="M34" s="87"/>
    </row>
    <row r="35" spans="12:13">
      <c r="L35" s="87"/>
      <c r="M35" s="87"/>
    </row>
    <row r="36" spans="12:13">
      <c r="L36" s="87"/>
      <c r="M36" s="87"/>
    </row>
    <row r="37" spans="12:13">
      <c r="L37" s="87"/>
      <c r="M37" s="87"/>
    </row>
    <row r="38" spans="12:13">
      <c r="L38" s="87"/>
      <c r="M38" s="87"/>
    </row>
    <row r="39" spans="12:13">
      <c r="L39" s="87"/>
      <c r="M39" s="87"/>
    </row>
    <row r="40" spans="12:13">
      <c r="L40" s="87"/>
      <c r="M40" s="87"/>
    </row>
    <row r="41" spans="12:13">
      <c r="L41" s="87"/>
      <c r="M41" s="87"/>
    </row>
    <row r="42" spans="12:13">
      <c r="L42" s="87"/>
      <c r="M42" s="87"/>
    </row>
    <row r="43" spans="12:13">
      <c r="L43" s="87"/>
      <c r="M43" s="87"/>
    </row>
    <row r="44" spans="12:13">
      <c r="L44" s="87"/>
      <c r="M44" s="87"/>
    </row>
    <row r="45" spans="12:13">
      <c r="L45" s="87"/>
      <c r="M45" s="87"/>
    </row>
    <row r="46" spans="12:13">
      <c r="L46" s="87"/>
      <c r="M46" s="87"/>
    </row>
    <row r="47" spans="12:13">
      <c r="L47" s="87"/>
      <c r="M47" s="87"/>
    </row>
    <row r="48" spans="12:13">
      <c r="L48" s="87"/>
      <c r="M48" s="87"/>
    </row>
    <row r="49" spans="12:13">
      <c r="L49" s="87"/>
      <c r="M49" s="87"/>
    </row>
    <row r="50" spans="12:13">
      <c r="L50" s="87"/>
      <c r="M50" s="87"/>
    </row>
    <row r="51" spans="12:13">
      <c r="L51" s="87"/>
      <c r="M51" s="87"/>
    </row>
    <row r="52" spans="12:13">
      <c r="L52" s="87"/>
      <c r="M52" s="87"/>
    </row>
    <row r="53" spans="12:13">
      <c r="L53" s="87"/>
      <c r="M53" s="87"/>
    </row>
    <row r="54" spans="12:13">
      <c r="L54" s="87"/>
      <c r="M54" s="87"/>
    </row>
    <row r="55" spans="12:13">
      <c r="L55" s="87"/>
      <c r="M55" s="87"/>
    </row>
    <row r="56" spans="12:13">
      <c r="L56" s="87"/>
      <c r="M56" s="87"/>
    </row>
    <row r="57" spans="12:13">
      <c r="L57" s="87"/>
      <c r="M57" s="87"/>
    </row>
    <row r="58" spans="12:13">
      <c r="L58" s="87"/>
      <c r="M58" s="87"/>
    </row>
    <row r="59" spans="12:13">
      <c r="L59" s="87"/>
      <c r="M59" s="87"/>
    </row>
    <row r="60" spans="12:13">
      <c r="L60" s="87"/>
      <c r="M60" s="87"/>
    </row>
    <row r="61" spans="12:13">
      <c r="L61" s="87"/>
      <c r="M61" s="87"/>
    </row>
    <row r="62" spans="12:13">
      <c r="L62" s="87"/>
      <c r="M62" s="87"/>
    </row>
    <row r="63" spans="12:13">
      <c r="L63" s="87"/>
      <c r="M63" s="87"/>
    </row>
    <row r="64" spans="12:13">
      <c r="L64" s="87"/>
      <c r="M64" s="87"/>
    </row>
    <row r="65" spans="12:13">
      <c r="L65" s="87"/>
      <c r="M65" s="87"/>
    </row>
    <row r="66" spans="12:13">
      <c r="L66" s="87"/>
      <c r="M66" s="87"/>
    </row>
    <row r="67" spans="12:13">
      <c r="L67" s="87"/>
      <c r="M67" s="87"/>
    </row>
    <row r="68" spans="12:13">
      <c r="L68" s="87"/>
      <c r="M68" s="87"/>
    </row>
    <row r="69" spans="12:13">
      <c r="L69" s="87"/>
      <c r="M69" s="87"/>
    </row>
    <row r="70" spans="12:13">
      <c r="L70" s="87"/>
      <c r="M70" s="87"/>
    </row>
    <row r="71" spans="12:13">
      <c r="L71" s="87"/>
      <c r="M71" s="87"/>
    </row>
    <row r="72" spans="12:13">
      <c r="L72" s="87"/>
      <c r="M72" s="87"/>
    </row>
    <row r="73" spans="12:13">
      <c r="L73" s="87"/>
      <c r="M73" s="87"/>
    </row>
    <row r="74" spans="12:13">
      <c r="L74" s="87"/>
      <c r="M74" s="87"/>
    </row>
    <row r="75" spans="12:13">
      <c r="L75" s="87"/>
      <c r="M75" s="87"/>
    </row>
    <row r="76" spans="12:13">
      <c r="L76" s="87"/>
      <c r="M76" s="87"/>
    </row>
    <row r="77" spans="12:13">
      <c r="L77" s="87"/>
      <c r="M77" s="87"/>
    </row>
    <row r="78" spans="12:13">
      <c r="L78" s="87"/>
      <c r="M78" s="87"/>
    </row>
    <row r="79" spans="12:13">
      <c r="L79" s="87"/>
      <c r="M79" s="87"/>
    </row>
    <row r="80" spans="12:13">
      <c r="L80" s="87"/>
      <c r="M80" s="87"/>
    </row>
    <row r="81" spans="12:13">
      <c r="L81" s="87"/>
      <c r="M81" s="87"/>
    </row>
    <row r="82" spans="12:13">
      <c r="L82" s="87"/>
      <c r="M82" s="87"/>
    </row>
    <row r="83" spans="12:13">
      <c r="L83" s="87"/>
      <c r="M83" s="87"/>
    </row>
    <row r="84" spans="12:13">
      <c r="L84" s="87"/>
      <c r="M84" s="87"/>
    </row>
    <row r="85" spans="12:13">
      <c r="L85" s="87"/>
      <c r="M85" s="87"/>
    </row>
    <row r="86" spans="12:13">
      <c r="L86" s="87"/>
      <c r="M86" s="87"/>
    </row>
    <row r="87" spans="12:13">
      <c r="L87" s="87"/>
      <c r="M87" s="87"/>
    </row>
    <row r="88" spans="12:13">
      <c r="L88" s="87"/>
      <c r="M88" s="87"/>
    </row>
    <row r="89" spans="12:13">
      <c r="L89" s="87"/>
      <c r="M89" s="87"/>
    </row>
    <row r="90" spans="12:13">
      <c r="L90" s="87"/>
      <c r="M90" s="87"/>
    </row>
    <row r="91" spans="12:13">
      <c r="L91" s="87"/>
      <c r="M91" s="87"/>
    </row>
    <row r="92" spans="12:13">
      <c r="L92" s="87"/>
      <c r="M92" s="87"/>
    </row>
    <row r="93" spans="12:13">
      <c r="L93" s="87"/>
      <c r="M93" s="87"/>
    </row>
    <row r="94" spans="12:13">
      <c r="L94" s="87"/>
      <c r="M94" s="87"/>
    </row>
    <row r="95" spans="12:13">
      <c r="L95" s="87"/>
      <c r="M95" s="87"/>
    </row>
    <row r="96" spans="12:13">
      <c r="L96" s="87"/>
      <c r="M96" s="87"/>
    </row>
    <row r="97" spans="12:13">
      <c r="L97" s="87"/>
      <c r="M97" s="87"/>
    </row>
    <row r="98" spans="12:13">
      <c r="L98" s="87"/>
      <c r="M98" s="87"/>
    </row>
    <row r="99" spans="12:13">
      <c r="L99" s="87"/>
      <c r="M99" s="87"/>
    </row>
    <row r="100" spans="12:13">
      <c r="L100" s="87"/>
      <c r="M100" s="87"/>
    </row>
    <row r="101" spans="12:13">
      <c r="L101" s="87"/>
      <c r="M101" s="87"/>
    </row>
    <row r="102" spans="12:13">
      <c r="L102" s="87"/>
      <c r="M102" s="87"/>
    </row>
    <row r="103" spans="12:13">
      <c r="L103" s="87"/>
      <c r="M103" s="87"/>
    </row>
    <row r="104" spans="12:13">
      <c r="L104" s="87"/>
      <c r="M104" s="87"/>
    </row>
    <row r="105" spans="12:13">
      <c r="L105" s="87"/>
      <c r="M105" s="87"/>
    </row>
    <row r="106" spans="12:13">
      <c r="L106" s="87"/>
      <c r="M106" s="87"/>
    </row>
    <row r="107" spans="12:13">
      <c r="L107" s="87"/>
      <c r="M107" s="87"/>
    </row>
    <row r="108" spans="12:13">
      <c r="L108" s="87"/>
      <c r="M108" s="87"/>
    </row>
    <row r="109" spans="12:13">
      <c r="L109" s="87"/>
      <c r="M109" s="87"/>
    </row>
    <row r="110" spans="12:13">
      <c r="L110" s="87"/>
      <c r="M110" s="87"/>
    </row>
    <row r="111" spans="12:13">
      <c r="L111" s="87"/>
      <c r="M111" s="87"/>
    </row>
    <row r="112" spans="12:13">
      <c r="L112" s="87"/>
      <c r="M112" s="87"/>
    </row>
    <row r="113" spans="12:13">
      <c r="L113" s="87"/>
      <c r="M113" s="87"/>
    </row>
    <row r="114" spans="12:13">
      <c r="L114" s="87"/>
      <c r="M114" s="87"/>
    </row>
    <row r="115" spans="12:13">
      <c r="L115" s="87"/>
      <c r="M115" s="87"/>
    </row>
    <row r="116" spans="12:13">
      <c r="L116" s="87"/>
      <c r="M116" s="87"/>
    </row>
    <row r="117" spans="12:13">
      <c r="L117" s="87"/>
      <c r="M117" s="87"/>
    </row>
    <row r="118" spans="12:13">
      <c r="L118" s="87"/>
      <c r="M118" s="87"/>
    </row>
    <row r="119" spans="12:13">
      <c r="L119" s="87"/>
      <c r="M119" s="87"/>
    </row>
    <row r="120" spans="12:13">
      <c r="L120" s="87"/>
      <c r="M120" s="87"/>
    </row>
    <row r="121" spans="12:13">
      <c r="L121" s="87"/>
      <c r="M121" s="87"/>
    </row>
    <row r="122" spans="12:13">
      <c r="L122" s="87"/>
      <c r="M122" s="87"/>
    </row>
    <row r="123" spans="12:13">
      <c r="L123" s="87"/>
      <c r="M123" s="87"/>
    </row>
    <row r="124" spans="12:13">
      <c r="L124" s="87"/>
      <c r="M124" s="87"/>
    </row>
    <row r="125" spans="12:13">
      <c r="L125" s="87"/>
      <c r="M125" s="87"/>
    </row>
    <row r="126" spans="12:13">
      <c r="L126" s="87"/>
      <c r="M126" s="87"/>
    </row>
    <row r="127" spans="12:13">
      <c r="L127" s="87"/>
      <c r="M127" s="87"/>
    </row>
    <row r="128" spans="12:13">
      <c r="L128" s="87"/>
      <c r="M128" s="87"/>
    </row>
    <row r="129" spans="12:13">
      <c r="L129" s="87"/>
      <c r="M129" s="87"/>
    </row>
    <row r="130" spans="12:13">
      <c r="L130" s="87"/>
      <c r="M130" s="87"/>
    </row>
    <row r="131" spans="12:13">
      <c r="L131" s="87"/>
      <c r="M131" s="87"/>
    </row>
    <row r="132" spans="12:13">
      <c r="L132" s="87"/>
      <c r="M132" s="87"/>
    </row>
    <row r="133" spans="12:13">
      <c r="L133" s="87"/>
      <c r="M133" s="87"/>
    </row>
    <row r="134" spans="12:13">
      <c r="L134" s="87"/>
      <c r="M134" s="87"/>
    </row>
    <row r="135" spans="12:13">
      <c r="L135" s="87"/>
      <c r="M135" s="87"/>
    </row>
    <row r="136" spans="12:13">
      <c r="L136" s="87"/>
      <c r="M136" s="87"/>
    </row>
    <row r="137" spans="12:13">
      <c r="L137" s="87"/>
      <c r="M137" s="87"/>
    </row>
    <row r="138" spans="12:13">
      <c r="L138" s="87"/>
      <c r="M138" s="87"/>
    </row>
    <row r="139" spans="12:13">
      <c r="L139" s="87"/>
      <c r="M139" s="87"/>
    </row>
    <row r="140" spans="12:13">
      <c r="L140" s="87"/>
      <c r="M140" s="87"/>
    </row>
    <row r="141" spans="12:13">
      <c r="L141" s="87"/>
      <c r="M141" s="87"/>
    </row>
    <row r="142" spans="12:13">
      <c r="L142" s="87"/>
      <c r="M142" s="87"/>
    </row>
    <row r="143" spans="12:13">
      <c r="L143" s="87"/>
      <c r="M143" s="87"/>
    </row>
    <row r="144" spans="12:13">
      <c r="L144" s="87"/>
      <c r="M144" s="87"/>
    </row>
    <row r="145" spans="12:13">
      <c r="L145" s="87"/>
      <c r="M145" s="87"/>
    </row>
    <row r="146" spans="12:13">
      <c r="L146" s="87"/>
      <c r="M146" s="87"/>
    </row>
    <row r="147" spans="12:13">
      <c r="L147" s="87"/>
      <c r="M147" s="87"/>
    </row>
    <row r="148" spans="12:13">
      <c r="L148" s="87"/>
      <c r="M148" s="87"/>
    </row>
    <row r="149" spans="12:13">
      <c r="L149" s="87"/>
      <c r="M149" s="87"/>
    </row>
    <row r="150" spans="12:13">
      <c r="L150" s="87"/>
      <c r="M150" s="87"/>
    </row>
    <row r="151" spans="12:13">
      <c r="L151" s="87"/>
      <c r="M151" s="87"/>
    </row>
    <row r="152" spans="12:13">
      <c r="L152" s="87"/>
      <c r="M152" s="87"/>
    </row>
    <row r="153" spans="12:13">
      <c r="L153" s="87"/>
      <c r="M153" s="87"/>
    </row>
    <row r="154" spans="12:13">
      <c r="L154" s="87"/>
      <c r="M154" s="87"/>
    </row>
    <row r="155" spans="12:13">
      <c r="L155" s="87"/>
      <c r="M155" s="87"/>
    </row>
    <row r="156" spans="12:13">
      <c r="L156" s="87"/>
      <c r="M156" s="87"/>
    </row>
    <row r="157" spans="12:13">
      <c r="L157" s="87"/>
      <c r="M157" s="87"/>
    </row>
    <row r="158" spans="12:13">
      <c r="L158" s="87"/>
      <c r="M158" s="87"/>
    </row>
    <row r="159" spans="12:13">
      <c r="L159" s="87"/>
      <c r="M159" s="87"/>
    </row>
    <row r="160" spans="12:13">
      <c r="L160" s="87"/>
      <c r="M160" s="87"/>
    </row>
    <row r="161" spans="12:13">
      <c r="L161" s="87"/>
      <c r="M161" s="87"/>
    </row>
    <row r="162" spans="12:13">
      <c r="L162" s="87"/>
      <c r="M162" s="87"/>
    </row>
    <row r="163" spans="12:13">
      <c r="L163" s="87"/>
      <c r="M163" s="87"/>
    </row>
    <row r="164" spans="12:13">
      <c r="L164" s="87"/>
      <c r="M164" s="87"/>
    </row>
    <row r="165" spans="12:13">
      <c r="L165" s="87"/>
      <c r="M165" s="87"/>
    </row>
    <row r="166" spans="12:13">
      <c r="L166" s="87"/>
      <c r="M166" s="87"/>
    </row>
    <row r="167" spans="12:13">
      <c r="L167" s="87"/>
      <c r="M167" s="87"/>
    </row>
    <row r="168" spans="12:13">
      <c r="L168" s="87"/>
      <c r="M168" s="87"/>
    </row>
    <row r="169" spans="12:13">
      <c r="L169" s="87"/>
      <c r="M169" s="87"/>
    </row>
    <row r="170" spans="12:13">
      <c r="L170" s="87"/>
      <c r="M170" s="87"/>
    </row>
    <row r="171" spans="12:13">
      <c r="L171" s="87"/>
      <c r="M171" s="87"/>
    </row>
    <row r="172" spans="12:13">
      <c r="L172" s="87"/>
      <c r="M172" s="87"/>
    </row>
    <row r="173" spans="12:13">
      <c r="L173" s="87"/>
      <c r="M173" s="87"/>
    </row>
    <row r="174" spans="12:13">
      <c r="L174" s="87"/>
      <c r="M174" s="87"/>
    </row>
    <row r="175" spans="12:13">
      <c r="L175" s="87"/>
      <c r="M175" s="87"/>
    </row>
    <row r="176" spans="12:13">
      <c r="L176" s="87"/>
      <c r="M176" s="87"/>
    </row>
    <row r="177" spans="12:13">
      <c r="L177" s="87"/>
      <c r="M177" s="87"/>
    </row>
    <row r="178" spans="12:13">
      <c r="L178" s="87"/>
      <c r="M178" s="87"/>
    </row>
    <row r="179" spans="12:13">
      <c r="L179" s="87"/>
      <c r="M179" s="87"/>
    </row>
    <row r="180" spans="12:13">
      <c r="L180" s="87"/>
      <c r="M180" s="87"/>
    </row>
    <row r="181" spans="12:13">
      <c r="L181" s="87"/>
      <c r="M181" s="87"/>
    </row>
    <row r="182" spans="12:13">
      <c r="L182" s="87"/>
      <c r="M182" s="87"/>
    </row>
    <row r="183" spans="12:13">
      <c r="L183" s="87"/>
      <c r="M183" s="87"/>
    </row>
    <row r="184" spans="12:13">
      <c r="L184" s="87"/>
      <c r="M184" s="87"/>
    </row>
    <row r="185" spans="12:13">
      <c r="L185" s="87"/>
      <c r="M185" s="87"/>
    </row>
    <row r="186" spans="12:13">
      <c r="L186" s="87"/>
      <c r="M186" s="87"/>
    </row>
    <row r="187" spans="12:13">
      <c r="L187" s="87"/>
      <c r="M187" s="87"/>
    </row>
    <row r="188" spans="12:13">
      <c r="L188" s="87"/>
      <c r="M188" s="87"/>
    </row>
    <row r="189" spans="12:13">
      <c r="L189" s="87"/>
      <c r="M189" s="87"/>
    </row>
    <row r="190" spans="12:13">
      <c r="L190" s="87"/>
      <c r="M190" s="87"/>
    </row>
    <row r="191" spans="12:13">
      <c r="L191" s="87"/>
      <c r="M191" s="87"/>
    </row>
    <row r="192" spans="12:13">
      <c r="L192" s="87"/>
      <c r="M192" s="87"/>
    </row>
    <row r="193" spans="12:13">
      <c r="L193" s="87"/>
      <c r="M193" s="87"/>
    </row>
    <row r="194" spans="12:13">
      <c r="L194" s="87"/>
      <c r="M194" s="87"/>
    </row>
    <row r="195" spans="12:13">
      <c r="L195" s="87"/>
      <c r="M195" s="87"/>
    </row>
    <row r="196" spans="12:13">
      <c r="L196" s="87"/>
      <c r="M196" s="87"/>
    </row>
    <row r="197" spans="12:13">
      <c r="L197" s="87"/>
      <c r="M197" s="87"/>
    </row>
    <row r="198" spans="12:13">
      <c r="L198" s="87"/>
      <c r="M198" s="87"/>
    </row>
    <row r="199" spans="12:13">
      <c r="L199" s="87"/>
      <c r="M199" s="87"/>
    </row>
    <row r="200" spans="12:13">
      <c r="L200" s="87"/>
      <c r="M200" s="87"/>
    </row>
    <row r="201" spans="12:13">
      <c r="L201" s="87"/>
      <c r="M201" s="87"/>
    </row>
    <row r="202" spans="12:13">
      <c r="L202" s="87"/>
      <c r="M202" s="87"/>
    </row>
    <row r="203" spans="12:13">
      <c r="L203" s="87"/>
      <c r="M203" s="87"/>
    </row>
    <row r="204" spans="12:13">
      <c r="L204" s="87"/>
      <c r="M204" s="87"/>
    </row>
    <row r="205" spans="12:13">
      <c r="L205" s="87"/>
      <c r="M205" s="87"/>
    </row>
    <row r="206" spans="12:13">
      <c r="L206" s="87"/>
      <c r="M206" s="87"/>
    </row>
    <row r="207" spans="12:13">
      <c r="L207" s="87"/>
      <c r="M207" s="87"/>
    </row>
    <row r="208" spans="12:13">
      <c r="L208" s="87"/>
      <c r="M208" s="87"/>
    </row>
    <row r="209" spans="12:13">
      <c r="L209" s="87"/>
      <c r="M209" s="87"/>
    </row>
    <row r="210" spans="12:13">
      <c r="L210" s="87"/>
      <c r="M210" s="87"/>
    </row>
    <row r="211" spans="12:13">
      <c r="L211" s="87"/>
      <c r="M211" s="87"/>
    </row>
    <row r="212" spans="12:13">
      <c r="L212" s="87"/>
      <c r="M212" s="87"/>
    </row>
    <row r="213" spans="12:13">
      <c r="L213" s="87"/>
      <c r="M213" s="87"/>
    </row>
    <row r="214" spans="12:13">
      <c r="L214" s="87"/>
      <c r="M214" s="87"/>
    </row>
    <row r="215" spans="12:13">
      <c r="L215" s="87"/>
      <c r="M215" s="87"/>
    </row>
    <row r="216" spans="12:13">
      <c r="L216" s="87"/>
      <c r="M216" s="87"/>
    </row>
    <row r="217" spans="12:13">
      <c r="L217" s="87"/>
      <c r="M217" s="87"/>
    </row>
    <row r="218" spans="12:13">
      <c r="L218" s="87"/>
      <c r="M218" s="87"/>
    </row>
    <row r="219" spans="12:13">
      <c r="L219" s="87"/>
      <c r="M219" s="87"/>
    </row>
    <row r="220" spans="12:13">
      <c r="L220" s="87"/>
      <c r="M220" s="87"/>
    </row>
    <row r="221" spans="12:13">
      <c r="L221" s="87"/>
      <c r="M221" s="87"/>
    </row>
    <row r="222" spans="12:13">
      <c r="L222" s="87"/>
      <c r="M222" s="87"/>
    </row>
    <row r="223" spans="12:13">
      <c r="L223" s="87"/>
      <c r="M223" s="87"/>
    </row>
    <row r="224" spans="12:13">
      <c r="L224" s="87"/>
      <c r="M224" s="87"/>
    </row>
    <row r="225" spans="12:13">
      <c r="L225" s="87"/>
      <c r="M225" s="87"/>
    </row>
    <row r="226" spans="12:13">
      <c r="L226" s="87"/>
      <c r="M226" s="87"/>
    </row>
    <row r="227" spans="12:13">
      <c r="L227" s="87"/>
      <c r="M227" s="87"/>
    </row>
    <row r="228" spans="12:13">
      <c r="L228" s="87"/>
      <c r="M228" s="87"/>
    </row>
    <row r="229" spans="12:13">
      <c r="L229" s="87"/>
      <c r="M229" s="87"/>
    </row>
    <row r="230" spans="12:13">
      <c r="L230" s="87"/>
      <c r="M230" s="87"/>
    </row>
    <row r="231" spans="12:13">
      <c r="L231" s="87"/>
      <c r="M231" s="87"/>
    </row>
    <row r="232" spans="12:13">
      <c r="L232" s="87"/>
      <c r="M232" s="87"/>
    </row>
    <row r="233" spans="12:13">
      <c r="L233" s="87"/>
      <c r="M233" s="87"/>
    </row>
    <row r="234" spans="12:13">
      <c r="L234" s="87"/>
      <c r="M234" s="87"/>
    </row>
    <row r="235" spans="12:13">
      <c r="L235" s="87"/>
      <c r="M235" s="87"/>
    </row>
    <row r="236" spans="12:13">
      <c r="L236" s="87"/>
      <c r="M236" s="87"/>
    </row>
    <row r="237" spans="12:13">
      <c r="L237" s="87"/>
      <c r="M237" s="87"/>
    </row>
    <row r="238" spans="12:13">
      <c r="L238" s="87"/>
      <c r="M238" s="87"/>
    </row>
    <row r="239" spans="12:13">
      <c r="L239" s="87"/>
      <c r="M239" s="87"/>
    </row>
    <row r="240" spans="12:13">
      <c r="L240" s="87"/>
      <c r="M240" s="87"/>
    </row>
    <row r="241" spans="12:13">
      <c r="L241" s="87"/>
      <c r="M241" s="87"/>
    </row>
    <row r="242" spans="12:13">
      <c r="L242" s="87"/>
      <c r="M242" s="87"/>
    </row>
    <row r="243" spans="12:13">
      <c r="L243" s="87"/>
      <c r="M243" s="87"/>
    </row>
    <row r="244" spans="12:13">
      <c r="L244" s="87"/>
      <c r="M244" s="87"/>
    </row>
    <row r="245" spans="12:13">
      <c r="L245" s="87"/>
      <c r="M245" s="87"/>
    </row>
    <row r="246" spans="12:13">
      <c r="L246" s="87"/>
      <c r="M246" s="87"/>
    </row>
    <row r="247" spans="12:13">
      <c r="L247" s="87"/>
      <c r="M247" s="87"/>
    </row>
    <row r="248" spans="12:13">
      <c r="L248" s="87"/>
      <c r="M248" s="87"/>
    </row>
    <row r="249" spans="12:13">
      <c r="L249" s="87"/>
      <c r="M249" s="87"/>
    </row>
    <row r="250" spans="12:13">
      <c r="L250" s="87"/>
      <c r="M250" s="87"/>
    </row>
    <row r="251" spans="12:13">
      <c r="L251" s="87"/>
      <c r="M251" s="87"/>
    </row>
    <row r="252" spans="12:13">
      <c r="L252" s="87"/>
      <c r="M252" s="87"/>
    </row>
    <row r="253" spans="12:13">
      <c r="L253" s="87"/>
      <c r="M253" s="87"/>
    </row>
    <row r="254" spans="12:13">
      <c r="L254" s="87"/>
      <c r="M254" s="87"/>
    </row>
    <row r="255" spans="12:13">
      <c r="L255" s="87"/>
      <c r="M255" s="87"/>
    </row>
    <row r="256" spans="12:13">
      <c r="L256" s="87"/>
      <c r="M256" s="87"/>
    </row>
    <row r="257" spans="12:13">
      <c r="L257" s="87"/>
      <c r="M257" s="87"/>
    </row>
    <row r="258" spans="12:13">
      <c r="L258" s="87"/>
      <c r="M258" s="87"/>
    </row>
    <row r="259" spans="12:13">
      <c r="L259" s="87"/>
      <c r="M259" s="87"/>
    </row>
    <row r="260" spans="12:13">
      <c r="L260" s="87"/>
      <c r="M260" s="87"/>
    </row>
    <row r="261" spans="12:13">
      <c r="L261" s="87"/>
      <c r="M261" s="87"/>
    </row>
    <row r="262" spans="12:13">
      <c r="L262" s="87"/>
      <c r="M262" s="87"/>
    </row>
    <row r="263" spans="12:13">
      <c r="L263" s="87"/>
      <c r="M263" s="87"/>
    </row>
    <row r="264" spans="12:13">
      <c r="L264" s="87"/>
      <c r="M264" s="87"/>
    </row>
    <row r="265" spans="12:13">
      <c r="L265" s="87"/>
      <c r="M265" s="87"/>
    </row>
    <row r="266" spans="12:13">
      <c r="L266" s="87"/>
      <c r="M266" s="87"/>
    </row>
    <row r="267" spans="12:13">
      <c r="L267" s="87"/>
      <c r="M267" s="87"/>
    </row>
    <row r="268" spans="12:13">
      <c r="L268" s="87"/>
      <c r="M268" s="87"/>
    </row>
    <row r="269" spans="12:13">
      <c r="L269" s="87"/>
      <c r="M269" s="87"/>
    </row>
    <row r="270" spans="12:13">
      <c r="L270" s="87"/>
      <c r="M270" s="87"/>
    </row>
    <row r="271" spans="12:13">
      <c r="L271" s="87"/>
      <c r="M271" s="87"/>
    </row>
    <row r="272" spans="12:13">
      <c r="L272" s="87"/>
      <c r="M272" s="87"/>
    </row>
    <row r="273" spans="12:13">
      <c r="L273" s="87"/>
      <c r="M273" s="87"/>
    </row>
    <row r="274" spans="12:13">
      <c r="L274" s="87"/>
      <c r="M274" s="87"/>
    </row>
    <row r="275" spans="12:13">
      <c r="L275" s="87"/>
      <c r="M275" s="87"/>
    </row>
    <row r="276" spans="12:13">
      <c r="L276" s="87"/>
      <c r="M276" s="87"/>
    </row>
    <row r="277" spans="12:13">
      <c r="L277" s="87"/>
      <c r="M277" s="87"/>
    </row>
    <row r="278" spans="12:13">
      <c r="L278" s="87"/>
      <c r="M278" s="87"/>
    </row>
    <row r="279" spans="12:13">
      <c r="L279" s="87"/>
      <c r="M279" s="87"/>
    </row>
    <row r="280" spans="12:13">
      <c r="L280" s="87"/>
      <c r="M280" s="87"/>
    </row>
    <row r="281" spans="12:13">
      <c r="L281" s="87"/>
      <c r="M281" s="87"/>
    </row>
    <row r="282" spans="12:13">
      <c r="L282" s="87"/>
      <c r="M282" s="87"/>
    </row>
    <row r="283" spans="12:13">
      <c r="L283" s="87"/>
      <c r="M283" s="87"/>
    </row>
    <row r="284" spans="12:13">
      <c r="L284" s="87"/>
      <c r="M284" s="87"/>
    </row>
    <row r="285" spans="12:13">
      <c r="L285" s="87"/>
      <c r="M285" s="87"/>
    </row>
    <row r="286" spans="12:13">
      <c r="L286" s="87"/>
      <c r="M286" s="87"/>
    </row>
    <row r="287" spans="12:13">
      <c r="L287" s="87"/>
      <c r="M287" s="87"/>
    </row>
    <row r="288" spans="12:13">
      <c r="L288" s="87"/>
      <c r="M288" s="87"/>
    </row>
    <row r="289" spans="12:13">
      <c r="L289" s="87"/>
      <c r="M289" s="87"/>
    </row>
    <row r="290" spans="12:13">
      <c r="L290" s="87"/>
      <c r="M290" s="87"/>
    </row>
    <row r="291" spans="12:13">
      <c r="L291" s="87"/>
      <c r="M291" s="87"/>
    </row>
  </sheetData>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Secondary Process MC</vt:lpstr>
      <vt:lpstr>Stamping Process MC</vt:lpstr>
      <vt:lpstr>SoftTool Process MC</vt:lpstr>
      <vt:lpstr>ColdForging Process MC</vt:lpstr>
      <vt:lpstr>DieCasting Process MC</vt:lpstr>
      <vt:lpstr>Factory Labour and MasterData</vt:lpstr>
      <vt:lpstr>Sheet1</vt:lpstr>
      <vt:lpstr>Sheet2</vt:lpstr>
      <vt:lpstr>Reference--&gt;</vt:lpstr>
      <vt:lpstr>FY16 BG Labor hour</vt:lpstr>
      <vt:lpstr>汇总FY16 BG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TC</dc:creator>
  <cp:lastModifiedBy>Meng Hui FONG</cp:lastModifiedBy>
  <dcterms:created xsi:type="dcterms:W3CDTF">2017-03-22T08:21:44Z</dcterms:created>
  <dcterms:modified xsi:type="dcterms:W3CDTF">2017-05-04T07:40:49Z</dcterms:modified>
</cp:coreProperties>
</file>