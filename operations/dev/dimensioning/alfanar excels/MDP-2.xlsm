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0" yWindow="840" windowWidth="15480" windowHeight="6915" tabRatio="979" activeTab="3"/>
  </bookViews>
  <sheets>
    <sheet name="ENCL 2013" sheetId="36" r:id="rId1"/>
    <sheet name="BUSBAR 2013" sheetId="19" r:id="rId2"/>
    <sheet name="WIRING 2013" sheetId="39" r:id="rId3"/>
    <sheet name="RESULTS" sheetId="37" r:id="rId4"/>
    <sheet name="Busbar Calculations" sheetId="25" state="hidden" r:id="rId5"/>
    <sheet name="BUSBAR DATA" sheetId="27" r:id="rId6"/>
    <sheet name="ROUTING" sheetId="29" state="hidden" r:id="rId7"/>
    <sheet name="MF-STEEL(KG)" sheetId="32" state="hidden" r:id="rId8"/>
    <sheet name="MACHINE RATE" sheetId="33" state="hidden" r:id="rId9"/>
    <sheet name="BOM" sheetId="31" state="hidden" r:id="rId10"/>
    <sheet name="MF FINAL" sheetId="34" r:id="rId11"/>
    <sheet name="Steel Calculations" sheetId="35" state="hidden" r:id="rId12"/>
  </sheets>
  <definedNames>
    <definedName name="_xlnm._FilterDatabase" localSheetId="9" hidden="1">BOM!$D$1:$D$34</definedName>
    <definedName name="_xlnm._FilterDatabase" localSheetId="4" hidden="1">'Busbar Calculations'!$M$12:$M$252</definedName>
    <definedName name="_xlnm._FilterDatabase" localSheetId="5" hidden="1">'BUSBAR DATA'!$A$3:$A$19</definedName>
    <definedName name="_xlnm._FilterDatabase" localSheetId="6" hidden="1">ROUTING!$G$2:$G$135</definedName>
    <definedName name="BUSBAR1_CLEAR">'BUSBAR 2013'!$B$11:$Q$14</definedName>
    <definedName name="BUSBAR2_CLEAR">'BUSBAR 2013'!$B$18:$Q$18</definedName>
    <definedName name="BUSBAR3_CLEAR">'BUSBAR 2013'!$B$22:$N$22</definedName>
    <definedName name="BUSBAR4_CLEAR">'BUSBAR 2013'!$B$23:$Q$25</definedName>
    <definedName name="BUSBAR5_CLEAR">'BUSBAR 2013'!$B$29:$N$29</definedName>
    <definedName name="BUSBAR6_CLEAR">'BUSBAR 2013'!$B$30:$Q$32</definedName>
    <definedName name="BUSBAR7_CLEAR">'BUSBAR 2013'!$C$37:$P$37</definedName>
    <definedName name="datatable1">'ENCL 2013'!$B$12:$U$16</definedName>
    <definedName name="datatable2">'ENCL 2013'!$B$23:$H$26</definedName>
    <definedName name="LIST">'Steel Calculations'!$B$11:$B$15</definedName>
    <definedName name="_xlnm.Print_Area" localSheetId="10">'MF FINAL'!$A$2:$U$107</definedName>
    <definedName name="Table_New">'BUSBAR DATA'!$A$23:$X$39</definedName>
    <definedName name="Table_Old">'BUSBAR DATA'!$A$3:$X$19</definedName>
    <definedName name="WIRING_CLEAR">'WIRING 2013'!$B$2:$B$63</definedName>
  </definedNames>
  <calcPr calcId="145621"/>
</workbook>
</file>

<file path=xl/calcChain.xml><?xml version="1.0" encoding="utf-8"?>
<calcChain xmlns="http://schemas.openxmlformats.org/spreadsheetml/2006/main">
  <c r="B65" i="29" l="1"/>
  <c r="D65" i="29" s="1"/>
  <c r="B66" i="29"/>
  <c r="D66" i="29" s="1"/>
  <c r="B67" i="29"/>
  <c r="D67" i="29" s="1"/>
  <c r="B68" i="29"/>
  <c r="D68" i="29" s="1"/>
  <c r="B69" i="29"/>
  <c r="D69" i="29" s="1"/>
  <c r="B70" i="29"/>
  <c r="D70" i="29" s="1"/>
  <c r="B71" i="29"/>
  <c r="D71" i="29" s="1"/>
  <c r="B72" i="29"/>
  <c r="D72" i="29" s="1"/>
  <c r="B73" i="29"/>
  <c r="D73" i="29" s="1"/>
  <c r="B74" i="29"/>
  <c r="D74" i="29" s="1"/>
  <c r="B75" i="29"/>
  <c r="D75" i="29" s="1"/>
  <c r="B76" i="29"/>
  <c r="D76" i="29" s="1"/>
  <c r="B77" i="29"/>
  <c r="D77" i="29" s="1"/>
  <c r="B78" i="29"/>
  <c r="D78" i="29" s="1"/>
  <c r="B79" i="29"/>
  <c r="D79" i="29" s="1"/>
  <c r="B80" i="29"/>
  <c r="D80" i="29" s="1"/>
  <c r="B82" i="29"/>
  <c r="D82" i="29" s="1"/>
  <c r="B83" i="29"/>
  <c r="D83" i="29" s="1"/>
  <c r="B84" i="29"/>
  <c r="D84" i="29" s="1"/>
  <c r="B85" i="29"/>
  <c r="D85" i="29" s="1"/>
  <c r="B86" i="29"/>
  <c r="D86" i="29" s="1"/>
  <c r="B87" i="29"/>
  <c r="D87" i="29" s="1"/>
  <c r="B88" i="29"/>
  <c r="D88" i="29" s="1"/>
  <c r="B89" i="29"/>
  <c r="D89" i="29" s="1"/>
  <c r="B90" i="29"/>
  <c r="D90" i="29" s="1"/>
  <c r="B91" i="29"/>
  <c r="D91" i="29" s="1"/>
  <c r="B93" i="29"/>
  <c r="D93" i="29" s="1"/>
  <c r="B94" i="29"/>
  <c r="D94" i="29" s="1"/>
  <c r="B95" i="29"/>
  <c r="D95" i="29" s="1"/>
  <c r="B97" i="29"/>
  <c r="D97" i="29" s="1"/>
  <c r="B98" i="29"/>
  <c r="D98" i="29" s="1"/>
  <c r="B99" i="29"/>
  <c r="D99" i="29" s="1"/>
  <c r="B100" i="29"/>
  <c r="D100" i="29" s="1"/>
  <c r="B102" i="29"/>
  <c r="D102" i="29" s="1"/>
  <c r="B103" i="29"/>
  <c r="D103" i="29" s="1"/>
  <c r="B104" i="29"/>
  <c r="D104" i="29" s="1"/>
  <c r="B105" i="29"/>
  <c r="D105" i="29" s="1"/>
  <c r="B107" i="29"/>
  <c r="D107" i="29" s="1"/>
  <c r="B108" i="29"/>
  <c r="D108" i="29" s="1"/>
  <c r="B109" i="29"/>
  <c r="D109" i="29" s="1"/>
  <c r="B110" i="29"/>
  <c r="D110" i="29" s="1"/>
  <c r="B111" i="29"/>
  <c r="D111" i="29" s="1"/>
  <c r="B112" i="29"/>
  <c r="D112" i="29" s="1"/>
  <c r="B113" i="29"/>
  <c r="D113" i="29" s="1"/>
  <c r="B115" i="29"/>
  <c r="D115" i="29" s="1"/>
  <c r="B116" i="29"/>
  <c r="D116" i="29" s="1"/>
  <c r="B117" i="29"/>
  <c r="D117" i="29" s="1"/>
  <c r="B118" i="29"/>
  <c r="D118" i="29" s="1"/>
  <c r="B119" i="29"/>
  <c r="D119" i="29" s="1"/>
  <c r="B120" i="29"/>
  <c r="D120" i="29" s="1"/>
  <c r="B121" i="29"/>
  <c r="D121" i="29" s="1"/>
  <c r="B123" i="29"/>
  <c r="D123" i="29" s="1"/>
  <c r="B124" i="29"/>
  <c r="D124" i="29" s="1"/>
  <c r="B125" i="29"/>
  <c r="D125" i="29" s="1"/>
  <c r="C72" i="29" l="1"/>
  <c r="B64" i="29" l="1"/>
  <c r="D64" i="29" s="1"/>
  <c r="D126" i="29" l="1"/>
  <c r="C60" i="27"/>
  <c r="C59" i="27"/>
  <c r="AH4" i="37" l="1"/>
  <c r="ED4" i="37" l="1"/>
  <c r="EH4" i="37"/>
  <c r="EM4" i="37"/>
  <c r="EN4" i="37"/>
  <c r="ER4" i="37"/>
  <c r="EV4" i="37"/>
  <c r="FE4" i="37"/>
  <c r="FF4" i="37"/>
  <c r="DZ4" i="37"/>
  <c r="H226" i="25" l="1"/>
  <c r="H160" i="25"/>
  <c r="H73" i="25"/>
  <c r="L92" i="25" l="1"/>
  <c r="L91" i="25"/>
  <c r="L90" i="25"/>
  <c r="L89" i="25"/>
  <c r="L88" i="25"/>
  <c r="L87" i="25"/>
  <c r="L86" i="25"/>
  <c r="L85" i="25"/>
  <c r="L84" i="25"/>
  <c r="L83" i="25"/>
  <c r="L82" i="25"/>
  <c r="L81" i="25"/>
  <c r="L80" i="25"/>
  <c r="L79" i="25"/>
  <c r="L78" i="25"/>
  <c r="L77" i="25"/>
  <c r="A2" i="25" l="1"/>
  <c r="B42" i="29" l="1"/>
  <c r="F9" i="29"/>
  <c r="F15" i="29"/>
  <c r="F21" i="29"/>
  <c r="F3" i="29"/>
  <c r="L167" i="25" l="1"/>
  <c r="L166" i="25"/>
  <c r="L165" i="25"/>
  <c r="L164" i="25"/>
  <c r="L101" i="25"/>
  <c r="L100" i="25"/>
  <c r="L99" i="25"/>
  <c r="L98" i="25"/>
  <c r="L10" i="25"/>
  <c r="L9" i="25"/>
  <c r="L8" i="25"/>
  <c r="L11" i="25"/>
  <c r="A167" i="25"/>
  <c r="A166" i="25"/>
  <c r="A165" i="25"/>
  <c r="A99" i="25"/>
  <c r="A101" i="25"/>
  <c r="A100" i="25"/>
  <c r="A11" i="25"/>
  <c r="A10" i="25"/>
  <c r="A9" i="25"/>
  <c r="G42" i="36"/>
  <c r="AK4" i="37" s="1"/>
  <c r="I42" i="36"/>
  <c r="H43" i="36"/>
  <c r="K43" i="36"/>
  <c r="K42" i="36"/>
  <c r="AO4" i="37" l="1"/>
  <c r="H31" i="29"/>
  <c r="F28" i="29" l="1"/>
  <c r="L244" i="25"/>
  <c r="L240" i="25"/>
  <c r="L230" i="25"/>
  <c r="M4" i="27"/>
  <c r="H28" i="29" l="1"/>
  <c r="G28" i="29"/>
  <c r="B232" i="25"/>
  <c r="B231" i="25"/>
  <c r="B230" i="25"/>
  <c r="F29" i="29" l="1"/>
  <c r="F30" i="29"/>
  <c r="H30" i="29" l="1"/>
  <c r="G30" i="29"/>
  <c r="G29" i="29"/>
  <c r="H29" i="29"/>
  <c r="I30" i="29"/>
  <c r="F5" i="29"/>
  <c r="I28" i="29"/>
  <c r="S4" i="27"/>
  <c r="H246" i="25"/>
  <c r="H9" i="29" l="1"/>
  <c r="G9" i="29"/>
  <c r="H21" i="29"/>
  <c r="G21" i="29"/>
  <c r="G5" i="29"/>
  <c r="H5" i="29"/>
  <c r="L243" i="25"/>
  <c r="L242" i="25"/>
  <c r="L241" i="25"/>
  <c r="L239" i="25"/>
  <c r="L238" i="25"/>
  <c r="B238" i="25"/>
  <c r="C2" i="25" l="1"/>
  <c r="E2" i="25"/>
  <c r="L250" i="25" l="1"/>
  <c r="L251" i="25"/>
  <c r="J251" i="25" s="1"/>
  <c r="L252" i="25"/>
  <c r="J252" i="25" s="1"/>
  <c r="K252" i="25" l="1"/>
  <c r="J250" i="25"/>
  <c r="J257" i="25" s="1"/>
  <c r="J262" i="25" s="1"/>
  <c r="K250" i="25"/>
  <c r="K251" i="25"/>
  <c r="I4" i="37" l="1"/>
  <c r="K257" i="25"/>
  <c r="I54" i="27" l="1"/>
  <c r="D54" i="27" s="1"/>
  <c r="I52" i="27"/>
  <c r="D52" i="27" s="1"/>
  <c r="I50" i="27"/>
  <c r="D50" i="27" s="1"/>
  <c r="I44" i="27"/>
  <c r="D44" i="27" s="1"/>
  <c r="I46" i="27"/>
  <c r="D46" i="27" s="1"/>
  <c r="C4" i="25" s="1"/>
  <c r="I42" i="27"/>
  <c r="D42" i="27" s="1"/>
  <c r="X26" i="35"/>
  <c r="AE19" i="35" s="1"/>
  <c r="X23" i="35"/>
  <c r="AD19" i="35" s="1"/>
  <c r="X18" i="35"/>
  <c r="AL15" i="35" l="1"/>
  <c r="AL36" i="35"/>
  <c r="AL34" i="35"/>
  <c r="AL32" i="35"/>
  <c r="AL30" i="35"/>
  <c r="AL16" i="35"/>
  <c r="AL18" i="35"/>
  <c r="AL20" i="35"/>
  <c r="AL22" i="35"/>
  <c r="AL24" i="35"/>
  <c r="AL26" i="35"/>
  <c r="AL37" i="35"/>
  <c r="AL35" i="35"/>
  <c r="AL33" i="35"/>
  <c r="AL31" i="35"/>
  <c r="AL29" i="35"/>
  <c r="AL17" i="35"/>
  <c r="AL19" i="35"/>
  <c r="AL21" i="35"/>
  <c r="AL23" i="35"/>
  <c r="AL25" i="35"/>
  <c r="L18" i="27"/>
  <c r="L14" i="27"/>
  <c r="L10" i="27"/>
  <c r="L6" i="27"/>
  <c r="L17" i="27"/>
  <c r="L13" i="27"/>
  <c r="L9" i="27"/>
  <c r="L5" i="27"/>
  <c r="M4" i="25"/>
  <c r="L16" i="27"/>
  <c r="L12" i="27"/>
  <c r="L8" i="27"/>
  <c r="L4" i="27"/>
  <c r="L19" i="27"/>
  <c r="L15" i="27"/>
  <c r="L11" i="27"/>
  <c r="L7" i="27"/>
  <c r="B41" i="29"/>
  <c r="B39" i="29"/>
  <c r="B44" i="29"/>
  <c r="D166" i="25" l="1"/>
  <c r="D164" i="25"/>
  <c r="D167" i="25"/>
  <c r="D165" i="25"/>
  <c r="D101" i="25"/>
  <c r="D100" i="25"/>
  <c r="D99" i="25"/>
  <c r="D98" i="25"/>
  <c r="L253" i="25"/>
  <c r="I253" i="25" s="1"/>
  <c r="I257" i="25" s="1"/>
  <c r="D11" i="25"/>
  <c r="D10" i="25"/>
  <c r="D9" i="25"/>
  <c r="D8" i="25"/>
  <c r="E44" i="29"/>
  <c r="H44" i="29" s="1"/>
  <c r="D44" i="29"/>
  <c r="E41" i="29"/>
  <c r="D41" i="29"/>
  <c r="E39" i="29"/>
  <c r="D39" i="29"/>
  <c r="F39" i="29"/>
  <c r="H94" i="25"/>
  <c r="H39" i="29" l="1"/>
  <c r="G39" i="29"/>
  <c r="G44" i="29"/>
  <c r="B239" i="25"/>
  <c r="B240" i="25"/>
  <c r="B241" i="25"/>
  <c r="B242" i="25"/>
  <c r="B243" i="25"/>
  <c r="B244" i="25"/>
  <c r="H15" i="29" l="1"/>
  <c r="G15" i="29"/>
  <c r="S39" i="27"/>
  <c r="M39" i="27"/>
  <c r="S38" i="27"/>
  <c r="M38" i="27"/>
  <c r="S37" i="27"/>
  <c r="M37" i="27"/>
  <c r="S36" i="27"/>
  <c r="M36" i="27"/>
  <c r="S35" i="27"/>
  <c r="M35" i="27"/>
  <c r="S34" i="27"/>
  <c r="M34" i="27"/>
  <c r="S33" i="27"/>
  <c r="M33" i="27"/>
  <c r="S32" i="27"/>
  <c r="M32" i="27"/>
  <c r="S31" i="27"/>
  <c r="M31" i="27"/>
  <c r="S30" i="27"/>
  <c r="M30" i="27"/>
  <c r="S29" i="27"/>
  <c r="M29" i="27"/>
  <c r="S28" i="27"/>
  <c r="M28" i="27"/>
  <c r="S27" i="27"/>
  <c r="M27" i="27"/>
  <c r="S26" i="27"/>
  <c r="M26" i="27"/>
  <c r="S25" i="27"/>
  <c r="M25" i="27"/>
  <c r="S24" i="27"/>
  <c r="M24" i="27"/>
  <c r="E42" i="29" l="1"/>
  <c r="D42" i="29"/>
  <c r="L24" i="27"/>
  <c r="B24" i="27"/>
  <c r="W4" i="27"/>
  <c r="B4" i="27"/>
  <c r="L232" i="25"/>
  <c r="L231" i="25"/>
  <c r="V4" i="27" l="1"/>
  <c r="U4" i="27"/>
  <c r="X4" i="27"/>
  <c r="R4" i="27"/>
  <c r="V24" i="27"/>
  <c r="Q24" i="27"/>
  <c r="U24" i="27"/>
  <c r="P24" i="27"/>
  <c r="R24" i="27"/>
  <c r="X24" i="27"/>
  <c r="O24" i="27"/>
  <c r="W24" i="27"/>
  <c r="N24" i="27"/>
  <c r="T24" i="27"/>
  <c r="T4" i="27"/>
  <c r="O4" i="27"/>
  <c r="N4" i="27"/>
  <c r="Q4" i="27"/>
  <c r="P4" i="27"/>
  <c r="N252" i="25" l="1"/>
  <c r="B43" i="29"/>
  <c r="B40" i="29"/>
  <c r="B38" i="29"/>
  <c r="C30" i="31" l="1"/>
  <c r="C33" i="31"/>
  <c r="FI4" i="37" s="1"/>
  <c r="D38" i="29"/>
  <c r="E40" i="29"/>
  <c r="D40" i="29"/>
  <c r="D43" i="29"/>
  <c r="E43" i="29"/>
  <c r="H43" i="29" s="1"/>
  <c r="E38" i="29"/>
  <c r="F38" i="29"/>
  <c r="N250" i="25"/>
  <c r="N251" i="25"/>
  <c r="L12" i="25"/>
  <c r="L13" i="25"/>
  <c r="L14" i="25"/>
  <c r="L15" i="25"/>
  <c r="M5" i="27"/>
  <c r="L43" i="36"/>
  <c r="L42" i="36"/>
  <c r="M43" i="36"/>
  <c r="I43" i="36"/>
  <c r="J43" i="36"/>
  <c r="H42" i="36"/>
  <c r="AL4" i="37" s="1"/>
  <c r="M42" i="36"/>
  <c r="J42" i="36"/>
  <c r="F43" i="36" l="1"/>
  <c r="Z176" i="25" s="1"/>
  <c r="Z200" i="25"/>
  <c r="Z218" i="25"/>
  <c r="Z214" i="25"/>
  <c r="Z217" i="25"/>
  <c r="Z207" i="25"/>
  <c r="Z199" i="25"/>
  <c r="Z173" i="25"/>
  <c r="Z181" i="25"/>
  <c r="Z224" i="25"/>
  <c r="Z182" i="25"/>
  <c r="Z186" i="25"/>
  <c r="Z189" i="25"/>
  <c r="Z192" i="25"/>
  <c r="Z177" i="25"/>
  <c r="Z205" i="25"/>
  <c r="Z223" i="25"/>
  <c r="Z198" i="25"/>
  <c r="Z212" i="25"/>
  <c r="Z171" i="25"/>
  <c r="Z215" i="25"/>
  <c r="Z180" i="25"/>
  <c r="Z175" i="25"/>
  <c r="Z174" i="25"/>
  <c r="Z201" i="25"/>
  <c r="Z169" i="25"/>
  <c r="Z179" i="25"/>
  <c r="Z219" i="25"/>
  <c r="Z183" i="25"/>
  <c r="AM4" i="37"/>
  <c r="AI4" i="37"/>
  <c r="FD4" i="37"/>
  <c r="D30" i="31"/>
  <c r="AN4" i="37"/>
  <c r="AJ4" i="37"/>
  <c r="AP4" i="37"/>
  <c r="C29" i="31"/>
  <c r="C32" i="31"/>
  <c r="FH4" i="37" s="1"/>
  <c r="C28" i="31"/>
  <c r="C31" i="31"/>
  <c r="FG4" i="37" s="1"/>
  <c r="H38" i="29"/>
  <c r="G38" i="29"/>
  <c r="G43" i="29"/>
  <c r="AB4" i="35"/>
  <c r="Z164" i="25" l="1"/>
  <c r="Z206" i="25"/>
  <c r="Z220" i="25"/>
  <c r="Z195" i="25"/>
  <c r="Z191" i="25"/>
  <c r="Z185" i="25"/>
  <c r="Z194" i="25"/>
  <c r="Z187" i="25"/>
  <c r="Z190" i="25"/>
  <c r="Z196" i="25"/>
  <c r="Z209" i="25"/>
  <c r="Z213" i="25"/>
  <c r="Z170" i="25"/>
  <c r="Z184" i="25"/>
  <c r="Z204" i="25"/>
  <c r="Z208" i="25"/>
  <c r="Z165" i="25"/>
  <c r="Z178" i="25"/>
  <c r="Z193" i="25"/>
  <c r="Z202" i="25"/>
  <c r="Z216" i="25"/>
  <c r="Z172" i="25"/>
  <c r="Z203" i="25"/>
  <c r="Z211" i="25"/>
  <c r="Z222" i="25"/>
  <c r="Z221" i="25"/>
  <c r="Z188" i="25"/>
  <c r="Z197" i="25"/>
  <c r="Z210" i="25"/>
  <c r="Z168" i="25"/>
  <c r="Z166" i="25"/>
  <c r="Z167" i="25"/>
  <c r="FB4" i="37"/>
  <c r="D28" i="31"/>
  <c r="FC4" i="37"/>
  <c r="D29" i="31"/>
  <c r="F132" i="29"/>
  <c r="F143" i="29"/>
  <c r="F42" i="29"/>
  <c r="B36" i="29"/>
  <c r="H36" i="29" s="1"/>
  <c r="B35" i="29"/>
  <c r="H35" i="29" s="1"/>
  <c r="M6" i="27"/>
  <c r="S6" i="27"/>
  <c r="M7" i="27"/>
  <c r="S7" i="27"/>
  <c r="M8" i="27"/>
  <c r="S8" i="27"/>
  <c r="M9" i="27"/>
  <c r="S9" i="27"/>
  <c r="M10" i="27"/>
  <c r="S10" i="27"/>
  <c r="M11" i="27"/>
  <c r="S11" i="27"/>
  <c r="M12" i="27"/>
  <c r="S12" i="27"/>
  <c r="M13" i="27"/>
  <c r="S13" i="27"/>
  <c r="M14" i="27"/>
  <c r="S14" i="27"/>
  <c r="M15" i="27"/>
  <c r="S15" i="27"/>
  <c r="M16" i="27"/>
  <c r="S16" i="27"/>
  <c r="M17" i="27"/>
  <c r="S17" i="27"/>
  <c r="M18" i="27"/>
  <c r="S18" i="27"/>
  <c r="M19" i="27"/>
  <c r="S19" i="27"/>
  <c r="S5" i="27"/>
  <c r="S4" i="37" l="1"/>
  <c r="G42" i="29"/>
  <c r="H42" i="29"/>
  <c r="H16" i="35"/>
  <c r="G16" i="35"/>
  <c r="F16" i="35"/>
  <c r="E16" i="35"/>
  <c r="D16" i="35"/>
  <c r="C16" i="35"/>
  <c r="B16" i="35"/>
  <c r="H15" i="35"/>
  <c r="G15" i="35"/>
  <c r="F15" i="35"/>
  <c r="E15" i="35"/>
  <c r="D15" i="35"/>
  <c r="C15" i="35"/>
  <c r="B15" i="35"/>
  <c r="H14" i="35"/>
  <c r="G14" i="35"/>
  <c r="F14" i="35"/>
  <c r="E14" i="35"/>
  <c r="D14" i="35"/>
  <c r="C14" i="35"/>
  <c r="B14" i="35"/>
  <c r="H13" i="35"/>
  <c r="G13" i="35"/>
  <c r="F13" i="35"/>
  <c r="E13" i="35"/>
  <c r="D13" i="35"/>
  <c r="C13" i="35"/>
  <c r="B13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D32" i="34"/>
  <c r="U40" i="33"/>
  <c r="U41" i="33" s="1"/>
  <c r="U42" i="33" s="1"/>
  <c r="U43" i="33" s="1"/>
  <c r="T40" i="33"/>
  <c r="T41" i="33" s="1"/>
  <c r="T42" i="33" s="1"/>
  <c r="T43" i="33" s="1"/>
  <c r="S40" i="33"/>
  <c r="S41" i="33" s="1"/>
  <c r="S42" i="33" s="1"/>
  <c r="S43" i="33" s="1"/>
  <c r="R40" i="33"/>
  <c r="R41" i="33" s="1"/>
  <c r="R42" i="33" s="1"/>
  <c r="R43" i="33" s="1"/>
  <c r="Q40" i="33"/>
  <c r="P40" i="33"/>
  <c r="P41" i="33" s="1"/>
  <c r="P42" i="33" s="1"/>
  <c r="P43" i="33" s="1"/>
  <c r="O40" i="33"/>
  <c r="O41" i="33" s="1"/>
  <c r="O42" i="33" s="1"/>
  <c r="O43" i="33" s="1"/>
  <c r="N40" i="33"/>
  <c r="N41" i="33" s="1"/>
  <c r="N42" i="33" s="1"/>
  <c r="N43" i="33" s="1"/>
  <c r="M40" i="33"/>
  <c r="M41" i="33" s="1"/>
  <c r="M42" i="33" s="1"/>
  <c r="M43" i="33" s="1"/>
  <c r="L40" i="33"/>
  <c r="L41" i="33" s="1"/>
  <c r="L42" i="33" s="1"/>
  <c r="L43" i="33" s="1"/>
  <c r="K40" i="33"/>
  <c r="K41" i="33" s="1"/>
  <c r="K42" i="33" s="1"/>
  <c r="K43" i="33" s="1"/>
  <c r="J40" i="33"/>
  <c r="J41" i="33" s="1"/>
  <c r="J42" i="33" s="1"/>
  <c r="J43" i="33" s="1"/>
  <c r="I40" i="33"/>
  <c r="I41" i="33" s="1"/>
  <c r="I42" i="33" s="1"/>
  <c r="I43" i="33" s="1"/>
  <c r="H40" i="33"/>
  <c r="H41" i="33" s="1"/>
  <c r="H42" i="33" s="1"/>
  <c r="H43" i="33" s="1"/>
  <c r="G40" i="33"/>
  <c r="G41" i="33" s="1"/>
  <c r="G42" i="33" s="1"/>
  <c r="G43" i="33" s="1"/>
  <c r="F40" i="33"/>
  <c r="F41" i="33" s="1"/>
  <c r="F42" i="33" s="1"/>
  <c r="F43" i="33" s="1"/>
  <c r="E40" i="33"/>
  <c r="E41" i="33" s="1"/>
  <c r="E42" i="33" s="1"/>
  <c r="E43" i="33" s="1"/>
  <c r="D40" i="33"/>
  <c r="D41" i="33" s="1"/>
  <c r="D42" i="33" s="1"/>
  <c r="D43" i="33" s="1"/>
  <c r="C40" i="33"/>
  <c r="C41" i="33" s="1"/>
  <c r="C42" i="33" s="1"/>
  <c r="C43" i="33" s="1"/>
  <c r="B40" i="33"/>
  <c r="B41" i="33" s="1"/>
  <c r="B42" i="33" s="1"/>
  <c r="B43" i="33" s="1"/>
  <c r="U31" i="33"/>
  <c r="U32" i="33" s="1"/>
  <c r="U33" i="33" s="1"/>
  <c r="U34" i="33" s="1"/>
  <c r="T31" i="33"/>
  <c r="T32" i="33" s="1"/>
  <c r="T33" i="33" s="1"/>
  <c r="T34" i="33" s="1"/>
  <c r="S31" i="33"/>
  <c r="S32" i="33" s="1"/>
  <c r="S33" i="33" s="1"/>
  <c r="S34" i="33" s="1"/>
  <c r="R31" i="33"/>
  <c r="R32" i="33" s="1"/>
  <c r="R33" i="33" s="1"/>
  <c r="R34" i="33" s="1"/>
  <c r="Q31" i="33"/>
  <c r="P31" i="33"/>
  <c r="P32" i="33" s="1"/>
  <c r="P33" i="33" s="1"/>
  <c r="P34" i="33" s="1"/>
  <c r="O31" i="33"/>
  <c r="O32" i="33" s="1"/>
  <c r="O33" i="33" s="1"/>
  <c r="O34" i="33" s="1"/>
  <c r="N31" i="33"/>
  <c r="N32" i="33" s="1"/>
  <c r="N33" i="33" s="1"/>
  <c r="N34" i="33" s="1"/>
  <c r="M31" i="33"/>
  <c r="M32" i="33" s="1"/>
  <c r="M33" i="33" s="1"/>
  <c r="M34" i="33" s="1"/>
  <c r="L31" i="33"/>
  <c r="L32" i="33" s="1"/>
  <c r="L33" i="33" s="1"/>
  <c r="L34" i="33" s="1"/>
  <c r="K31" i="33"/>
  <c r="K32" i="33" s="1"/>
  <c r="K33" i="33" s="1"/>
  <c r="K34" i="33" s="1"/>
  <c r="J31" i="33"/>
  <c r="J32" i="33" s="1"/>
  <c r="J33" i="33" s="1"/>
  <c r="J34" i="33" s="1"/>
  <c r="I31" i="33"/>
  <c r="I32" i="33" s="1"/>
  <c r="I33" i="33" s="1"/>
  <c r="I34" i="33" s="1"/>
  <c r="H31" i="33"/>
  <c r="H32" i="33" s="1"/>
  <c r="H33" i="33" s="1"/>
  <c r="H34" i="33" s="1"/>
  <c r="G31" i="33"/>
  <c r="G32" i="33" s="1"/>
  <c r="G33" i="33" s="1"/>
  <c r="G34" i="33" s="1"/>
  <c r="F31" i="33"/>
  <c r="F32" i="33" s="1"/>
  <c r="F33" i="33" s="1"/>
  <c r="F34" i="33" s="1"/>
  <c r="E31" i="33"/>
  <c r="E32" i="33" s="1"/>
  <c r="E33" i="33" s="1"/>
  <c r="E34" i="33" s="1"/>
  <c r="D31" i="33"/>
  <c r="D32" i="33" s="1"/>
  <c r="D33" i="33" s="1"/>
  <c r="D34" i="33" s="1"/>
  <c r="C31" i="33"/>
  <c r="C32" i="33" s="1"/>
  <c r="C33" i="33" s="1"/>
  <c r="C34" i="33" s="1"/>
  <c r="B31" i="33"/>
  <c r="B32" i="33" s="1"/>
  <c r="B33" i="33" s="1"/>
  <c r="B34" i="33" s="1"/>
  <c r="U22" i="33"/>
  <c r="U23" i="33" s="1"/>
  <c r="U24" i="33" s="1"/>
  <c r="U25" i="33" s="1"/>
  <c r="T22" i="33"/>
  <c r="T23" i="33" s="1"/>
  <c r="T24" i="33" s="1"/>
  <c r="T25" i="33" s="1"/>
  <c r="S22" i="33"/>
  <c r="S23" i="33" s="1"/>
  <c r="S24" i="33" s="1"/>
  <c r="S25" i="33" s="1"/>
  <c r="R22" i="33"/>
  <c r="R23" i="33" s="1"/>
  <c r="R24" i="33" s="1"/>
  <c r="R25" i="33" s="1"/>
  <c r="Q22" i="33"/>
  <c r="P22" i="33"/>
  <c r="P23" i="33" s="1"/>
  <c r="P24" i="33" s="1"/>
  <c r="P25" i="33" s="1"/>
  <c r="O22" i="33"/>
  <c r="O23" i="33" s="1"/>
  <c r="O24" i="33" s="1"/>
  <c r="O25" i="33" s="1"/>
  <c r="N22" i="33"/>
  <c r="N23" i="33" s="1"/>
  <c r="N24" i="33" s="1"/>
  <c r="N25" i="33" s="1"/>
  <c r="M22" i="33"/>
  <c r="M23" i="33" s="1"/>
  <c r="M24" i="33" s="1"/>
  <c r="M25" i="33" s="1"/>
  <c r="L22" i="33"/>
  <c r="L23" i="33" s="1"/>
  <c r="L24" i="33" s="1"/>
  <c r="L25" i="33" s="1"/>
  <c r="K22" i="33"/>
  <c r="K23" i="33" s="1"/>
  <c r="K24" i="33" s="1"/>
  <c r="K25" i="33" s="1"/>
  <c r="J22" i="33"/>
  <c r="J23" i="33" s="1"/>
  <c r="J24" i="33" s="1"/>
  <c r="J25" i="33" s="1"/>
  <c r="I22" i="33"/>
  <c r="I23" i="33" s="1"/>
  <c r="I24" i="33" s="1"/>
  <c r="I25" i="33" s="1"/>
  <c r="H22" i="33"/>
  <c r="H23" i="33" s="1"/>
  <c r="H24" i="33" s="1"/>
  <c r="H25" i="33" s="1"/>
  <c r="G22" i="33"/>
  <c r="G23" i="33" s="1"/>
  <c r="G24" i="33" s="1"/>
  <c r="G25" i="33" s="1"/>
  <c r="F22" i="33"/>
  <c r="F23" i="33" s="1"/>
  <c r="F24" i="33" s="1"/>
  <c r="F25" i="33" s="1"/>
  <c r="E22" i="33"/>
  <c r="E23" i="33" s="1"/>
  <c r="E24" i="33" s="1"/>
  <c r="E25" i="33" s="1"/>
  <c r="D22" i="33"/>
  <c r="D23" i="33" s="1"/>
  <c r="D24" i="33" s="1"/>
  <c r="D25" i="33" s="1"/>
  <c r="C22" i="33"/>
  <c r="C23" i="33" s="1"/>
  <c r="C24" i="33" s="1"/>
  <c r="C25" i="33" s="1"/>
  <c r="B22" i="33"/>
  <c r="B23" i="33" s="1"/>
  <c r="B24" i="33" s="1"/>
  <c r="B25" i="33" s="1"/>
  <c r="U14" i="33"/>
  <c r="U15" i="33" s="1"/>
  <c r="U16" i="33" s="1"/>
  <c r="U17" i="33" s="1"/>
  <c r="T14" i="33"/>
  <c r="T15" i="33" s="1"/>
  <c r="T16" i="33" s="1"/>
  <c r="T17" i="33" s="1"/>
  <c r="S14" i="33"/>
  <c r="S15" i="33" s="1"/>
  <c r="S16" i="33" s="1"/>
  <c r="S17" i="33" s="1"/>
  <c r="R14" i="33"/>
  <c r="R15" i="33" s="1"/>
  <c r="R16" i="33" s="1"/>
  <c r="R17" i="33" s="1"/>
  <c r="Q14" i="33"/>
  <c r="P14" i="33"/>
  <c r="P15" i="33" s="1"/>
  <c r="P16" i="33" s="1"/>
  <c r="P17" i="33" s="1"/>
  <c r="O14" i="33"/>
  <c r="O15" i="33" s="1"/>
  <c r="O16" i="33" s="1"/>
  <c r="O17" i="33" s="1"/>
  <c r="N14" i="33"/>
  <c r="N15" i="33" s="1"/>
  <c r="N16" i="33" s="1"/>
  <c r="N17" i="33" s="1"/>
  <c r="M14" i="33"/>
  <c r="M15" i="33" s="1"/>
  <c r="L14" i="33"/>
  <c r="L15" i="33" s="1"/>
  <c r="L16" i="33" s="1"/>
  <c r="L17" i="33" s="1"/>
  <c r="K14" i="33"/>
  <c r="K15" i="33" s="1"/>
  <c r="K16" i="33" s="1"/>
  <c r="K17" i="33" s="1"/>
  <c r="J14" i="33"/>
  <c r="J15" i="33" s="1"/>
  <c r="J16" i="33" s="1"/>
  <c r="J17" i="33" s="1"/>
  <c r="I14" i="33"/>
  <c r="I15" i="33" s="1"/>
  <c r="I16" i="33" s="1"/>
  <c r="I17" i="33" s="1"/>
  <c r="H14" i="33"/>
  <c r="H15" i="33" s="1"/>
  <c r="H16" i="33" s="1"/>
  <c r="H17" i="33" s="1"/>
  <c r="G14" i="33"/>
  <c r="G15" i="33" s="1"/>
  <c r="G16" i="33" s="1"/>
  <c r="G17" i="33" s="1"/>
  <c r="F14" i="33"/>
  <c r="F15" i="33" s="1"/>
  <c r="F16" i="33" s="1"/>
  <c r="F17" i="33" s="1"/>
  <c r="E14" i="33"/>
  <c r="E15" i="33" s="1"/>
  <c r="E16" i="33" s="1"/>
  <c r="E17" i="33" s="1"/>
  <c r="D14" i="33"/>
  <c r="D15" i="33" s="1"/>
  <c r="D16" i="33" s="1"/>
  <c r="D17" i="33" s="1"/>
  <c r="C14" i="33"/>
  <c r="C15" i="33" s="1"/>
  <c r="C16" i="33" s="1"/>
  <c r="C17" i="33" s="1"/>
  <c r="B14" i="33"/>
  <c r="B15" i="33" s="1"/>
  <c r="B16" i="33" s="1"/>
  <c r="B17" i="33" s="1"/>
  <c r="U5" i="33"/>
  <c r="U6" i="33" s="1"/>
  <c r="T5" i="33"/>
  <c r="S5" i="33"/>
  <c r="S6" i="33" s="1"/>
  <c r="R5" i="33"/>
  <c r="R6" i="33" s="1"/>
  <c r="R7" i="33" s="1"/>
  <c r="R8" i="33" s="1"/>
  <c r="Q5" i="33"/>
  <c r="P5" i="33"/>
  <c r="P6" i="33" s="1"/>
  <c r="P7" i="33" s="1"/>
  <c r="P8" i="33" s="1"/>
  <c r="O5" i="33"/>
  <c r="O6" i="33" s="1"/>
  <c r="N5" i="33"/>
  <c r="N6" i="33" s="1"/>
  <c r="N7" i="33" s="1"/>
  <c r="N8" i="33" s="1"/>
  <c r="M5" i="33"/>
  <c r="M6" i="33" s="1"/>
  <c r="L5" i="33"/>
  <c r="L6" i="33" s="1"/>
  <c r="L7" i="33" s="1"/>
  <c r="L8" i="33" s="1"/>
  <c r="K5" i="33"/>
  <c r="K6" i="33" s="1"/>
  <c r="J5" i="33"/>
  <c r="J6" i="33" s="1"/>
  <c r="J7" i="33" s="1"/>
  <c r="J8" i="33" s="1"/>
  <c r="I5" i="33"/>
  <c r="I6" i="33" s="1"/>
  <c r="I7" i="33" s="1"/>
  <c r="I8" i="33" s="1"/>
  <c r="H5" i="33"/>
  <c r="H6" i="33" s="1"/>
  <c r="H7" i="33" s="1"/>
  <c r="H8" i="33" s="1"/>
  <c r="G5" i="33"/>
  <c r="G6" i="33" s="1"/>
  <c r="F5" i="33"/>
  <c r="F6" i="33" s="1"/>
  <c r="F7" i="33" s="1"/>
  <c r="F8" i="33" s="1"/>
  <c r="E5" i="33"/>
  <c r="E6" i="33" s="1"/>
  <c r="D5" i="33"/>
  <c r="D6" i="33" s="1"/>
  <c r="D7" i="33" s="1"/>
  <c r="D8" i="33" s="1"/>
  <c r="C5" i="33"/>
  <c r="C6" i="33" s="1"/>
  <c r="B5" i="33"/>
  <c r="B6" i="33" s="1"/>
  <c r="B7" i="33" s="1"/>
  <c r="B8" i="33" s="1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C107" i="32"/>
  <c r="B107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C52" i="32"/>
  <c r="B52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E50" i="32"/>
  <c r="D50" i="32"/>
  <c r="C50" i="32"/>
  <c r="B50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E49" i="32"/>
  <c r="D49" i="32"/>
  <c r="C49" i="32"/>
  <c r="B49" i="32"/>
  <c r="U43" i="32"/>
  <c r="T43" i="32"/>
  <c r="T70" i="32" s="1"/>
  <c r="S43" i="32"/>
  <c r="S70" i="32" s="1"/>
  <c r="R43" i="32"/>
  <c r="Q43" i="32"/>
  <c r="Q70" i="32" s="1"/>
  <c r="P43" i="32"/>
  <c r="P70" i="32" s="1"/>
  <c r="O43" i="32"/>
  <c r="O70" i="32" s="1"/>
  <c r="N43" i="32"/>
  <c r="M43" i="32"/>
  <c r="L43" i="32"/>
  <c r="L70" i="32" s="1"/>
  <c r="K43" i="32"/>
  <c r="K70" i="32" s="1"/>
  <c r="J43" i="32"/>
  <c r="I43" i="32"/>
  <c r="H43" i="32"/>
  <c r="H70" i="32" s="1"/>
  <c r="G43" i="32"/>
  <c r="G70" i="32" s="1"/>
  <c r="F43" i="32"/>
  <c r="E43" i="32"/>
  <c r="D43" i="32"/>
  <c r="D70" i="32" s="1"/>
  <c r="C43" i="32"/>
  <c r="C70" i="32" s="1"/>
  <c r="B43" i="32"/>
  <c r="U42" i="32"/>
  <c r="T42" i="32"/>
  <c r="S42" i="32"/>
  <c r="S69" i="32" s="1"/>
  <c r="R42" i="32"/>
  <c r="Q42" i="32"/>
  <c r="Q69" i="32" s="1"/>
  <c r="P42" i="32"/>
  <c r="O42" i="32"/>
  <c r="O69" i="32" s="1"/>
  <c r="N42" i="32"/>
  <c r="M42" i="32"/>
  <c r="L42" i="32"/>
  <c r="K42" i="32"/>
  <c r="K69" i="32" s="1"/>
  <c r="J42" i="32"/>
  <c r="I42" i="32"/>
  <c r="H42" i="32"/>
  <c r="G42" i="32"/>
  <c r="G69" i="32" s="1"/>
  <c r="F42" i="32"/>
  <c r="E42" i="32"/>
  <c r="D42" i="32"/>
  <c r="C42" i="32"/>
  <c r="C69" i="32" s="1"/>
  <c r="B42" i="32"/>
  <c r="U41" i="32"/>
  <c r="T41" i="32"/>
  <c r="S41" i="32"/>
  <c r="S68" i="32" s="1"/>
  <c r="R41" i="32"/>
  <c r="R68" i="32" s="1"/>
  <c r="Q41" i="32"/>
  <c r="Q68" i="32" s="1"/>
  <c r="P41" i="32"/>
  <c r="O41" i="32"/>
  <c r="O68" i="32" s="1"/>
  <c r="N41" i="32"/>
  <c r="N68" i="32" s="1"/>
  <c r="M41" i="32"/>
  <c r="L41" i="32"/>
  <c r="K41" i="32"/>
  <c r="K68" i="32" s="1"/>
  <c r="J41" i="32"/>
  <c r="J68" i="32" s="1"/>
  <c r="I41" i="32"/>
  <c r="H41" i="32"/>
  <c r="G41" i="32"/>
  <c r="G68" i="32" s="1"/>
  <c r="F41" i="32"/>
  <c r="F68" i="32" s="1"/>
  <c r="E41" i="32"/>
  <c r="D41" i="32"/>
  <c r="C41" i="32"/>
  <c r="C68" i="32" s="1"/>
  <c r="B41" i="32"/>
  <c r="B68" i="32" s="1"/>
  <c r="U40" i="32"/>
  <c r="T40" i="32"/>
  <c r="S40" i="32"/>
  <c r="R40" i="32"/>
  <c r="R67" i="32" s="1"/>
  <c r="Q40" i="32"/>
  <c r="Q67" i="32" s="1"/>
  <c r="P40" i="32"/>
  <c r="O40" i="32"/>
  <c r="N40" i="32"/>
  <c r="N67" i="32" s="1"/>
  <c r="M40" i="32"/>
  <c r="L40" i="32"/>
  <c r="K40" i="32"/>
  <c r="J40" i="32"/>
  <c r="J67" i="32" s="1"/>
  <c r="I40" i="32"/>
  <c r="H40" i="32"/>
  <c r="G40" i="32"/>
  <c r="F40" i="32"/>
  <c r="F67" i="32" s="1"/>
  <c r="E40" i="32"/>
  <c r="D40" i="32"/>
  <c r="C40" i="32"/>
  <c r="B40" i="32"/>
  <c r="B67" i="32" s="1"/>
  <c r="U35" i="32"/>
  <c r="T35" i="32"/>
  <c r="S35" i="32"/>
  <c r="S53" i="32" s="1"/>
  <c r="R35" i="32"/>
  <c r="Q35" i="32"/>
  <c r="Q53" i="32" s="1"/>
  <c r="P35" i="32"/>
  <c r="O35" i="32"/>
  <c r="O44" i="32" s="1"/>
  <c r="N35" i="32"/>
  <c r="M35" i="32"/>
  <c r="L35" i="32"/>
  <c r="K35" i="32"/>
  <c r="K53" i="32" s="1"/>
  <c r="J35" i="32"/>
  <c r="I35" i="32"/>
  <c r="H35" i="32"/>
  <c r="G35" i="32"/>
  <c r="G44" i="32" s="1"/>
  <c r="F35" i="32"/>
  <c r="E35" i="32"/>
  <c r="D35" i="32"/>
  <c r="C35" i="32"/>
  <c r="C53" i="32" s="1"/>
  <c r="B35" i="32"/>
  <c r="P25" i="32"/>
  <c r="O25" i="32"/>
  <c r="N25" i="32"/>
  <c r="M25" i="32"/>
  <c r="K25" i="32"/>
  <c r="J25" i="32"/>
  <c r="I25" i="32"/>
  <c r="H25" i="32"/>
  <c r="F25" i="32"/>
  <c r="E25" i="32"/>
  <c r="D25" i="32"/>
  <c r="C25" i="32"/>
  <c r="P24" i="32"/>
  <c r="O24" i="32"/>
  <c r="N24" i="32"/>
  <c r="M24" i="32"/>
  <c r="K24" i="32"/>
  <c r="J24" i="32"/>
  <c r="I24" i="32"/>
  <c r="H24" i="32"/>
  <c r="F24" i="32"/>
  <c r="E24" i="32"/>
  <c r="D24" i="32"/>
  <c r="C24" i="32"/>
  <c r="P23" i="32"/>
  <c r="O23" i="32"/>
  <c r="N23" i="32"/>
  <c r="M23" i="32"/>
  <c r="K23" i="32"/>
  <c r="J23" i="32"/>
  <c r="I23" i="32"/>
  <c r="H23" i="32"/>
  <c r="F23" i="32"/>
  <c r="E23" i="32"/>
  <c r="D23" i="32"/>
  <c r="C23" i="32"/>
  <c r="P22" i="32"/>
  <c r="O22" i="32"/>
  <c r="N22" i="32"/>
  <c r="M22" i="32"/>
  <c r="K22" i="32"/>
  <c r="J22" i="32"/>
  <c r="I22" i="32"/>
  <c r="H22" i="32"/>
  <c r="F22" i="32"/>
  <c r="E22" i="32"/>
  <c r="E23" i="34" s="1"/>
  <c r="D22" i="32"/>
  <c r="C22" i="32"/>
  <c r="P16" i="32"/>
  <c r="O16" i="32"/>
  <c r="N16" i="32"/>
  <c r="M16" i="32"/>
  <c r="K16" i="32"/>
  <c r="J16" i="32"/>
  <c r="I16" i="32"/>
  <c r="H16" i="32"/>
  <c r="F16" i="32"/>
  <c r="E16" i="32"/>
  <c r="D16" i="32"/>
  <c r="C16" i="32"/>
  <c r="P15" i="32"/>
  <c r="O15" i="32"/>
  <c r="N15" i="32"/>
  <c r="M15" i="32"/>
  <c r="K15" i="32"/>
  <c r="J15" i="32"/>
  <c r="I15" i="32"/>
  <c r="H15" i="32"/>
  <c r="F15" i="32"/>
  <c r="E15" i="32"/>
  <c r="D15" i="32"/>
  <c r="C15" i="32"/>
  <c r="P14" i="32"/>
  <c r="O14" i="32"/>
  <c r="N14" i="32"/>
  <c r="M14" i="32"/>
  <c r="K14" i="32"/>
  <c r="J14" i="32"/>
  <c r="I14" i="32"/>
  <c r="H14" i="32"/>
  <c r="F14" i="32"/>
  <c r="E14" i="32"/>
  <c r="D14" i="32"/>
  <c r="C14" i="32"/>
  <c r="P13" i="32"/>
  <c r="O13" i="32"/>
  <c r="O14" i="34" s="1"/>
  <c r="N13" i="32"/>
  <c r="M13" i="32"/>
  <c r="K13" i="32"/>
  <c r="J13" i="32"/>
  <c r="I13" i="32"/>
  <c r="H13" i="32"/>
  <c r="F13" i="32"/>
  <c r="E13" i="32"/>
  <c r="E14" i="34" s="1"/>
  <c r="D13" i="32"/>
  <c r="C13" i="32"/>
  <c r="P8" i="32"/>
  <c r="O8" i="32"/>
  <c r="O26" i="32" s="1"/>
  <c r="N8" i="32"/>
  <c r="M8" i="32"/>
  <c r="M26" i="32" s="1"/>
  <c r="K8" i="32"/>
  <c r="J8" i="32"/>
  <c r="I8" i="32"/>
  <c r="I26" i="32" s="1"/>
  <c r="H8" i="32"/>
  <c r="F8" i="32"/>
  <c r="E8" i="32"/>
  <c r="E26" i="32" s="1"/>
  <c r="D8" i="32"/>
  <c r="C8" i="32"/>
  <c r="U7" i="32"/>
  <c r="T7" i="32"/>
  <c r="T25" i="32" s="1"/>
  <c r="T26" i="34" s="1"/>
  <c r="S7" i="32"/>
  <c r="S25" i="32" s="1"/>
  <c r="R7" i="32"/>
  <c r="R25" i="32" s="1"/>
  <c r="Q7" i="32"/>
  <c r="Q25" i="32" s="1"/>
  <c r="L7" i="32"/>
  <c r="L25" i="32" s="1"/>
  <c r="L26" i="34" s="1"/>
  <c r="G7" i="32"/>
  <c r="G25" i="32" s="1"/>
  <c r="B7" i="32"/>
  <c r="B25" i="32" s="1"/>
  <c r="U6" i="32"/>
  <c r="T6" i="32"/>
  <c r="S6" i="32"/>
  <c r="S24" i="32" s="1"/>
  <c r="R6" i="32"/>
  <c r="Q6" i="32"/>
  <c r="Q24" i="32" s="1"/>
  <c r="L6" i="32"/>
  <c r="L7" i="34" s="1"/>
  <c r="G6" i="32"/>
  <c r="G24" i="32" s="1"/>
  <c r="B6" i="32"/>
  <c r="U5" i="32"/>
  <c r="T5" i="32"/>
  <c r="T23" i="32" s="1"/>
  <c r="T24" i="34" s="1"/>
  <c r="S5" i="32"/>
  <c r="R5" i="32"/>
  <c r="R23" i="32" s="1"/>
  <c r="Q5" i="32"/>
  <c r="Q23" i="32" s="1"/>
  <c r="L5" i="32"/>
  <c r="L23" i="32" s="1"/>
  <c r="L24" i="34" s="1"/>
  <c r="G5" i="32"/>
  <c r="B5" i="32"/>
  <c r="B23" i="32" s="1"/>
  <c r="U4" i="32"/>
  <c r="T4" i="32"/>
  <c r="T22" i="32" s="1"/>
  <c r="T23" i="34" s="1"/>
  <c r="S4" i="32"/>
  <c r="R4" i="32"/>
  <c r="R22" i="32" s="1"/>
  <c r="R23" i="34" s="1"/>
  <c r="Q4" i="32"/>
  <c r="Q22" i="32" s="1"/>
  <c r="L4" i="32"/>
  <c r="L22" i="32" s="1"/>
  <c r="L23" i="34" s="1"/>
  <c r="G4" i="32"/>
  <c r="B4" i="32"/>
  <c r="B22" i="32" s="1"/>
  <c r="B23" i="34" s="1"/>
  <c r="L224" i="25"/>
  <c r="L223" i="25"/>
  <c r="L222" i="25"/>
  <c r="L221" i="25"/>
  <c r="L220" i="25"/>
  <c r="L219" i="25"/>
  <c r="A224" i="25"/>
  <c r="A223" i="25"/>
  <c r="A221" i="25"/>
  <c r="A220" i="25"/>
  <c r="A218" i="25"/>
  <c r="A217" i="25"/>
  <c r="L218" i="25"/>
  <c r="L217" i="25"/>
  <c r="L216" i="25"/>
  <c r="L215" i="25"/>
  <c r="L214" i="25"/>
  <c r="L213" i="25"/>
  <c r="L212" i="25"/>
  <c r="A215" i="25"/>
  <c r="A214" i="25"/>
  <c r="A213" i="25"/>
  <c r="F40" i="29"/>
  <c r="G40" i="29" l="1"/>
  <c r="H40" i="29"/>
  <c r="G5" i="34"/>
  <c r="AC5" i="34" s="1"/>
  <c r="S5" i="34"/>
  <c r="AO5" i="34" s="1"/>
  <c r="U5" i="34"/>
  <c r="AQ5" i="34" s="1"/>
  <c r="G6" i="34"/>
  <c r="AC6" i="34" s="1"/>
  <c r="S6" i="34"/>
  <c r="AT6" i="34" s="1"/>
  <c r="U6" i="34"/>
  <c r="AQ6" i="34" s="1"/>
  <c r="U7" i="34"/>
  <c r="AV7" i="34" s="1"/>
  <c r="N9" i="34"/>
  <c r="AJ9" i="34" s="1"/>
  <c r="P9" i="34"/>
  <c r="AL9" i="34" s="1"/>
  <c r="I14" i="34"/>
  <c r="AE14" i="34" s="1"/>
  <c r="K14" i="34"/>
  <c r="AG14" i="34" s="1"/>
  <c r="I15" i="34"/>
  <c r="AE15" i="34" s="1"/>
  <c r="F23" i="34"/>
  <c r="AB23" i="34" s="1"/>
  <c r="I23" i="34"/>
  <c r="AE23" i="34" s="1"/>
  <c r="K23" i="34"/>
  <c r="I24" i="34"/>
  <c r="AE24" i="34" s="1"/>
  <c r="K24" i="34"/>
  <c r="AG24" i="34" s="1"/>
  <c r="C41" i="34"/>
  <c r="Y41" i="34" s="1"/>
  <c r="E41" i="34"/>
  <c r="AA41" i="34" s="1"/>
  <c r="G41" i="34"/>
  <c r="AC41" i="34" s="1"/>
  <c r="I41" i="34"/>
  <c r="AE41" i="34" s="1"/>
  <c r="K41" i="34"/>
  <c r="AG41" i="34" s="1"/>
  <c r="M41" i="34"/>
  <c r="AI41" i="34" s="1"/>
  <c r="O41" i="34"/>
  <c r="AK41" i="34" s="1"/>
  <c r="S41" i="34"/>
  <c r="AO41" i="34" s="1"/>
  <c r="U41" i="34"/>
  <c r="AQ41" i="34" s="1"/>
  <c r="C69" i="34"/>
  <c r="Y69" i="34" s="1"/>
  <c r="K69" i="34"/>
  <c r="AG69" i="34" s="1"/>
  <c r="S69" i="34"/>
  <c r="AT69" i="34" s="1"/>
  <c r="O7" i="34"/>
  <c r="AK7" i="34" s="1"/>
  <c r="E15" i="34"/>
  <c r="E24" i="34"/>
  <c r="AA24" i="34" s="1"/>
  <c r="B24" i="34"/>
  <c r="X24" i="34" s="1"/>
  <c r="R24" i="34"/>
  <c r="AN24" i="34" s="1"/>
  <c r="B7" i="34"/>
  <c r="X7" i="34" s="1"/>
  <c r="R7" i="34"/>
  <c r="AS7" i="34" s="1"/>
  <c r="B26" i="34"/>
  <c r="X26" i="34" s="1"/>
  <c r="R26" i="34"/>
  <c r="AS26" i="34" s="1"/>
  <c r="M27" i="34"/>
  <c r="AI27" i="34" s="1"/>
  <c r="C14" i="34"/>
  <c r="Y14" i="34" s="1"/>
  <c r="M14" i="34"/>
  <c r="C15" i="34"/>
  <c r="Y15" i="34" s="1"/>
  <c r="C23" i="34"/>
  <c r="C24" i="34"/>
  <c r="Y24" i="34" s="1"/>
  <c r="B50" i="34"/>
  <c r="X50" i="34" s="1"/>
  <c r="F50" i="34"/>
  <c r="AB50" i="34" s="1"/>
  <c r="J50" i="34"/>
  <c r="AF50" i="34" s="1"/>
  <c r="N50" i="34"/>
  <c r="AJ50" i="34" s="1"/>
  <c r="R50" i="34"/>
  <c r="AN50" i="34" s="1"/>
  <c r="Q105" i="34"/>
  <c r="AM105" i="34" s="1"/>
  <c r="AC3" i="35"/>
  <c r="G8" i="32"/>
  <c r="G17" i="32" s="1"/>
  <c r="G18" i="34" s="1"/>
  <c r="G13" i="32"/>
  <c r="G14" i="34" s="1"/>
  <c r="AC14" i="34" s="1"/>
  <c r="G14" i="32"/>
  <c r="G15" i="34" s="1"/>
  <c r="AC15" i="34" s="1"/>
  <c r="G15" i="32"/>
  <c r="G16" i="34" s="1"/>
  <c r="AC16" i="34" s="1"/>
  <c r="G16" i="32"/>
  <c r="G17" i="34" s="1"/>
  <c r="O17" i="32"/>
  <c r="O18" i="34" s="1"/>
  <c r="S22" i="32"/>
  <c r="S23" i="34" s="1"/>
  <c r="AO23" i="34" s="1"/>
  <c r="S23" i="32"/>
  <c r="S24" i="34" s="1"/>
  <c r="S8" i="32"/>
  <c r="S17" i="32" s="1"/>
  <c r="S18" i="34" s="1"/>
  <c r="S13" i="32"/>
  <c r="S14" i="34" s="1"/>
  <c r="AO14" i="34" s="1"/>
  <c r="S14" i="32"/>
  <c r="S15" i="32"/>
  <c r="S16" i="34" s="1"/>
  <c r="S16" i="32"/>
  <c r="S17" i="34" s="1"/>
  <c r="G22" i="32"/>
  <c r="G23" i="34" s="1"/>
  <c r="AC23" i="34" s="1"/>
  <c r="G23" i="32"/>
  <c r="G24" i="34" s="1"/>
  <c r="AC24" i="34" s="1"/>
  <c r="C44" i="32"/>
  <c r="C45" i="34" s="1"/>
  <c r="Y45" i="34" s="1"/>
  <c r="K44" i="32"/>
  <c r="K62" i="32" s="1"/>
  <c r="K63" i="34" s="1"/>
  <c r="AG63" i="34" s="1"/>
  <c r="S44" i="32"/>
  <c r="S45" i="34" s="1"/>
  <c r="G53" i="32"/>
  <c r="G54" i="34" s="1"/>
  <c r="AC54" i="34" s="1"/>
  <c r="O53" i="32"/>
  <c r="O54" i="34" s="1"/>
  <c r="AK54" i="34" s="1"/>
  <c r="C58" i="32"/>
  <c r="C59" i="34" s="1"/>
  <c r="Y59" i="34" s="1"/>
  <c r="K58" i="32"/>
  <c r="K59" i="34" s="1"/>
  <c r="AG59" i="34" s="1"/>
  <c r="S58" i="32"/>
  <c r="S59" i="34" s="1"/>
  <c r="AO59" i="34" s="1"/>
  <c r="G59" i="32"/>
  <c r="G60" i="34" s="1"/>
  <c r="AC60" i="34" s="1"/>
  <c r="O59" i="32"/>
  <c r="O60" i="34" s="1"/>
  <c r="AK60" i="34" s="1"/>
  <c r="C60" i="32"/>
  <c r="C61" i="34" s="1"/>
  <c r="Y61" i="34" s="1"/>
  <c r="K60" i="32"/>
  <c r="K61" i="34" s="1"/>
  <c r="AG61" i="34" s="1"/>
  <c r="S60" i="32"/>
  <c r="S61" i="34" s="1"/>
  <c r="AO61" i="34" s="1"/>
  <c r="G61" i="32"/>
  <c r="G62" i="34" s="1"/>
  <c r="AC62" i="34" s="1"/>
  <c r="O61" i="32"/>
  <c r="O62" i="34" s="1"/>
  <c r="AK62" i="34" s="1"/>
  <c r="C67" i="32"/>
  <c r="C76" i="32" s="1"/>
  <c r="K67" i="32"/>
  <c r="K76" i="32" s="1"/>
  <c r="S67" i="32"/>
  <c r="S68" i="34" s="1"/>
  <c r="AO68" i="34" s="1"/>
  <c r="F5" i="34"/>
  <c r="AB5" i="34" s="1"/>
  <c r="G58" i="32"/>
  <c r="G59" i="34" s="1"/>
  <c r="AC59" i="34" s="1"/>
  <c r="O58" i="32"/>
  <c r="O59" i="34" s="1"/>
  <c r="AK59" i="34" s="1"/>
  <c r="C59" i="32"/>
  <c r="K59" i="32"/>
  <c r="K60" i="34" s="1"/>
  <c r="AG60" i="34" s="1"/>
  <c r="S59" i="32"/>
  <c r="S60" i="34" s="1"/>
  <c r="AO60" i="34" s="1"/>
  <c r="G60" i="32"/>
  <c r="G61" i="34" s="1"/>
  <c r="AC61" i="34" s="1"/>
  <c r="O60" i="32"/>
  <c r="O61" i="34" s="1"/>
  <c r="AK61" i="34" s="1"/>
  <c r="C61" i="32"/>
  <c r="C62" i="34" s="1"/>
  <c r="Y62" i="34" s="1"/>
  <c r="K61" i="32"/>
  <c r="K62" i="34" s="1"/>
  <c r="AG62" i="34" s="1"/>
  <c r="S61" i="32"/>
  <c r="S62" i="34" s="1"/>
  <c r="AO62" i="34" s="1"/>
  <c r="G67" i="32"/>
  <c r="G68" i="34" s="1"/>
  <c r="AC68" i="34" s="1"/>
  <c r="O67" i="32"/>
  <c r="O68" i="34" s="1"/>
  <c r="AK68" i="34" s="1"/>
  <c r="G7" i="34"/>
  <c r="AC7" i="34" s="1"/>
  <c r="T6" i="33"/>
  <c r="T7" i="34" s="1"/>
  <c r="AH7" i="34"/>
  <c r="AH26" i="34"/>
  <c r="AA14" i="34"/>
  <c r="AA15" i="34"/>
  <c r="Z32" i="34"/>
  <c r="P14" i="34"/>
  <c r="AL14" i="34" s="1"/>
  <c r="R6" i="34"/>
  <c r="AN6" i="34" s="1"/>
  <c r="L33" i="34"/>
  <c r="AH33" i="34" s="1"/>
  <c r="M15" i="34"/>
  <c r="AI15" i="34" s="1"/>
  <c r="O15" i="34"/>
  <c r="AK15" i="34" s="1"/>
  <c r="S15" i="34"/>
  <c r="AO15" i="34" s="1"/>
  <c r="O16" i="34"/>
  <c r="AK16" i="34" s="1"/>
  <c r="P24" i="34"/>
  <c r="AL24" i="34" s="1"/>
  <c r="C25" i="34"/>
  <c r="Y25" i="34" s="1"/>
  <c r="G25" i="34"/>
  <c r="AC25" i="34" s="1"/>
  <c r="K25" i="34"/>
  <c r="AG25" i="34" s="1"/>
  <c r="N26" i="34"/>
  <c r="AJ26" i="34" s="1"/>
  <c r="C42" i="34"/>
  <c r="Y42" i="34" s="1"/>
  <c r="E42" i="34"/>
  <c r="AA42" i="34" s="1"/>
  <c r="G42" i="34"/>
  <c r="AC42" i="34" s="1"/>
  <c r="I42" i="34"/>
  <c r="AE42" i="34" s="1"/>
  <c r="K42" i="34"/>
  <c r="AG42" i="34" s="1"/>
  <c r="M42" i="34"/>
  <c r="AI42" i="34" s="1"/>
  <c r="O42" i="34"/>
  <c r="AK42" i="34" s="1"/>
  <c r="S42" i="34"/>
  <c r="AT42" i="34" s="1"/>
  <c r="U42" i="34"/>
  <c r="AQ42" i="34" s="1"/>
  <c r="B51" i="34"/>
  <c r="X51" i="34" s="1"/>
  <c r="F51" i="34"/>
  <c r="AB51" i="34" s="1"/>
  <c r="J51" i="34"/>
  <c r="AF51" i="34" s="1"/>
  <c r="N51" i="34"/>
  <c r="AJ51" i="34" s="1"/>
  <c r="R51" i="34"/>
  <c r="AS51" i="34" s="1"/>
  <c r="D53" i="34"/>
  <c r="Z53" i="34" s="1"/>
  <c r="H53" i="34"/>
  <c r="AD53" i="34" s="1"/>
  <c r="L53" i="34"/>
  <c r="AH53" i="34" s="1"/>
  <c r="P53" i="34"/>
  <c r="AL53" i="34" s="1"/>
  <c r="T53" i="34"/>
  <c r="AU53" i="34" s="1"/>
  <c r="C60" i="34"/>
  <c r="Y60" i="34" s="1"/>
  <c r="G70" i="34"/>
  <c r="AC70" i="34" s="1"/>
  <c r="O70" i="34"/>
  <c r="AK70" i="34" s="1"/>
  <c r="B6" i="34"/>
  <c r="X6" i="34" s="1"/>
  <c r="T33" i="34"/>
  <c r="AX33" i="34" s="1"/>
  <c r="D33" i="34"/>
  <c r="Z33" i="34" s="1"/>
  <c r="L32" i="34"/>
  <c r="AH32" i="34" s="1"/>
  <c r="J24" i="34"/>
  <c r="AF24" i="34" s="1"/>
  <c r="J23" i="34"/>
  <c r="AF23" i="34" s="1"/>
  <c r="P15" i="34"/>
  <c r="AL15" i="34" s="1"/>
  <c r="D15" i="34"/>
  <c r="Z15" i="34" s="1"/>
  <c r="H14" i="34"/>
  <c r="AD14" i="34" s="1"/>
  <c r="N6" i="34"/>
  <c r="AJ6" i="34" s="1"/>
  <c r="F6" i="34"/>
  <c r="AB6" i="34" s="1"/>
  <c r="R5" i="34"/>
  <c r="AN5" i="34" s="1"/>
  <c r="J5" i="34"/>
  <c r="AF5" i="34" s="1"/>
  <c r="B5" i="34"/>
  <c r="X5" i="34" s="1"/>
  <c r="N5" i="34"/>
  <c r="AJ5" i="34" s="1"/>
  <c r="J6" i="34"/>
  <c r="AF6" i="34" s="1"/>
  <c r="D14" i="34"/>
  <c r="Z14" i="34" s="1"/>
  <c r="H15" i="34"/>
  <c r="AD15" i="34" s="1"/>
  <c r="N23" i="34"/>
  <c r="AJ23" i="34" s="1"/>
  <c r="T32" i="34"/>
  <c r="AP32" i="34" s="1"/>
  <c r="K15" i="34"/>
  <c r="AG15" i="34" s="1"/>
  <c r="C16" i="34"/>
  <c r="Y16" i="34" s="1"/>
  <c r="E16" i="34"/>
  <c r="AA16" i="34" s="1"/>
  <c r="I16" i="34"/>
  <c r="AE16" i="34" s="1"/>
  <c r="K16" i="34"/>
  <c r="AG16" i="34" s="1"/>
  <c r="N16" i="34"/>
  <c r="AJ16" i="34" s="1"/>
  <c r="P16" i="34"/>
  <c r="AL16" i="34" s="1"/>
  <c r="M23" i="34"/>
  <c r="AI23" i="34" s="1"/>
  <c r="O23" i="34"/>
  <c r="AK23" i="34" s="1"/>
  <c r="D24" i="34"/>
  <c r="Z24" i="34" s="1"/>
  <c r="H24" i="34"/>
  <c r="AD24" i="34" s="1"/>
  <c r="M24" i="34"/>
  <c r="AI24" i="34" s="1"/>
  <c r="O24" i="34"/>
  <c r="AK24" i="34" s="1"/>
  <c r="O25" i="34"/>
  <c r="AK25" i="34" s="1"/>
  <c r="S25" i="34"/>
  <c r="AO25" i="34" s="1"/>
  <c r="D41" i="34"/>
  <c r="Z41" i="34" s="1"/>
  <c r="H41" i="34"/>
  <c r="AD41" i="34" s="1"/>
  <c r="L41" i="34"/>
  <c r="AH41" i="34" s="1"/>
  <c r="P41" i="34"/>
  <c r="AL41" i="34" s="1"/>
  <c r="T41" i="34"/>
  <c r="AP41" i="34" s="1"/>
  <c r="D42" i="34"/>
  <c r="Z42" i="34" s="1"/>
  <c r="H42" i="34"/>
  <c r="AD42" i="34" s="1"/>
  <c r="L42" i="34"/>
  <c r="AH42" i="34" s="1"/>
  <c r="P42" i="34"/>
  <c r="AL42" i="34" s="1"/>
  <c r="T42" i="34"/>
  <c r="AU42" i="34" s="1"/>
  <c r="B44" i="34"/>
  <c r="X44" i="34" s="1"/>
  <c r="F44" i="34"/>
  <c r="AB44" i="34" s="1"/>
  <c r="J44" i="34"/>
  <c r="AF44" i="34" s="1"/>
  <c r="N44" i="34"/>
  <c r="AJ44" i="34" s="1"/>
  <c r="R44" i="34"/>
  <c r="AS44" i="34" s="1"/>
  <c r="C50" i="34"/>
  <c r="Y50" i="34" s="1"/>
  <c r="E50" i="34"/>
  <c r="AA50" i="34" s="1"/>
  <c r="G50" i="34"/>
  <c r="AC50" i="34" s="1"/>
  <c r="I50" i="34"/>
  <c r="AE50" i="34" s="1"/>
  <c r="K50" i="34"/>
  <c r="AG50" i="34" s="1"/>
  <c r="M50" i="34"/>
  <c r="AI50" i="34" s="1"/>
  <c r="O50" i="34"/>
  <c r="AK50" i="34" s="1"/>
  <c r="S50" i="34"/>
  <c r="AO50" i="34" s="1"/>
  <c r="U50" i="34"/>
  <c r="AQ50" i="34" s="1"/>
  <c r="C51" i="34"/>
  <c r="Y51" i="34" s="1"/>
  <c r="E51" i="34"/>
  <c r="AA51" i="34" s="1"/>
  <c r="G51" i="34"/>
  <c r="AC51" i="34" s="1"/>
  <c r="I51" i="34"/>
  <c r="AE51" i="34" s="1"/>
  <c r="K51" i="34"/>
  <c r="AG51" i="34" s="1"/>
  <c r="M51" i="34"/>
  <c r="AI51" i="34" s="1"/>
  <c r="O51" i="34"/>
  <c r="AK51" i="34" s="1"/>
  <c r="S51" i="34"/>
  <c r="AO51" i="34" s="1"/>
  <c r="U51" i="34"/>
  <c r="AQ51" i="34" s="1"/>
  <c r="G69" i="34"/>
  <c r="AC69" i="34" s="1"/>
  <c r="O69" i="34"/>
  <c r="AK69" i="34" s="1"/>
  <c r="C70" i="34"/>
  <c r="Y70" i="34" s="1"/>
  <c r="K70" i="34"/>
  <c r="AG70" i="34" s="1"/>
  <c r="S70" i="34"/>
  <c r="AT70" i="34" s="1"/>
  <c r="C7" i="34"/>
  <c r="Y7" i="34" s="1"/>
  <c r="K7" i="34"/>
  <c r="AG7" i="34" s="1"/>
  <c r="S7" i="34"/>
  <c r="AW7" i="34" s="1"/>
  <c r="AI14" i="34"/>
  <c r="AK14" i="34"/>
  <c r="Y23" i="34"/>
  <c r="AA23" i="34"/>
  <c r="AG23" i="34"/>
  <c r="AS6" i="34"/>
  <c r="X23" i="34"/>
  <c r="AH23" i="34"/>
  <c r="AN23" i="34"/>
  <c r="AP23" i="34"/>
  <c r="AH24" i="34"/>
  <c r="AQ7" i="34"/>
  <c r="Q85" i="32"/>
  <c r="Q76" i="32"/>
  <c r="Q94" i="32" s="1"/>
  <c r="Q86" i="32"/>
  <c r="Q77" i="32"/>
  <c r="Q95" i="32" s="1"/>
  <c r="Q87" i="32"/>
  <c r="Q78" i="32"/>
  <c r="Q96" i="32" s="1"/>
  <c r="Q88" i="32"/>
  <c r="Q79" i="32"/>
  <c r="Q97" i="32" s="1"/>
  <c r="E7" i="33"/>
  <c r="E8" i="33" s="1"/>
  <c r="E36" i="34" s="1"/>
  <c r="AA36" i="34" s="1"/>
  <c r="E34" i="34"/>
  <c r="AA34" i="34" s="1"/>
  <c r="M7" i="33"/>
  <c r="M8" i="33" s="1"/>
  <c r="M9" i="34" s="1"/>
  <c r="AI9" i="34" s="1"/>
  <c r="M34" i="34"/>
  <c r="AI34" i="34" s="1"/>
  <c r="U7" i="33"/>
  <c r="U8" i="33" s="1"/>
  <c r="U34" i="34"/>
  <c r="AX26" i="34"/>
  <c r="AP26" i="34"/>
  <c r="AU26" i="34"/>
  <c r="E27" i="34"/>
  <c r="AA27" i="34" s="1"/>
  <c r="I27" i="34"/>
  <c r="AE27" i="34" s="1"/>
  <c r="M16" i="33"/>
  <c r="M17" i="33" s="1"/>
  <c r="M16" i="34"/>
  <c r="AI16" i="34" s="1"/>
  <c r="AX24" i="34"/>
  <c r="AU24" i="34"/>
  <c r="AP24" i="34"/>
  <c r="C17" i="34"/>
  <c r="E17" i="34"/>
  <c r="I17" i="34"/>
  <c r="K17" i="34"/>
  <c r="C17" i="32"/>
  <c r="C18" i="34" s="1"/>
  <c r="K17" i="32"/>
  <c r="K18" i="34" s="1"/>
  <c r="E25" i="34"/>
  <c r="AA25" i="34" s="1"/>
  <c r="I25" i="34"/>
  <c r="AE25" i="34" s="1"/>
  <c r="C26" i="34"/>
  <c r="Y26" i="34" s="1"/>
  <c r="E26" i="34"/>
  <c r="AA26" i="34" s="1"/>
  <c r="G26" i="34"/>
  <c r="AC26" i="34" s="1"/>
  <c r="I26" i="34"/>
  <c r="AE26" i="34" s="1"/>
  <c r="K26" i="34"/>
  <c r="AG26" i="34" s="1"/>
  <c r="S26" i="34"/>
  <c r="C26" i="32"/>
  <c r="C27" i="34" s="1"/>
  <c r="Y27" i="34" s="1"/>
  <c r="K26" i="32"/>
  <c r="K27" i="34" s="1"/>
  <c r="AG27" i="34" s="1"/>
  <c r="O27" i="34"/>
  <c r="AK27" i="34" s="1"/>
  <c r="B68" i="34"/>
  <c r="X68" i="34" s="1"/>
  <c r="B85" i="32"/>
  <c r="B86" i="34" s="1"/>
  <c r="X86" i="34" s="1"/>
  <c r="B76" i="32"/>
  <c r="F68" i="34"/>
  <c r="AB68" i="34" s="1"/>
  <c r="F85" i="32"/>
  <c r="F86" i="34" s="1"/>
  <c r="AB86" i="34" s="1"/>
  <c r="F76" i="32"/>
  <c r="J68" i="34"/>
  <c r="AF68" i="34" s="1"/>
  <c r="J85" i="32"/>
  <c r="J86" i="34" s="1"/>
  <c r="AF86" i="34" s="1"/>
  <c r="J76" i="32"/>
  <c r="N68" i="34"/>
  <c r="AJ68" i="34" s="1"/>
  <c r="N85" i="32"/>
  <c r="N86" i="34" s="1"/>
  <c r="AJ86" i="34" s="1"/>
  <c r="N76" i="32"/>
  <c r="R68" i="34"/>
  <c r="AN68" i="34" s="1"/>
  <c r="R85" i="32"/>
  <c r="R86" i="34" s="1"/>
  <c r="AN86" i="34" s="1"/>
  <c r="R76" i="32"/>
  <c r="B69" i="34"/>
  <c r="X69" i="34" s="1"/>
  <c r="B86" i="32"/>
  <c r="B87" i="34" s="1"/>
  <c r="X87" i="34" s="1"/>
  <c r="B77" i="32"/>
  <c r="F69" i="34"/>
  <c r="AB69" i="34" s="1"/>
  <c r="F86" i="32"/>
  <c r="F87" i="34" s="1"/>
  <c r="AB87" i="34" s="1"/>
  <c r="F77" i="32"/>
  <c r="J69" i="34"/>
  <c r="AF69" i="34" s="1"/>
  <c r="J86" i="32"/>
  <c r="J87" i="34" s="1"/>
  <c r="AF87" i="34" s="1"/>
  <c r="J77" i="32"/>
  <c r="N69" i="34"/>
  <c r="AJ69" i="34" s="1"/>
  <c r="N86" i="32"/>
  <c r="N87" i="34" s="1"/>
  <c r="AJ87" i="34" s="1"/>
  <c r="N77" i="32"/>
  <c r="R69" i="34"/>
  <c r="R86" i="32"/>
  <c r="R87" i="34" s="1"/>
  <c r="R77" i="32"/>
  <c r="D71" i="34"/>
  <c r="D88" i="32"/>
  <c r="D89" i="34" s="1"/>
  <c r="Z89" i="34" s="1"/>
  <c r="D79" i="32"/>
  <c r="H71" i="34"/>
  <c r="H88" i="32"/>
  <c r="H89" i="34" s="1"/>
  <c r="AD89" i="34" s="1"/>
  <c r="H79" i="32"/>
  <c r="L71" i="34"/>
  <c r="L88" i="32"/>
  <c r="L89" i="34" s="1"/>
  <c r="AH89" i="34" s="1"/>
  <c r="L79" i="32"/>
  <c r="P71" i="34"/>
  <c r="P88" i="32"/>
  <c r="P89" i="34" s="1"/>
  <c r="AL89" i="34" s="1"/>
  <c r="P79" i="32"/>
  <c r="T88" i="32"/>
  <c r="T89" i="34" s="1"/>
  <c r="T79" i="32"/>
  <c r="G45" i="34"/>
  <c r="AC45" i="34" s="1"/>
  <c r="O45" i="34"/>
  <c r="AK45" i="34" s="1"/>
  <c r="C54" i="34"/>
  <c r="Y54" i="34" s="1"/>
  <c r="K54" i="34"/>
  <c r="AG54" i="34" s="1"/>
  <c r="S54" i="34"/>
  <c r="G62" i="32"/>
  <c r="G63" i="34" s="1"/>
  <c r="AC63" i="34" s="1"/>
  <c r="O62" i="32"/>
  <c r="O63" i="34" s="1"/>
  <c r="AK63" i="34" s="1"/>
  <c r="G71" i="32"/>
  <c r="O71" i="32"/>
  <c r="C77" i="32"/>
  <c r="G77" i="32"/>
  <c r="K77" i="32"/>
  <c r="O77" i="32"/>
  <c r="S77" i="32"/>
  <c r="C78" i="32"/>
  <c r="G78" i="32"/>
  <c r="K78" i="32"/>
  <c r="O78" i="32"/>
  <c r="S78" i="32"/>
  <c r="C79" i="32"/>
  <c r="G79" i="32"/>
  <c r="K79" i="32"/>
  <c r="O79" i="32"/>
  <c r="S79" i="32"/>
  <c r="C86" i="32"/>
  <c r="C87" i="34" s="1"/>
  <c r="Y87" i="34" s="1"/>
  <c r="G86" i="32"/>
  <c r="G87" i="34" s="1"/>
  <c r="AC87" i="34" s="1"/>
  <c r="K86" i="32"/>
  <c r="K87" i="34" s="1"/>
  <c r="AG87" i="34" s="1"/>
  <c r="O86" i="32"/>
  <c r="O87" i="34" s="1"/>
  <c r="AK87" i="34" s="1"/>
  <c r="S86" i="32"/>
  <c r="S87" i="34" s="1"/>
  <c r="C87" i="32"/>
  <c r="C88" i="34" s="1"/>
  <c r="Y88" i="34" s="1"/>
  <c r="G87" i="32"/>
  <c r="G88" i="34" s="1"/>
  <c r="AC88" i="34" s="1"/>
  <c r="K87" i="32"/>
  <c r="K88" i="34" s="1"/>
  <c r="AG88" i="34" s="1"/>
  <c r="O87" i="32"/>
  <c r="O88" i="34" s="1"/>
  <c r="AK88" i="34" s="1"/>
  <c r="S87" i="32"/>
  <c r="S88" i="34" s="1"/>
  <c r="C88" i="32"/>
  <c r="C89" i="34" s="1"/>
  <c r="Y89" i="34" s="1"/>
  <c r="G88" i="32"/>
  <c r="G89" i="34" s="1"/>
  <c r="AC89" i="34" s="1"/>
  <c r="K88" i="32"/>
  <c r="K89" i="34" s="1"/>
  <c r="AG89" i="34" s="1"/>
  <c r="O88" i="32"/>
  <c r="O89" i="34" s="1"/>
  <c r="AK89" i="34" s="1"/>
  <c r="S88" i="32"/>
  <c r="S89" i="34" s="1"/>
  <c r="C7" i="33"/>
  <c r="C8" i="33" s="1"/>
  <c r="C9" i="34" s="1"/>
  <c r="Y9" i="34" s="1"/>
  <c r="G7" i="33"/>
  <c r="G8" i="33" s="1"/>
  <c r="G36" i="34" s="1"/>
  <c r="AC36" i="34" s="1"/>
  <c r="K7" i="33"/>
  <c r="K8" i="33" s="1"/>
  <c r="K36" i="34" s="1"/>
  <c r="AG36" i="34" s="1"/>
  <c r="O7" i="33"/>
  <c r="O8" i="33" s="1"/>
  <c r="O36" i="34" s="1"/>
  <c r="AK36" i="34" s="1"/>
  <c r="S7" i="33"/>
  <c r="S8" i="33" s="1"/>
  <c r="D8" i="34"/>
  <c r="Z8" i="34" s="1"/>
  <c r="H8" i="34"/>
  <c r="AD8" i="34" s="1"/>
  <c r="L8" i="34"/>
  <c r="AH8" i="34" s="1"/>
  <c r="P8" i="34"/>
  <c r="AL8" i="34" s="1"/>
  <c r="I9" i="34"/>
  <c r="AE9" i="34" s="1"/>
  <c r="F17" i="34"/>
  <c r="J17" i="34"/>
  <c r="N17" i="34"/>
  <c r="D26" i="34"/>
  <c r="Z26" i="34" s="1"/>
  <c r="D9" i="34"/>
  <c r="Z9" i="34" s="1"/>
  <c r="F9" i="34"/>
  <c r="AB9" i="34" s="1"/>
  <c r="H9" i="34"/>
  <c r="AD9" i="34" s="1"/>
  <c r="J9" i="34"/>
  <c r="AF9" i="34" s="1"/>
  <c r="Q8" i="32"/>
  <c r="U8" i="32"/>
  <c r="Q13" i="32"/>
  <c r="U13" i="32"/>
  <c r="U14" i="34" s="1"/>
  <c r="AQ14" i="34" s="1"/>
  <c r="Q14" i="32"/>
  <c r="U14" i="32"/>
  <c r="U15" i="34" s="1"/>
  <c r="D16" i="34"/>
  <c r="Z16" i="34" s="1"/>
  <c r="F16" i="34"/>
  <c r="AB16" i="34" s="1"/>
  <c r="H16" i="34"/>
  <c r="AD16" i="34" s="1"/>
  <c r="J16" i="34"/>
  <c r="AF16" i="34" s="1"/>
  <c r="Q15" i="32"/>
  <c r="U15" i="32"/>
  <c r="U16" i="34" s="1"/>
  <c r="O17" i="34"/>
  <c r="Q16" i="32"/>
  <c r="U16" i="32"/>
  <c r="U17" i="34" s="1"/>
  <c r="E17" i="32"/>
  <c r="E18" i="34" s="1"/>
  <c r="I17" i="32"/>
  <c r="I18" i="34" s="1"/>
  <c r="M17" i="32"/>
  <c r="U22" i="32"/>
  <c r="U23" i="34" s="1"/>
  <c r="AQ23" i="34" s="1"/>
  <c r="U23" i="32"/>
  <c r="U24" i="34" s="1"/>
  <c r="M25" i="34"/>
  <c r="AI25" i="34" s="1"/>
  <c r="U24" i="32"/>
  <c r="U25" i="34" s="1"/>
  <c r="F26" i="34"/>
  <c r="AB26" i="34" s="1"/>
  <c r="J26" i="34"/>
  <c r="AF26" i="34" s="1"/>
  <c r="M26" i="34"/>
  <c r="AI26" i="34" s="1"/>
  <c r="O26" i="34"/>
  <c r="AK26" i="34" s="1"/>
  <c r="U25" i="32"/>
  <c r="U26" i="34" s="1"/>
  <c r="I36" i="34"/>
  <c r="AE36" i="34" s="1"/>
  <c r="U36" i="34"/>
  <c r="C43" i="34"/>
  <c r="Y43" i="34" s="1"/>
  <c r="E43" i="34"/>
  <c r="AA43" i="34" s="1"/>
  <c r="G43" i="34"/>
  <c r="AC43" i="34" s="1"/>
  <c r="I43" i="34"/>
  <c r="AE43" i="34" s="1"/>
  <c r="K43" i="34"/>
  <c r="AG43" i="34" s="1"/>
  <c r="M43" i="34"/>
  <c r="AI43" i="34" s="1"/>
  <c r="O43" i="34"/>
  <c r="AK43" i="34" s="1"/>
  <c r="S43" i="34"/>
  <c r="U43" i="34"/>
  <c r="C44" i="34"/>
  <c r="Y44" i="34" s="1"/>
  <c r="E44" i="34"/>
  <c r="AA44" i="34" s="1"/>
  <c r="G44" i="34"/>
  <c r="AC44" i="34" s="1"/>
  <c r="I44" i="34"/>
  <c r="AE44" i="34" s="1"/>
  <c r="K44" i="34"/>
  <c r="AG44" i="34" s="1"/>
  <c r="O44" i="34"/>
  <c r="AK44" i="34" s="1"/>
  <c r="S44" i="34"/>
  <c r="U44" i="34"/>
  <c r="E44" i="32"/>
  <c r="I44" i="32"/>
  <c r="M44" i="32"/>
  <c r="Q44" i="32"/>
  <c r="U44" i="32"/>
  <c r="C52" i="34"/>
  <c r="Y52" i="34" s="1"/>
  <c r="E52" i="34"/>
  <c r="AA52" i="34" s="1"/>
  <c r="G52" i="34"/>
  <c r="AC52" i="34" s="1"/>
  <c r="I52" i="34"/>
  <c r="AE52" i="34" s="1"/>
  <c r="K52" i="34"/>
  <c r="AG52" i="34" s="1"/>
  <c r="M52" i="34"/>
  <c r="AI52" i="34" s="1"/>
  <c r="O52" i="34"/>
  <c r="AK52" i="34" s="1"/>
  <c r="S52" i="34"/>
  <c r="U52" i="34"/>
  <c r="C53" i="34"/>
  <c r="Y53" i="34" s="1"/>
  <c r="E53" i="34"/>
  <c r="AA53" i="34" s="1"/>
  <c r="G53" i="34"/>
  <c r="AC53" i="34" s="1"/>
  <c r="I53" i="34"/>
  <c r="AE53" i="34" s="1"/>
  <c r="K53" i="34"/>
  <c r="AG53" i="34" s="1"/>
  <c r="M53" i="34"/>
  <c r="AI53" i="34" s="1"/>
  <c r="O53" i="34"/>
  <c r="AK53" i="34" s="1"/>
  <c r="S53" i="34"/>
  <c r="U53" i="34"/>
  <c r="E53" i="32"/>
  <c r="E54" i="34" s="1"/>
  <c r="AA54" i="34" s="1"/>
  <c r="I53" i="32"/>
  <c r="I54" i="34" s="1"/>
  <c r="AE54" i="34" s="1"/>
  <c r="M53" i="32"/>
  <c r="M54" i="34" s="1"/>
  <c r="AI54" i="34" s="1"/>
  <c r="U53" i="32"/>
  <c r="U54" i="34" s="1"/>
  <c r="E58" i="32"/>
  <c r="E59" i="34" s="1"/>
  <c r="AA59" i="34" s="1"/>
  <c r="I58" i="32"/>
  <c r="I59" i="34" s="1"/>
  <c r="AE59" i="34" s="1"/>
  <c r="M58" i="32"/>
  <c r="M59" i="34" s="1"/>
  <c r="AI59" i="34" s="1"/>
  <c r="Q58" i="32"/>
  <c r="U58" i="32"/>
  <c r="U59" i="34" s="1"/>
  <c r="AQ59" i="34" s="1"/>
  <c r="E59" i="32"/>
  <c r="E60" i="34" s="1"/>
  <c r="AA60" i="34" s="1"/>
  <c r="I59" i="32"/>
  <c r="I60" i="34" s="1"/>
  <c r="AE60" i="34" s="1"/>
  <c r="M59" i="32"/>
  <c r="M60" i="34" s="1"/>
  <c r="AI60" i="34" s="1"/>
  <c r="Q59" i="32"/>
  <c r="U59" i="32"/>
  <c r="U60" i="34" s="1"/>
  <c r="AQ60" i="34" s="1"/>
  <c r="E60" i="32"/>
  <c r="E61" i="34" s="1"/>
  <c r="AA61" i="34" s="1"/>
  <c r="I60" i="32"/>
  <c r="I61" i="34" s="1"/>
  <c r="AE61" i="34" s="1"/>
  <c r="M60" i="32"/>
  <c r="M61" i="34" s="1"/>
  <c r="AI61" i="34" s="1"/>
  <c r="Q60" i="32"/>
  <c r="U60" i="32"/>
  <c r="U61" i="34" s="1"/>
  <c r="AQ61" i="34" s="1"/>
  <c r="E61" i="32"/>
  <c r="E62" i="34" s="1"/>
  <c r="AA62" i="34" s="1"/>
  <c r="I61" i="32"/>
  <c r="I62" i="34" s="1"/>
  <c r="AE62" i="34" s="1"/>
  <c r="M61" i="32"/>
  <c r="M62" i="34" s="1"/>
  <c r="AI62" i="34" s="1"/>
  <c r="Q61" i="32"/>
  <c r="U61" i="32"/>
  <c r="U62" i="34" s="1"/>
  <c r="AQ62" i="34" s="1"/>
  <c r="E67" i="32"/>
  <c r="I67" i="32"/>
  <c r="M67" i="32"/>
  <c r="U67" i="32"/>
  <c r="E68" i="32"/>
  <c r="I68" i="32"/>
  <c r="M68" i="32"/>
  <c r="U68" i="32"/>
  <c r="E69" i="32"/>
  <c r="I69" i="32"/>
  <c r="M69" i="32"/>
  <c r="U69" i="32"/>
  <c r="E70" i="32"/>
  <c r="I70" i="32"/>
  <c r="M70" i="32"/>
  <c r="U70" i="32"/>
  <c r="C108" i="34"/>
  <c r="E108" i="34"/>
  <c r="G108" i="34"/>
  <c r="I108" i="34"/>
  <c r="K108" i="34"/>
  <c r="M108" i="34"/>
  <c r="O108" i="34"/>
  <c r="S108" i="34"/>
  <c r="U108" i="34"/>
  <c r="Q69" i="34"/>
  <c r="AM69" i="34" s="1"/>
  <c r="Q33" i="34"/>
  <c r="AM33" i="34" s="1"/>
  <c r="Q6" i="34"/>
  <c r="AM6" i="34" s="1"/>
  <c r="Q6" i="33"/>
  <c r="Q78" i="34"/>
  <c r="AM78" i="34" s="1"/>
  <c r="Q42" i="34"/>
  <c r="AM42" i="34" s="1"/>
  <c r="Q15" i="34"/>
  <c r="AM15" i="34" s="1"/>
  <c r="Q15" i="33"/>
  <c r="Q87" i="34"/>
  <c r="AM87" i="34" s="1"/>
  <c r="Q51" i="34"/>
  <c r="AM51" i="34" s="1"/>
  <c r="Q24" i="34"/>
  <c r="AM24" i="34" s="1"/>
  <c r="Q23" i="33"/>
  <c r="Q96" i="34"/>
  <c r="AM96" i="34" s="1"/>
  <c r="Q60" i="34"/>
  <c r="AM60" i="34" s="1"/>
  <c r="Q32" i="33"/>
  <c r="Q41" i="33"/>
  <c r="T107" i="34"/>
  <c r="R107" i="34"/>
  <c r="P107" i="34"/>
  <c r="N107" i="34"/>
  <c r="L107" i="34"/>
  <c r="J107" i="34"/>
  <c r="H107" i="34"/>
  <c r="F107" i="34"/>
  <c r="D107" i="34"/>
  <c r="B107" i="34"/>
  <c r="T106" i="34"/>
  <c r="AP106" i="34" s="1"/>
  <c r="R106" i="34"/>
  <c r="AN106" i="34" s="1"/>
  <c r="P106" i="34"/>
  <c r="AL106" i="34" s="1"/>
  <c r="N106" i="34"/>
  <c r="AJ106" i="34" s="1"/>
  <c r="L106" i="34"/>
  <c r="AH106" i="34" s="1"/>
  <c r="J106" i="34"/>
  <c r="AF106" i="34" s="1"/>
  <c r="H106" i="34"/>
  <c r="AD106" i="34" s="1"/>
  <c r="F106" i="34"/>
  <c r="AB106" i="34" s="1"/>
  <c r="D106" i="34"/>
  <c r="Z106" i="34" s="1"/>
  <c r="B106" i="34"/>
  <c r="X106" i="34" s="1"/>
  <c r="S107" i="34"/>
  <c r="O107" i="34"/>
  <c r="K107" i="34"/>
  <c r="G107" i="34"/>
  <c r="C107" i="34"/>
  <c r="S106" i="34"/>
  <c r="AO106" i="34" s="1"/>
  <c r="O106" i="34"/>
  <c r="AK106" i="34" s="1"/>
  <c r="K106" i="34"/>
  <c r="AG106" i="34" s="1"/>
  <c r="G106" i="34"/>
  <c r="AC106" i="34" s="1"/>
  <c r="C106" i="34"/>
  <c r="Y106" i="34" s="1"/>
  <c r="T105" i="34"/>
  <c r="AP105" i="34" s="1"/>
  <c r="R105" i="34"/>
  <c r="AN105" i="34" s="1"/>
  <c r="P105" i="34"/>
  <c r="AL105" i="34" s="1"/>
  <c r="N105" i="34"/>
  <c r="AJ105" i="34" s="1"/>
  <c r="L105" i="34"/>
  <c r="AH105" i="34" s="1"/>
  <c r="J105" i="34"/>
  <c r="AF105" i="34" s="1"/>
  <c r="H105" i="34"/>
  <c r="AD105" i="34" s="1"/>
  <c r="F105" i="34"/>
  <c r="AB105" i="34" s="1"/>
  <c r="D105" i="34"/>
  <c r="Z105" i="34" s="1"/>
  <c r="B105" i="34"/>
  <c r="X105" i="34" s="1"/>
  <c r="T104" i="34"/>
  <c r="AP104" i="34" s="1"/>
  <c r="R104" i="34"/>
  <c r="AN104" i="34" s="1"/>
  <c r="P104" i="34"/>
  <c r="AL104" i="34" s="1"/>
  <c r="N104" i="34"/>
  <c r="AJ104" i="34" s="1"/>
  <c r="L104" i="34"/>
  <c r="AH104" i="34" s="1"/>
  <c r="J104" i="34"/>
  <c r="AF104" i="34" s="1"/>
  <c r="H104" i="34"/>
  <c r="AD104" i="34" s="1"/>
  <c r="F104" i="34"/>
  <c r="AB104" i="34" s="1"/>
  <c r="D104" i="34"/>
  <c r="Z104" i="34" s="1"/>
  <c r="B104" i="34"/>
  <c r="X104" i="34" s="1"/>
  <c r="U107" i="34"/>
  <c r="M107" i="34"/>
  <c r="E107" i="34"/>
  <c r="U106" i="34"/>
  <c r="AQ106" i="34" s="1"/>
  <c r="M106" i="34"/>
  <c r="AI106" i="34" s="1"/>
  <c r="E106" i="34"/>
  <c r="AA106" i="34" s="1"/>
  <c r="U105" i="34"/>
  <c r="AQ105" i="34" s="1"/>
  <c r="M105" i="34"/>
  <c r="AI105" i="34" s="1"/>
  <c r="I105" i="34"/>
  <c r="AE105" i="34" s="1"/>
  <c r="E105" i="34"/>
  <c r="AA105" i="34" s="1"/>
  <c r="U104" i="34"/>
  <c r="AQ104" i="34" s="1"/>
  <c r="Q104" i="34"/>
  <c r="AM104" i="34" s="1"/>
  <c r="M104" i="34"/>
  <c r="AI104" i="34" s="1"/>
  <c r="I104" i="34"/>
  <c r="AE104" i="34" s="1"/>
  <c r="E104" i="34"/>
  <c r="AA104" i="34" s="1"/>
  <c r="I107" i="34"/>
  <c r="O105" i="34"/>
  <c r="AK105" i="34" s="1"/>
  <c r="G105" i="34"/>
  <c r="AC105" i="34" s="1"/>
  <c r="O104" i="34"/>
  <c r="AK104" i="34" s="1"/>
  <c r="G104" i="34"/>
  <c r="AC104" i="34" s="1"/>
  <c r="Q95" i="34"/>
  <c r="AM95" i="34" s="1"/>
  <c r="Q86" i="34"/>
  <c r="AM86" i="34" s="1"/>
  <c r="K105" i="34"/>
  <c r="AG105" i="34" s="1"/>
  <c r="S104" i="34"/>
  <c r="AO104" i="34" s="1"/>
  <c r="C104" i="34"/>
  <c r="Y104" i="34" s="1"/>
  <c r="Q77" i="34"/>
  <c r="AM77" i="34" s="1"/>
  <c r="Q68" i="34"/>
  <c r="AM68" i="34" s="1"/>
  <c r="I106" i="34"/>
  <c r="AE106" i="34" s="1"/>
  <c r="C105" i="34"/>
  <c r="Y105" i="34" s="1"/>
  <c r="K104" i="34"/>
  <c r="AG104" i="34" s="1"/>
  <c r="Q59" i="34"/>
  <c r="AM59" i="34" s="1"/>
  <c r="Q50" i="34"/>
  <c r="AM50" i="34" s="1"/>
  <c r="Q41" i="34"/>
  <c r="AM41" i="34" s="1"/>
  <c r="I35" i="34"/>
  <c r="AE35" i="34" s="1"/>
  <c r="R34" i="34"/>
  <c r="P34" i="34"/>
  <c r="AL34" i="34" s="1"/>
  <c r="N34" i="34"/>
  <c r="AJ34" i="34" s="1"/>
  <c r="L34" i="34"/>
  <c r="AH34" i="34" s="1"/>
  <c r="J34" i="34"/>
  <c r="AF34" i="34" s="1"/>
  <c r="H34" i="34"/>
  <c r="AD34" i="34" s="1"/>
  <c r="F34" i="34"/>
  <c r="AB34" i="34" s="1"/>
  <c r="D34" i="34"/>
  <c r="Z34" i="34" s="1"/>
  <c r="B34" i="34"/>
  <c r="X34" i="34" s="1"/>
  <c r="U33" i="34"/>
  <c r="S33" i="34"/>
  <c r="O33" i="34"/>
  <c r="AK33" i="34" s="1"/>
  <c r="M33" i="34"/>
  <c r="AI33" i="34" s="1"/>
  <c r="K33" i="34"/>
  <c r="AG33" i="34" s="1"/>
  <c r="I33" i="34"/>
  <c r="AE33" i="34" s="1"/>
  <c r="G33" i="34"/>
  <c r="AC33" i="34" s="1"/>
  <c r="E33" i="34"/>
  <c r="AA33" i="34" s="1"/>
  <c r="C33" i="34"/>
  <c r="Y33" i="34" s="1"/>
  <c r="U32" i="34"/>
  <c r="AQ32" i="34" s="1"/>
  <c r="S32" i="34"/>
  <c r="AO32" i="34" s="1"/>
  <c r="Q32" i="34"/>
  <c r="AM32" i="34" s="1"/>
  <c r="O32" i="34"/>
  <c r="AK32" i="34" s="1"/>
  <c r="M32" i="34"/>
  <c r="AI32" i="34" s="1"/>
  <c r="K32" i="34"/>
  <c r="AG32" i="34" s="1"/>
  <c r="I32" i="34"/>
  <c r="AE32" i="34" s="1"/>
  <c r="G32" i="34"/>
  <c r="AC32" i="34" s="1"/>
  <c r="E32" i="34"/>
  <c r="AA32" i="34" s="1"/>
  <c r="C32" i="34"/>
  <c r="Y32" i="34" s="1"/>
  <c r="P35" i="34"/>
  <c r="AL35" i="34" s="1"/>
  <c r="L35" i="34"/>
  <c r="AH35" i="34" s="1"/>
  <c r="H35" i="34"/>
  <c r="AD35" i="34" s="1"/>
  <c r="D35" i="34"/>
  <c r="Z35" i="34" s="1"/>
  <c r="S34" i="34"/>
  <c r="O34" i="34"/>
  <c r="AK34" i="34" s="1"/>
  <c r="K34" i="34"/>
  <c r="AG34" i="34" s="1"/>
  <c r="G34" i="34"/>
  <c r="AC34" i="34" s="1"/>
  <c r="C34" i="34"/>
  <c r="Y34" i="34" s="1"/>
  <c r="R33" i="34"/>
  <c r="N33" i="34"/>
  <c r="AJ33" i="34" s="1"/>
  <c r="J33" i="34"/>
  <c r="AF33" i="34" s="1"/>
  <c r="F33" i="34"/>
  <c r="AB33" i="34" s="1"/>
  <c r="B33" i="34"/>
  <c r="X33" i="34" s="1"/>
  <c r="R32" i="34"/>
  <c r="AN32" i="34" s="1"/>
  <c r="N32" i="34"/>
  <c r="AJ32" i="34" s="1"/>
  <c r="J32" i="34"/>
  <c r="AF32" i="34" s="1"/>
  <c r="F32" i="34"/>
  <c r="AB32" i="34" s="1"/>
  <c r="B32" i="34"/>
  <c r="X32" i="34" s="1"/>
  <c r="Q23" i="34"/>
  <c r="AM23" i="34" s="1"/>
  <c r="Q14" i="34"/>
  <c r="AM14" i="34" s="1"/>
  <c r="I8" i="34"/>
  <c r="AE8" i="34" s="1"/>
  <c r="P7" i="34"/>
  <c r="AL7" i="34" s="1"/>
  <c r="N7" i="34"/>
  <c r="AJ7" i="34" s="1"/>
  <c r="J7" i="34"/>
  <c r="AF7" i="34" s="1"/>
  <c r="H7" i="34"/>
  <c r="AD7" i="34" s="1"/>
  <c r="F7" i="34"/>
  <c r="AB7" i="34" s="1"/>
  <c r="D7" i="34"/>
  <c r="Z7" i="34" s="1"/>
  <c r="O6" i="34"/>
  <c r="AK6" i="34" s="1"/>
  <c r="M6" i="34"/>
  <c r="AI6" i="34" s="1"/>
  <c r="K6" i="34"/>
  <c r="AG6" i="34" s="1"/>
  <c r="I6" i="34"/>
  <c r="AE6" i="34" s="1"/>
  <c r="E6" i="34"/>
  <c r="AA6" i="34" s="1"/>
  <c r="C6" i="34"/>
  <c r="Y6" i="34" s="1"/>
  <c r="Q5" i="34"/>
  <c r="AM5" i="34" s="1"/>
  <c r="O5" i="34"/>
  <c r="AK5" i="34" s="1"/>
  <c r="M5" i="34"/>
  <c r="AI5" i="34" s="1"/>
  <c r="K5" i="34"/>
  <c r="AG5" i="34" s="1"/>
  <c r="I5" i="34"/>
  <c r="AE5" i="34" s="1"/>
  <c r="E5" i="34"/>
  <c r="AA5" i="34" s="1"/>
  <c r="C5" i="34"/>
  <c r="Y5" i="34" s="1"/>
  <c r="Q1" i="34"/>
  <c r="S105" i="34"/>
  <c r="AO105" i="34" s="1"/>
  <c r="R53" i="34"/>
  <c r="N53" i="34"/>
  <c r="AJ53" i="34" s="1"/>
  <c r="J53" i="34"/>
  <c r="AF53" i="34" s="1"/>
  <c r="F53" i="34"/>
  <c r="AB53" i="34" s="1"/>
  <c r="B53" i="34"/>
  <c r="X53" i="34" s="1"/>
  <c r="T51" i="34"/>
  <c r="P51" i="34"/>
  <c r="AL51" i="34" s="1"/>
  <c r="L51" i="34"/>
  <c r="AH51" i="34" s="1"/>
  <c r="H51" i="34"/>
  <c r="AD51" i="34" s="1"/>
  <c r="D51" i="34"/>
  <c r="Z51" i="34" s="1"/>
  <c r="T50" i="34"/>
  <c r="AP50" i="34" s="1"/>
  <c r="P50" i="34"/>
  <c r="AL50" i="34" s="1"/>
  <c r="L50" i="34"/>
  <c r="AH50" i="34" s="1"/>
  <c r="H50" i="34"/>
  <c r="AD50" i="34" s="1"/>
  <c r="D50" i="34"/>
  <c r="Z50" i="34" s="1"/>
  <c r="T44" i="34"/>
  <c r="P44" i="34"/>
  <c r="AL44" i="34" s="1"/>
  <c r="L44" i="34"/>
  <c r="AH44" i="34" s="1"/>
  <c r="H44" i="34"/>
  <c r="AD44" i="34" s="1"/>
  <c r="D44" i="34"/>
  <c r="Z44" i="34" s="1"/>
  <c r="R42" i="34"/>
  <c r="N42" i="34"/>
  <c r="AJ42" i="34" s="1"/>
  <c r="J42" i="34"/>
  <c r="AF42" i="34" s="1"/>
  <c r="F42" i="34"/>
  <c r="AB42" i="34" s="1"/>
  <c r="B42" i="34"/>
  <c r="X42" i="34" s="1"/>
  <c r="R41" i="34"/>
  <c r="AN41" i="34" s="1"/>
  <c r="N41" i="34"/>
  <c r="AJ41" i="34" s="1"/>
  <c r="J41" i="34"/>
  <c r="AF41" i="34" s="1"/>
  <c r="F41" i="34"/>
  <c r="AB41" i="34" s="1"/>
  <c r="B41" i="34"/>
  <c r="X41" i="34" s="1"/>
  <c r="R35" i="34"/>
  <c r="N35" i="34"/>
  <c r="AJ35" i="34" s="1"/>
  <c r="J35" i="34"/>
  <c r="AF35" i="34" s="1"/>
  <c r="F35" i="34"/>
  <c r="AB35" i="34" s="1"/>
  <c r="B35" i="34"/>
  <c r="X35" i="34" s="1"/>
  <c r="D5" i="34"/>
  <c r="Z5" i="34" s="1"/>
  <c r="H5" i="34"/>
  <c r="AD5" i="34" s="1"/>
  <c r="L5" i="34"/>
  <c r="AH5" i="34" s="1"/>
  <c r="P5" i="34"/>
  <c r="AL5" i="34" s="1"/>
  <c r="T5" i="34"/>
  <c r="AP5" i="34" s="1"/>
  <c r="D6" i="34"/>
  <c r="Z6" i="34" s="1"/>
  <c r="H6" i="34"/>
  <c r="AD6" i="34" s="1"/>
  <c r="L6" i="34"/>
  <c r="AH6" i="34" s="1"/>
  <c r="P6" i="34"/>
  <c r="AL6" i="34" s="1"/>
  <c r="T6" i="34"/>
  <c r="E7" i="34"/>
  <c r="AA7" i="34" s="1"/>
  <c r="I7" i="34"/>
  <c r="AE7" i="34" s="1"/>
  <c r="M7" i="34"/>
  <c r="AI7" i="34" s="1"/>
  <c r="B8" i="34"/>
  <c r="X8" i="34" s="1"/>
  <c r="F8" i="34"/>
  <c r="AB8" i="34" s="1"/>
  <c r="J8" i="34"/>
  <c r="AF8" i="34" s="1"/>
  <c r="N8" i="34"/>
  <c r="AJ8" i="34" s="1"/>
  <c r="R8" i="34"/>
  <c r="F14" i="34"/>
  <c r="AB14" i="34" s="1"/>
  <c r="J14" i="34"/>
  <c r="AF14" i="34" s="1"/>
  <c r="N14" i="34"/>
  <c r="AJ14" i="34" s="1"/>
  <c r="F15" i="34"/>
  <c r="AB15" i="34" s="1"/>
  <c r="J15" i="34"/>
  <c r="AF15" i="34" s="1"/>
  <c r="N15" i="34"/>
  <c r="AJ15" i="34" s="1"/>
  <c r="D17" i="34"/>
  <c r="H17" i="34"/>
  <c r="P17" i="34"/>
  <c r="D23" i="34"/>
  <c r="Z23" i="34" s="1"/>
  <c r="H23" i="34"/>
  <c r="AD23" i="34" s="1"/>
  <c r="P23" i="34"/>
  <c r="AL23" i="34" s="1"/>
  <c r="F24" i="34"/>
  <c r="AB24" i="34" s="1"/>
  <c r="N24" i="34"/>
  <c r="AJ24" i="34" s="1"/>
  <c r="H26" i="34"/>
  <c r="AD26" i="34" s="1"/>
  <c r="P26" i="34"/>
  <c r="AL26" i="34" s="1"/>
  <c r="H32" i="34"/>
  <c r="AD32" i="34" s="1"/>
  <c r="P32" i="34"/>
  <c r="AL32" i="34" s="1"/>
  <c r="H33" i="34"/>
  <c r="AD33" i="34" s="1"/>
  <c r="P33" i="34"/>
  <c r="AL33" i="34" s="1"/>
  <c r="I34" i="34"/>
  <c r="AE34" i="34" s="1"/>
  <c r="B8" i="32"/>
  <c r="L8" i="32"/>
  <c r="R8" i="32"/>
  <c r="T8" i="32"/>
  <c r="B13" i="32"/>
  <c r="B14" i="34" s="1"/>
  <c r="X14" i="34" s="1"/>
  <c r="L13" i="32"/>
  <c r="L14" i="34" s="1"/>
  <c r="AH14" i="34" s="1"/>
  <c r="R13" i="32"/>
  <c r="R14" i="34" s="1"/>
  <c r="AN14" i="34" s="1"/>
  <c r="T13" i="32"/>
  <c r="T14" i="34" s="1"/>
  <c r="AP14" i="34" s="1"/>
  <c r="B14" i="32"/>
  <c r="B15" i="34" s="1"/>
  <c r="X15" i="34" s="1"/>
  <c r="L14" i="32"/>
  <c r="L15" i="34" s="1"/>
  <c r="AH15" i="34" s="1"/>
  <c r="R14" i="32"/>
  <c r="R15" i="34" s="1"/>
  <c r="T14" i="32"/>
  <c r="T15" i="34" s="1"/>
  <c r="B15" i="32"/>
  <c r="B16" i="34" s="1"/>
  <c r="X16" i="34" s="1"/>
  <c r="L15" i="32"/>
  <c r="L16" i="34" s="1"/>
  <c r="AH16" i="34" s="1"/>
  <c r="R15" i="32"/>
  <c r="R16" i="34" s="1"/>
  <c r="T15" i="32"/>
  <c r="T16" i="34" s="1"/>
  <c r="B16" i="32"/>
  <c r="B17" i="34" s="1"/>
  <c r="L16" i="32"/>
  <c r="L17" i="34" s="1"/>
  <c r="R16" i="32"/>
  <c r="R17" i="34" s="1"/>
  <c r="T16" i="32"/>
  <c r="T17" i="34" s="1"/>
  <c r="D17" i="32"/>
  <c r="D18" i="34" s="1"/>
  <c r="F17" i="32"/>
  <c r="F18" i="34" s="1"/>
  <c r="H17" i="32"/>
  <c r="H18" i="34" s="1"/>
  <c r="J17" i="32"/>
  <c r="J18" i="34" s="1"/>
  <c r="N17" i="32"/>
  <c r="N18" i="34" s="1"/>
  <c r="P17" i="32"/>
  <c r="P18" i="34" s="1"/>
  <c r="B24" i="32"/>
  <c r="B25" i="34" s="1"/>
  <c r="X25" i="34" s="1"/>
  <c r="D25" i="34"/>
  <c r="Z25" i="34" s="1"/>
  <c r="F25" i="34"/>
  <c r="AB25" i="34" s="1"/>
  <c r="H25" i="34"/>
  <c r="AD25" i="34" s="1"/>
  <c r="J25" i="34"/>
  <c r="AF25" i="34" s="1"/>
  <c r="L24" i="32"/>
  <c r="L25" i="34" s="1"/>
  <c r="AH25" i="34" s="1"/>
  <c r="N25" i="34"/>
  <c r="AJ25" i="34" s="1"/>
  <c r="P25" i="34"/>
  <c r="AL25" i="34" s="1"/>
  <c r="R24" i="32"/>
  <c r="R25" i="34" s="1"/>
  <c r="T24" i="32"/>
  <c r="T25" i="34" s="1"/>
  <c r="D26" i="32"/>
  <c r="D27" i="34" s="1"/>
  <c r="Z27" i="34" s="1"/>
  <c r="F26" i="32"/>
  <c r="F27" i="34" s="1"/>
  <c r="AB27" i="34" s="1"/>
  <c r="H26" i="32"/>
  <c r="H27" i="34" s="1"/>
  <c r="AD27" i="34" s="1"/>
  <c r="J26" i="32"/>
  <c r="J27" i="34" s="1"/>
  <c r="AF27" i="34" s="1"/>
  <c r="N26" i="32"/>
  <c r="N27" i="34" s="1"/>
  <c r="AJ27" i="34" s="1"/>
  <c r="P26" i="32"/>
  <c r="P27" i="34" s="1"/>
  <c r="AL27" i="34" s="1"/>
  <c r="B36" i="34"/>
  <c r="X36" i="34" s="1"/>
  <c r="D36" i="34"/>
  <c r="Z36" i="34" s="1"/>
  <c r="F36" i="34"/>
  <c r="AB36" i="34" s="1"/>
  <c r="H36" i="34"/>
  <c r="AD36" i="34" s="1"/>
  <c r="J36" i="34"/>
  <c r="AF36" i="34" s="1"/>
  <c r="L36" i="34"/>
  <c r="AH36" i="34" s="1"/>
  <c r="N36" i="34"/>
  <c r="AJ36" i="34" s="1"/>
  <c r="P36" i="34"/>
  <c r="AL36" i="34" s="1"/>
  <c r="R36" i="34"/>
  <c r="B43" i="34"/>
  <c r="X43" i="34" s="1"/>
  <c r="D43" i="34"/>
  <c r="Z43" i="34" s="1"/>
  <c r="F43" i="34"/>
  <c r="AB43" i="34" s="1"/>
  <c r="H43" i="34"/>
  <c r="AD43" i="34" s="1"/>
  <c r="J43" i="34"/>
  <c r="AF43" i="34" s="1"/>
  <c r="L43" i="34"/>
  <c r="AH43" i="34" s="1"/>
  <c r="N43" i="34"/>
  <c r="AJ43" i="34" s="1"/>
  <c r="P43" i="34"/>
  <c r="AL43" i="34" s="1"/>
  <c r="R43" i="34"/>
  <c r="T43" i="34"/>
  <c r="B44" i="32"/>
  <c r="D44" i="32"/>
  <c r="F44" i="32"/>
  <c r="H44" i="32"/>
  <c r="J44" i="32"/>
  <c r="L44" i="32"/>
  <c r="N44" i="32"/>
  <c r="P44" i="32"/>
  <c r="R44" i="32"/>
  <c r="T44" i="32"/>
  <c r="B52" i="34"/>
  <c r="X52" i="34" s="1"/>
  <c r="D52" i="34"/>
  <c r="Z52" i="34" s="1"/>
  <c r="F52" i="34"/>
  <c r="AB52" i="34" s="1"/>
  <c r="H52" i="34"/>
  <c r="AD52" i="34" s="1"/>
  <c r="J52" i="34"/>
  <c r="AF52" i="34" s="1"/>
  <c r="L52" i="34"/>
  <c r="AH52" i="34" s="1"/>
  <c r="N52" i="34"/>
  <c r="AJ52" i="34" s="1"/>
  <c r="P52" i="34"/>
  <c r="AL52" i="34" s="1"/>
  <c r="R52" i="34"/>
  <c r="T52" i="34"/>
  <c r="B53" i="32"/>
  <c r="B54" i="34" s="1"/>
  <c r="X54" i="34" s="1"/>
  <c r="D53" i="32"/>
  <c r="D54" i="34" s="1"/>
  <c r="Z54" i="34" s="1"/>
  <c r="F53" i="32"/>
  <c r="F54" i="34" s="1"/>
  <c r="AB54" i="34" s="1"/>
  <c r="H53" i="32"/>
  <c r="H54" i="34" s="1"/>
  <c r="AD54" i="34" s="1"/>
  <c r="J53" i="32"/>
  <c r="J54" i="34" s="1"/>
  <c r="AF54" i="34" s="1"/>
  <c r="L53" i="32"/>
  <c r="L54" i="34" s="1"/>
  <c r="AH54" i="34" s="1"/>
  <c r="N53" i="32"/>
  <c r="N54" i="34" s="1"/>
  <c r="AJ54" i="34" s="1"/>
  <c r="P53" i="32"/>
  <c r="P54" i="34" s="1"/>
  <c r="AL54" i="34" s="1"/>
  <c r="R53" i="32"/>
  <c r="R54" i="34" s="1"/>
  <c r="T53" i="32"/>
  <c r="T54" i="34" s="1"/>
  <c r="B58" i="32"/>
  <c r="B59" i="34" s="1"/>
  <c r="X59" i="34" s="1"/>
  <c r="D58" i="32"/>
  <c r="D59" i="34" s="1"/>
  <c r="Z59" i="34" s="1"/>
  <c r="F58" i="32"/>
  <c r="F59" i="34" s="1"/>
  <c r="AB59" i="34" s="1"/>
  <c r="H58" i="32"/>
  <c r="H59" i="34" s="1"/>
  <c r="AD59" i="34" s="1"/>
  <c r="J58" i="32"/>
  <c r="J59" i="34" s="1"/>
  <c r="AF59" i="34" s="1"/>
  <c r="L58" i="32"/>
  <c r="L59" i="34" s="1"/>
  <c r="AH59" i="34" s="1"/>
  <c r="N58" i="32"/>
  <c r="N59" i="34" s="1"/>
  <c r="AJ59" i="34" s="1"/>
  <c r="P58" i="32"/>
  <c r="P59" i="34" s="1"/>
  <c r="AL59" i="34" s="1"/>
  <c r="R58" i="32"/>
  <c r="R59" i="34" s="1"/>
  <c r="AN59" i="34" s="1"/>
  <c r="T58" i="32"/>
  <c r="T59" i="34" s="1"/>
  <c r="AP59" i="34" s="1"/>
  <c r="B59" i="32"/>
  <c r="B60" i="34" s="1"/>
  <c r="X60" i="34" s="1"/>
  <c r="D59" i="32"/>
  <c r="D60" i="34" s="1"/>
  <c r="Z60" i="34" s="1"/>
  <c r="F59" i="32"/>
  <c r="F60" i="34" s="1"/>
  <c r="AB60" i="34" s="1"/>
  <c r="H59" i="32"/>
  <c r="H60" i="34" s="1"/>
  <c r="AD60" i="34" s="1"/>
  <c r="J59" i="32"/>
  <c r="J60" i="34" s="1"/>
  <c r="AF60" i="34" s="1"/>
  <c r="L59" i="32"/>
  <c r="L60" i="34" s="1"/>
  <c r="AH60" i="34" s="1"/>
  <c r="N59" i="32"/>
  <c r="N60" i="34" s="1"/>
  <c r="AJ60" i="34" s="1"/>
  <c r="P59" i="32"/>
  <c r="P60" i="34" s="1"/>
  <c r="AL60" i="34" s="1"/>
  <c r="R59" i="32"/>
  <c r="R60" i="34" s="1"/>
  <c r="AN60" i="34" s="1"/>
  <c r="T59" i="32"/>
  <c r="T60" i="34" s="1"/>
  <c r="AP60" i="34" s="1"/>
  <c r="B60" i="32"/>
  <c r="B61" i="34" s="1"/>
  <c r="X61" i="34" s="1"/>
  <c r="D60" i="32"/>
  <c r="D61" i="34" s="1"/>
  <c r="Z61" i="34" s="1"/>
  <c r="F60" i="32"/>
  <c r="F61" i="34" s="1"/>
  <c r="AB61" i="34" s="1"/>
  <c r="H60" i="32"/>
  <c r="H61" i="34" s="1"/>
  <c r="AD61" i="34" s="1"/>
  <c r="J60" i="32"/>
  <c r="J61" i="34" s="1"/>
  <c r="AF61" i="34" s="1"/>
  <c r="L60" i="32"/>
  <c r="L61" i="34" s="1"/>
  <c r="AH61" i="34" s="1"/>
  <c r="N60" i="32"/>
  <c r="N61" i="34" s="1"/>
  <c r="AJ61" i="34" s="1"/>
  <c r="P60" i="32"/>
  <c r="P61" i="34" s="1"/>
  <c r="AL61" i="34" s="1"/>
  <c r="R60" i="32"/>
  <c r="R61" i="34" s="1"/>
  <c r="AN61" i="34" s="1"/>
  <c r="T60" i="32"/>
  <c r="T61" i="34" s="1"/>
  <c r="AP61" i="34" s="1"/>
  <c r="B61" i="32"/>
  <c r="B62" i="34" s="1"/>
  <c r="X62" i="34" s="1"/>
  <c r="D61" i="32"/>
  <c r="D62" i="34" s="1"/>
  <c r="Z62" i="34" s="1"/>
  <c r="F61" i="32"/>
  <c r="F62" i="34" s="1"/>
  <c r="AB62" i="34" s="1"/>
  <c r="H61" i="32"/>
  <c r="H62" i="34" s="1"/>
  <c r="AD62" i="34" s="1"/>
  <c r="J61" i="32"/>
  <c r="J62" i="34" s="1"/>
  <c r="AF62" i="34" s="1"/>
  <c r="L61" i="32"/>
  <c r="L62" i="34" s="1"/>
  <c r="AH62" i="34" s="1"/>
  <c r="N61" i="32"/>
  <c r="N62" i="34" s="1"/>
  <c r="AJ62" i="34" s="1"/>
  <c r="P61" i="32"/>
  <c r="P62" i="34" s="1"/>
  <c r="AL62" i="34" s="1"/>
  <c r="R61" i="32"/>
  <c r="R62" i="34" s="1"/>
  <c r="AN62" i="34" s="1"/>
  <c r="T61" i="32"/>
  <c r="T62" i="34" s="1"/>
  <c r="AP62" i="34" s="1"/>
  <c r="D67" i="32"/>
  <c r="H67" i="32"/>
  <c r="L67" i="32"/>
  <c r="P67" i="32"/>
  <c r="T67" i="32"/>
  <c r="D68" i="32"/>
  <c r="H68" i="32"/>
  <c r="L68" i="32"/>
  <c r="P68" i="32"/>
  <c r="T68" i="32"/>
  <c r="B69" i="32"/>
  <c r="D69" i="32"/>
  <c r="F69" i="32"/>
  <c r="H69" i="32"/>
  <c r="J69" i="32"/>
  <c r="L69" i="32"/>
  <c r="N69" i="32"/>
  <c r="P69" i="32"/>
  <c r="R69" i="32"/>
  <c r="T69" i="32"/>
  <c r="B70" i="32"/>
  <c r="F70" i="32"/>
  <c r="J70" i="32"/>
  <c r="N70" i="32"/>
  <c r="R70" i="32"/>
  <c r="B108" i="34"/>
  <c r="D108" i="34"/>
  <c r="F108" i="34"/>
  <c r="H108" i="34"/>
  <c r="J108" i="34"/>
  <c r="L108" i="34"/>
  <c r="N108" i="34"/>
  <c r="P108" i="34"/>
  <c r="R108" i="34"/>
  <c r="T108" i="34"/>
  <c r="F25" i="29"/>
  <c r="F24" i="29"/>
  <c r="F23" i="29"/>
  <c r="F22" i="29"/>
  <c r="F19" i="29"/>
  <c r="F18" i="29"/>
  <c r="F17" i="29"/>
  <c r="F16" i="29"/>
  <c r="O4" i="25"/>
  <c r="Q4" i="25"/>
  <c r="AO69" i="34" l="1"/>
  <c r="M1" i="34"/>
  <c r="G85" i="32"/>
  <c r="G86" i="34" s="1"/>
  <c r="AC86" i="34" s="1"/>
  <c r="G76" i="32"/>
  <c r="G94" i="32" s="1"/>
  <c r="G95" i="34" s="1"/>
  <c r="AC95" i="34" s="1"/>
  <c r="AO6" i="34"/>
  <c r="AY7" i="34"/>
  <c r="AW6" i="34"/>
  <c r="G25" i="29"/>
  <c r="H25" i="29"/>
  <c r="G24" i="29"/>
  <c r="H24" i="29"/>
  <c r="G22" i="29"/>
  <c r="H22" i="29"/>
  <c r="H23" i="29"/>
  <c r="G23" i="29"/>
  <c r="H19" i="29"/>
  <c r="G19" i="29"/>
  <c r="G18" i="29"/>
  <c r="H18" i="29"/>
  <c r="G16" i="29"/>
  <c r="H16" i="29"/>
  <c r="H17" i="29"/>
  <c r="G17" i="29"/>
  <c r="AW15" i="34"/>
  <c r="K45" i="34"/>
  <c r="AG45" i="34" s="1"/>
  <c r="S26" i="32"/>
  <c r="S27" i="34" s="1"/>
  <c r="AT27" i="34" s="1"/>
  <c r="C68" i="34"/>
  <c r="Y68" i="34" s="1"/>
  <c r="S9" i="34"/>
  <c r="AW9" i="34" s="1"/>
  <c r="S85" i="32"/>
  <c r="S86" i="34" s="1"/>
  <c r="AO86" i="34" s="1"/>
  <c r="C85" i="32"/>
  <c r="C86" i="34" s="1"/>
  <c r="Y86" i="34" s="1"/>
  <c r="S76" i="32"/>
  <c r="S77" i="34" s="1"/>
  <c r="AO77" i="34" s="1"/>
  <c r="K71" i="32"/>
  <c r="K72" i="34" s="1"/>
  <c r="AG72" i="34" s="1"/>
  <c r="AW69" i="34"/>
  <c r="G26" i="32"/>
  <c r="G27" i="34" s="1"/>
  <c r="AC27" i="34" s="1"/>
  <c r="AT15" i="34"/>
  <c r="E8" i="34"/>
  <c r="AA8" i="34" s="1"/>
  <c r="K8" i="34"/>
  <c r="AG8" i="34" s="1"/>
  <c r="U35" i="34"/>
  <c r="AQ35" i="34" s="1"/>
  <c r="M35" i="34"/>
  <c r="AI35" i="34" s="1"/>
  <c r="AY42" i="34"/>
  <c r="G8" i="34"/>
  <c r="AC8" i="34" s="1"/>
  <c r="AP53" i="34"/>
  <c r="M8" i="34"/>
  <c r="AI8" i="34" s="1"/>
  <c r="E35" i="34"/>
  <c r="AA35" i="34" s="1"/>
  <c r="K35" i="34"/>
  <c r="AG35" i="34" s="1"/>
  <c r="S35" i="34"/>
  <c r="AT35" i="34" s="1"/>
  <c r="AW51" i="34"/>
  <c r="AV42" i="34"/>
  <c r="M36" i="34"/>
  <c r="AI36" i="34" s="1"/>
  <c r="C36" i="34"/>
  <c r="Y36" i="34" s="1"/>
  <c r="M18" i="34"/>
  <c r="M17" i="34"/>
  <c r="AI18" i="34" s="1"/>
  <c r="AV6" i="34"/>
  <c r="E9" i="34"/>
  <c r="AA9" i="34" s="1"/>
  <c r="K85" i="32"/>
  <c r="K86" i="34" s="1"/>
  <c r="AG86" i="34" s="1"/>
  <c r="AX53" i="34"/>
  <c r="AX42" i="34"/>
  <c r="AW25" i="34"/>
  <c r="K68" i="34"/>
  <c r="AG68" i="34" s="1"/>
  <c r="AN7" i="34"/>
  <c r="AT7" i="34"/>
  <c r="AP33" i="34"/>
  <c r="AY6" i="34"/>
  <c r="AY51" i="34"/>
  <c r="AO42" i="34"/>
  <c r="AW70" i="34"/>
  <c r="S62" i="32"/>
  <c r="S63" i="34" s="1"/>
  <c r="AO63" i="34" s="1"/>
  <c r="C62" i="32"/>
  <c r="C63" i="34" s="1"/>
  <c r="Y63" i="34" s="1"/>
  <c r="AN26" i="34"/>
  <c r="AS24" i="34"/>
  <c r="AT16" i="34"/>
  <c r="AW16" i="34"/>
  <c r="AO16" i="34"/>
  <c r="AT24" i="34"/>
  <c r="AO24" i="34"/>
  <c r="C8" i="34"/>
  <c r="Y8" i="34" s="1"/>
  <c r="T34" i="34"/>
  <c r="AP34" i="34" s="1"/>
  <c r="S8" i="34"/>
  <c r="AT8" i="34" s="1"/>
  <c r="AU33" i="34"/>
  <c r="O85" i="32"/>
  <c r="O86" i="34" s="1"/>
  <c r="AK86" i="34" s="1"/>
  <c r="O76" i="32"/>
  <c r="O77" i="34" s="1"/>
  <c r="AK77" i="34" s="1"/>
  <c r="S71" i="32"/>
  <c r="S89" i="32" s="1"/>
  <c r="S90" i="34" s="1"/>
  <c r="C71" i="32"/>
  <c r="C72" i="34" s="1"/>
  <c r="Y72" i="34" s="1"/>
  <c r="AV51" i="34"/>
  <c r="AW42" i="34"/>
  <c r="AO70" i="34"/>
  <c r="AN51" i="34"/>
  <c r="AN44" i="34"/>
  <c r="AP7" i="34"/>
  <c r="AU7" i="34"/>
  <c r="AX7" i="34"/>
  <c r="T7" i="33"/>
  <c r="AT51" i="34"/>
  <c r="AP42" i="34"/>
  <c r="AT25" i="34"/>
  <c r="K9" i="34"/>
  <c r="AG9" i="34" s="1"/>
  <c r="C35" i="34"/>
  <c r="Y35" i="34" s="1"/>
  <c r="M44" i="34"/>
  <c r="AI44" i="34" s="1"/>
  <c r="S36" i="34"/>
  <c r="AW36" i="34" s="1"/>
  <c r="U8" i="34"/>
  <c r="AV8" i="34" s="1"/>
  <c r="AW24" i="34"/>
  <c r="AO7" i="34"/>
  <c r="R88" i="32"/>
  <c r="R89" i="34" s="1"/>
  <c r="R79" i="32"/>
  <c r="R71" i="34"/>
  <c r="J88" i="32"/>
  <c r="J89" i="34" s="1"/>
  <c r="AF89" i="34" s="1"/>
  <c r="J79" i="32"/>
  <c r="J71" i="34"/>
  <c r="B88" i="32"/>
  <c r="B89" i="34" s="1"/>
  <c r="X89" i="34" s="1"/>
  <c r="B79" i="32"/>
  <c r="B71" i="34"/>
  <c r="R70" i="34"/>
  <c r="R87" i="32"/>
  <c r="R88" i="34" s="1"/>
  <c r="R78" i="32"/>
  <c r="N70" i="34"/>
  <c r="AJ70" i="34" s="1"/>
  <c r="N87" i="32"/>
  <c r="N88" i="34" s="1"/>
  <c r="AJ88" i="34" s="1"/>
  <c r="N78" i="32"/>
  <c r="J70" i="34"/>
  <c r="AF70" i="34" s="1"/>
  <c r="J87" i="32"/>
  <c r="J88" i="34" s="1"/>
  <c r="AF88" i="34" s="1"/>
  <c r="J78" i="32"/>
  <c r="F70" i="34"/>
  <c r="AB70" i="34" s="1"/>
  <c r="F87" i="32"/>
  <c r="F88" i="34" s="1"/>
  <c r="AB88" i="34" s="1"/>
  <c r="F78" i="32"/>
  <c r="B70" i="34"/>
  <c r="X70" i="34" s="1"/>
  <c r="B87" i="32"/>
  <c r="B88" i="34" s="1"/>
  <c r="X88" i="34" s="1"/>
  <c r="B78" i="32"/>
  <c r="P86" i="32"/>
  <c r="P87" i="34" s="1"/>
  <c r="AL87" i="34" s="1"/>
  <c r="P77" i="32"/>
  <c r="P69" i="34"/>
  <c r="AL69" i="34" s="1"/>
  <c r="H86" i="32"/>
  <c r="H87" i="34" s="1"/>
  <c r="AD87" i="34" s="1"/>
  <c r="H77" i="32"/>
  <c r="H69" i="34"/>
  <c r="AD69" i="34" s="1"/>
  <c r="T68" i="34"/>
  <c r="AP68" i="34" s="1"/>
  <c r="T85" i="32"/>
  <c r="T86" i="34" s="1"/>
  <c r="AP86" i="34" s="1"/>
  <c r="T76" i="32"/>
  <c r="L68" i="34"/>
  <c r="AH68" i="34" s="1"/>
  <c r="L85" i="32"/>
  <c r="L86" i="34" s="1"/>
  <c r="AH86" i="34" s="1"/>
  <c r="L76" i="32"/>
  <c r="D68" i="34"/>
  <c r="Z68" i="34" s="1"/>
  <c r="D85" i="32"/>
  <c r="D86" i="34" s="1"/>
  <c r="Z86" i="34" s="1"/>
  <c r="D76" i="32"/>
  <c r="AS54" i="34"/>
  <c r="AN54" i="34"/>
  <c r="AS52" i="34"/>
  <c r="AN52" i="34"/>
  <c r="R45" i="34"/>
  <c r="R71" i="32"/>
  <c r="R62" i="32"/>
  <c r="R63" i="34" s="1"/>
  <c r="AN63" i="34" s="1"/>
  <c r="N45" i="34"/>
  <c r="AJ45" i="34" s="1"/>
  <c r="N71" i="32"/>
  <c r="N62" i="32"/>
  <c r="N63" i="34" s="1"/>
  <c r="AJ63" i="34" s="1"/>
  <c r="J45" i="34"/>
  <c r="AF45" i="34" s="1"/>
  <c r="J71" i="32"/>
  <c r="J62" i="32"/>
  <c r="J63" i="34" s="1"/>
  <c r="AF63" i="34" s="1"/>
  <c r="F45" i="34"/>
  <c r="AB45" i="34" s="1"/>
  <c r="F71" i="32"/>
  <c r="F62" i="32"/>
  <c r="F63" i="34" s="1"/>
  <c r="AB63" i="34" s="1"/>
  <c r="B45" i="34"/>
  <c r="X45" i="34" s="1"/>
  <c r="B71" i="32"/>
  <c r="B62" i="32"/>
  <c r="B63" i="34" s="1"/>
  <c r="X63" i="34" s="1"/>
  <c r="AS43" i="34"/>
  <c r="AN43" i="34"/>
  <c r="AS36" i="34"/>
  <c r="AN36" i="34"/>
  <c r="AS25" i="34"/>
  <c r="AN25" i="34"/>
  <c r="AN18" i="34"/>
  <c r="AS17" i="34"/>
  <c r="AN17" i="34"/>
  <c r="X18" i="34"/>
  <c r="X17" i="34"/>
  <c r="AS16" i="34"/>
  <c r="AN16" i="34"/>
  <c r="AS15" i="34"/>
  <c r="AN15" i="34"/>
  <c r="R9" i="34"/>
  <c r="R26" i="32"/>
  <c r="R27" i="34" s="1"/>
  <c r="R17" i="32"/>
  <c r="R18" i="34" s="1"/>
  <c r="AS18" i="34" s="1"/>
  <c r="B9" i="34"/>
  <c r="X9" i="34" s="1"/>
  <c r="B26" i="32"/>
  <c r="B27" i="34" s="1"/>
  <c r="X27" i="34" s="1"/>
  <c r="B17" i="32"/>
  <c r="B18" i="34" s="1"/>
  <c r="AD18" i="34"/>
  <c r="AD17" i="34"/>
  <c r="AX6" i="34"/>
  <c r="AU6" i="34"/>
  <c r="AP6" i="34"/>
  <c r="AS35" i="34"/>
  <c r="AN35" i="34"/>
  <c r="AS42" i="34"/>
  <c r="AN42" i="34"/>
  <c r="AS53" i="34"/>
  <c r="AN53" i="34"/>
  <c r="AW34" i="34"/>
  <c r="AT34" i="34"/>
  <c r="AO34" i="34"/>
  <c r="AV33" i="34"/>
  <c r="AQ33" i="34"/>
  <c r="AY33" i="34"/>
  <c r="AA107" i="34"/>
  <c r="AA108" i="34"/>
  <c r="AQ107" i="34"/>
  <c r="AQ108" i="34"/>
  <c r="Y108" i="34"/>
  <c r="Y107" i="34"/>
  <c r="AG108" i="34"/>
  <c r="AG107" i="34"/>
  <c r="AO108" i="34"/>
  <c r="AO107" i="34"/>
  <c r="Z108" i="34"/>
  <c r="Z107" i="34"/>
  <c r="AD108" i="34"/>
  <c r="AD107" i="34"/>
  <c r="AH108" i="34"/>
  <c r="AH107" i="34"/>
  <c r="AL108" i="34"/>
  <c r="AL107" i="34"/>
  <c r="AP108" i="34"/>
  <c r="AP107" i="34"/>
  <c r="Q97" i="34"/>
  <c r="AM97" i="34" s="1"/>
  <c r="Q61" i="34"/>
  <c r="AM61" i="34" s="1"/>
  <c r="Q33" i="33"/>
  <c r="U71" i="34"/>
  <c r="U88" i="32"/>
  <c r="U89" i="34" s="1"/>
  <c r="U79" i="32"/>
  <c r="I71" i="34"/>
  <c r="I88" i="32"/>
  <c r="I89" i="34" s="1"/>
  <c r="AE89" i="34" s="1"/>
  <c r="I79" i="32"/>
  <c r="U70" i="34"/>
  <c r="U87" i="32"/>
  <c r="U88" i="34" s="1"/>
  <c r="U78" i="32"/>
  <c r="I70" i="34"/>
  <c r="AE70" i="34" s="1"/>
  <c r="I87" i="32"/>
  <c r="I88" i="34" s="1"/>
  <c r="AE88" i="34" s="1"/>
  <c r="I78" i="32"/>
  <c r="U69" i="34"/>
  <c r="U86" i="32"/>
  <c r="U87" i="34" s="1"/>
  <c r="U77" i="32"/>
  <c r="I69" i="34"/>
  <c r="AE69" i="34" s="1"/>
  <c r="I86" i="32"/>
  <c r="I87" i="34" s="1"/>
  <c r="AE87" i="34" s="1"/>
  <c r="I77" i="32"/>
  <c r="U68" i="34"/>
  <c r="AQ68" i="34" s="1"/>
  <c r="U85" i="32"/>
  <c r="U86" i="34" s="1"/>
  <c r="AQ86" i="34" s="1"/>
  <c r="U76" i="32"/>
  <c r="I68" i="34"/>
  <c r="AE68" i="34" s="1"/>
  <c r="I85" i="32"/>
  <c r="I86" i="34" s="1"/>
  <c r="AE86" i="34" s="1"/>
  <c r="I76" i="32"/>
  <c r="AY54" i="34"/>
  <c r="AV54" i="34"/>
  <c r="AQ54" i="34"/>
  <c r="AV53" i="34"/>
  <c r="AQ53" i="34"/>
  <c r="AY53" i="34"/>
  <c r="AW52" i="34"/>
  <c r="AT52" i="34"/>
  <c r="AO52" i="34"/>
  <c r="U45" i="34"/>
  <c r="U71" i="32"/>
  <c r="U62" i="32"/>
  <c r="U63" i="34" s="1"/>
  <c r="AQ63" i="34" s="1"/>
  <c r="M45" i="34"/>
  <c r="AI45" i="34" s="1"/>
  <c r="M71" i="32"/>
  <c r="M62" i="32"/>
  <c r="M63" i="34" s="1"/>
  <c r="AI63" i="34" s="1"/>
  <c r="E45" i="34"/>
  <c r="AA45" i="34" s="1"/>
  <c r="E71" i="32"/>
  <c r="E62" i="32"/>
  <c r="E63" i="34" s="1"/>
  <c r="AA63" i="34" s="1"/>
  <c r="AT44" i="34"/>
  <c r="AO44" i="34"/>
  <c r="AW44" i="34"/>
  <c r="AY43" i="34"/>
  <c r="AV43" i="34"/>
  <c r="AQ43" i="34"/>
  <c r="AV26" i="34"/>
  <c r="AQ26" i="34"/>
  <c r="AY26" i="34"/>
  <c r="AV17" i="34"/>
  <c r="AQ17" i="34"/>
  <c r="AQ18" i="34"/>
  <c r="AY17" i="34"/>
  <c r="AK17" i="34"/>
  <c r="AK18" i="34"/>
  <c r="AY16" i="34"/>
  <c r="AV16" i="34"/>
  <c r="AQ16" i="34"/>
  <c r="AV15" i="34"/>
  <c r="AQ15" i="34"/>
  <c r="AY15" i="34"/>
  <c r="U26" i="32"/>
  <c r="U27" i="34" s="1"/>
  <c r="U17" i="32"/>
  <c r="U18" i="34" s="1"/>
  <c r="U9" i="34"/>
  <c r="AF18" i="34"/>
  <c r="AF17" i="34"/>
  <c r="AW89" i="34"/>
  <c r="AO89" i="34"/>
  <c r="AT89" i="34"/>
  <c r="AT87" i="34"/>
  <c r="AO87" i="34"/>
  <c r="AW87" i="34"/>
  <c r="S80" i="34"/>
  <c r="S97" i="32"/>
  <c r="S98" i="34" s="1"/>
  <c r="AO98" i="34" s="1"/>
  <c r="K80" i="34"/>
  <c r="AG80" i="34" s="1"/>
  <c r="K97" i="32"/>
  <c r="K98" i="34" s="1"/>
  <c r="AG98" i="34" s="1"/>
  <c r="C80" i="34"/>
  <c r="Y80" i="34" s="1"/>
  <c r="C97" i="32"/>
  <c r="C98" i="34" s="1"/>
  <c r="Y98" i="34" s="1"/>
  <c r="O79" i="34"/>
  <c r="AK79" i="34" s="1"/>
  <c r="O96" i="32"/>
  <c r="O97" i="34" s="1"/>
  <c r="AK97" i="34" s="1"/>
  <c r="G79" i="34"/>
  <c r="AC79" i="34" s="1"/>
  <c r="G96" i="32"/>
  <c r="G97" i="34" s="1"/>
  <c r="AC97" i="34" s="1"/>
  <c r="S78" i="34"/>
  <c r="S95" i="32"/>
  <c r="S96" i="34" s="1"/>
  <c r="AO96" i="34" s="1"/>
  <c r="K78" i="34"/>
  <c r="AG78" i="34" s="1"/>
  <c r="K95" i="32"/>
  <c r="K96" i="34" s="1"/>
  <c r="AG96" i="34" s="1"/>
  <c r="C78" i="34"/>
  <c r="Y78" i="34" s="1"/>
  <c r="C95" i="32"/>
  <c r="C96" i="34" s="1"/>
  <c r="Y96" i="34" s="1"/>
  <c r="S72" i="34"/>
  <c r="O71" i="34"/>
  <c r="G71" i="34"/>
  <c r="AW54" i="34"/>
  <c r="AT54" i="34"/>
  <c r="AO54" i="34"/>
  <c r="AW45" i="34"/>
  <c r="AT45" i="34"/>
  <c r="AO45" i="34"/>
  <c r="AU89" i="34"/>
  <c r="AP89" i="34"/>
  <c r="AX89" i="34"/>
  <c r="P80" i="34"/>
  <c r="AL80" i="34" s="1"/>
  <c r="P97" i="32"/>
  <c r="P98" i="34" s="1"/>
  <c r="AL98" i="34" s="1"/>
  <c r="AL81" i="34"/>
  <c r="AL71" i="34"/>
  <c r="H80" i="34"/>
  <c r="AD80" i="34" s="1"/>
  <c r="H97" i="32"/>
  <c r="H98" i="34" s="1"/>
  <c r="AD98" i="34" s="1"/>
  <c r="AD81" i="34"/>
  <c r="AD71" i="34"/>
  <c r="AS87" i="34"/>
  <c r="AN87" i="34"/>
  <c r="N78" i="34"/>
  <c r="AJ78" i="34" s="1"/>
  <c r="N95" i="32"/>
  <c r="N96" i="34" s="1"/>
  <c r="AJ96" i="34" s="1"/>
  <c r="F78" i="34"/>
  <c r="AB78" i="34" s="1"/>
  <c r="F95" i="32"/>
  <c r="F96" i="34" s="1"/>
  <c r="AB96" i="34" s="1"/>
  <c r="R94" i="32"/>
  <c r="R95" i="34" s="1"/>
  <c r="AN95" i="34" s="1"/>
  <c r="R77" i="34"/>
  <c r="AN77" i="34" s="1"/>
  <c r="J94" i="32"/>
  <c r="J95" i="34" s="1"/>
  <c r="AF95" i="34" s="1"/>
  <c r="J77" i="34"/>
  <c r="AF77" i="34" s="1"/>
  <c r="B94" i="32"/>
  <c r="B95" i="34" s="1"/>
  <c r="X95" i="34" s="1"/>
  <c r="B77" i="34"/>
  <c r="X77" i="34" s="1"/>
  <c r="AT26" i="34"/>
  <c r="AO26" i="34"/>
  <c r="AW26" i="34"/>
  <c r="AW18" i="34"/>
  <c r="AT18" i="34"/>
  <c r="AT17" i="34"/>
  <c r="AO17" i="34"/>
  <c r="AO18" i="34"/>
  <c r="AW17" i="34"/>
  <c r="AE17" i="34"/>
  <c r="AE18" i="34"/>
  <c r="AA17" i="34"/>
  <c r="AA18" i="34"/>
  <c r="G9" i="34"/>
  <c r="AC9" i="34" s="1"/>
  <c r="AY34" i="34"/>
  <c r="AV34" i="34"/>
  <c r="AQ34" i="34"/>
  <c r="O9" i="34"/>
  <c r="AK9" i="34" s="1"/>
  <c r="N71" i="34"/>
  <c r="N88" i="32"/>
  <c r="N89" i="34" s="1"/>
  <c r="AJ89" i="34" s="1"/>
  <c r="N79" i="32"/>
  <c r="F71" i="34"/>
  <c r="F88" i="32"/>
  <c r="F89" i="34" s="1"/>
  <c r="AB89" i="34" s="1"/>
  <c r="F79" i="32"/>
  <c r="T70" i="34"/>
  <c r="T87" i="32"/>
  <c r="T88" i="34" s="1"/>
  <c r="T78" i="32"/>
  <c r="P70" i="34"/>
  <c r="AL70" i="34" s="1"/>
  <c r="P87" i="32"/>
  <c r="P88" i="34" s="1"/>
  <c r="AL88" i="34" s="1"/>
  <c r="P78" i="32"/>
  <c r="L70" i="34"/>
  <c r="AH70" i="34" s="1"/>
  <c r="L87" i="32"/>
  <c r="L88" i="34" s="1"/>
  <c r="AH88" i="34" s="1"/>
  <c r="L78" i="32"/>
  <c r="H70" i="34"/>
  <c r="AD70" i="34" s="1"/>
  <c r="H87" i="32"/>
  <c r="H88" i="34" s="1"/>
  <c r="AD88" i="34" s="1"/>
  <c r="H78" i="32"/>
  <c r="D70" i="34"/>
  <c r="Z70" i="34" s="1"/>
  <c r="D87" i="32"/>
  <c r="D88" i="34" s="1"/>
  <c r="Z88" i="34" s="1"/>
  <c r="D78" i="32"/>
  <c r="T69" i="34"/>
  <c r="T86" i="32"/>
  <c r="T87" i="34" s="1"/>
  <c r="T77" i="32"/>
  <c r="L69" i="34"/>
  <c r="AH69" i="34" s="1"/>
  <c r="L86" i="32"/>
  <c r="L87" i="34" s="1"/>
  <c r="AH87" i="34" s="1"/>
  <c r="L77" i="32"/>
  <c r="D69" i="34"/>
  <c r="Z69" i="34" s="1"/>
  <c r="D86" i="32"/>
  <c r="D87" i="34" s="1"/>
  <c r="Z87" i="34" s="1"/>
  <c r="D77" i="32"/>
  <c r="P85" i="32"/>
  <c r="P86" i="34" s="1"/>
  <c r="AL86" i="34" s="1"/>
  <c r="P76" i="32"/>
  <c r="P68" i="34"/>
  <c r="AL68" i="34" s="1"/>
  <c r="H85" i="32"/>
  <c r="H86" i="34" s="1"/>
  <c r="AD86" i="34" s="1"/>
  <c r="H76" i="32"/>
  <c r="H68" i="34"/>
  <c r="AD68" i="34" s="1"/>
  <c r="AU54" i="34"/>
  <c r="AP54" i="34"/>
  <c r="AX54" i="34"/>
  <c r="AU52" i="34"/>
  <c r="AP52" i="34"/>
  <c r="AX52" i="34"/>
  <c r="T45" i="34"/>
  <c r="T71" i="32"/>
  <c r="T62" i="32"/>
  <c r="T63" i="34" s="1"/>
  <c r="AP63" i="34" s="1"/>
  <c r="P45" i="34"/>
  <c r="AL45" i="34" s="1"/>
  <c r="P71" i="32"/>
  <c r="P62" i="32"/>
  <c r="P63" i="34" s="1"/>
  <c r="AL63" i="34" s="1"/>
  <c r="L45" i="34"/>
  <c r="AH45" i="34" s="1"/>
  <c r="L71" i="32"/>
  <c r="L62" i="32"/>
  <c r="L63" i="34" s="1"/>
  <c r="AH63" i="34" s="1"/>
  <c r="H45" i="34"/>
  <c r="AD45" i="34" s="1"/>
  <c r="H71" i="32"/>
  <c r="H62" i="32"/>
  <c r="H63" i="34" s="1"/>
  <c r="AD63" i="34" s="1"/>
  <c r="D45" i="34"/>
  <c r="Z45" i="34" s="1"/>
  <c r="D71" i="32"/>
  <c r="D62" i="32"/>
  <c r="D63" i="34" s="1"/>
  <c r="Z63" i="34" s="1"/>
  <c r="AU43" i="34"/>
  <c r="AP43" i="34"/>
  <c r="AX43" i="34"/>
  <c r="AU25" i="34"/>
  <c r="AP25" i="34"/>
  <c r="AX25" i="34"/>
  <c r="AP18" i="34"/>
  <c r="AX17" i="34"/>
  <c r="AU17" i="34"/>
  <c r="AP17" i="34"/>
  <c r="AH18" i="34"/>
  <c r="AH17" i="34"/>
  <c r="AU16" i="34"/>
  <c r="AP16" i="34"/>
  <c r="AX16" i="34"/>
  <c r="AX15" i="34"/>
  <c r="AU15" i="34"/>
  <c r="AP15" i="34"/>
  <c r="T26" i="32"/>
  <c r="T27" i="34" s="1"/>
  <c r="T17" i="32"/>
  <c r="T18" i="34" s="1"/>
  <c r="L9" i="34"/>
  <c r="AH9" i="34" s="1"/>
  <c r="L26" i="32"/>
  <c r="L27" i="34" s="1"/>
  <c r="AH27" i="34" s="1"/>
  <c r="L17" i="32"/>
  <c r="L18" i="34" s="1"/>
  <c r="AL18" i="34"/>
  <c r="AL17" i="34"/>
  <c r="Z18" i="34"/>
  <c r="Z17" i="34"/>
  <c r="AS8" i="34"/>
  <c r="AN8" i="34"/>
  <c r="AX44" i="34"/>
  <c r="AU44" i="34"/>
  <c r="AP44" i="34"/>
  <c r="AX51" i="34"/>
  <c r="AU51" i="34"/>
  <c r="AP51" i="34"/>
  <c r="O8" i="34"/>
  <c r="AK8" i="34" s="1"/>
  <c r="AS33" i="34"/>
  <c r="AN33" i="34"/>
  <c r="AT33" i="34"/>
  <c r="AO33" i="34"/>
  <c r="AW33" i="34"/>
  <c r="AS34" i="34"/>
  <c r="AN34" i="34"/>
  <c r="G35" i="34"/>
  <c r="AC35" i="34" s="1"/>
  <c r="O35" i="34"/>
  <c r="AK35" i="34" s="1"/>
  <c r="AE108" i="34"/>
  <c r="AE107" i="34"/>
  <c r="AI108" i="34"/>
  <c r="AI107" i="34"/>
  <c r="AC108" i="34"/>
  <c r="AC107" i="34"/>
  <c r="AK108" i="34"/>
  <c r="AK107" i="34"/>
  <c r="X108" i="34"/>
  <c r="X107" i="34"/>
  <c r="AB108" i="34"/>
  <c r="AB107" i="34"/>
  <c r="AF108" i="34"/>
  <c r="AF107" i="34"/>
  <c r="AJ108" i="34"/>
  <c r="AJ107" i="34"/>
  <c r="AN108" i="34"/>
  <c r="AN107" i="34"/>
  <c r="Q106" i="34"/>
  <c r="AM106" i="34" s="1"/>
  <c r="Q42" i="33"/>
  <c r="Q88" i="34"/>
  <c r="AM88" i="34" s="1"/>
  <c r="Q25" i="34"/>
  <c r="AM25" i="34" s="1"/>
  <c r="Q52" i="34"/>
  <c r="AM52" i="34" s="1"/>
  <c r="Q24" i="33"/>
  <c r="Q79" i="34"/>
  <c r="AM79" i="34" s="1"/>
  <c r="Q43" i="34"/>
  <c r="AM43" i="34" s="1"/>
  <c r="Q16" i="33"/>
  <c r="Q16" i="34"/>
  <c r="AM16" i="34" s="1"/>
  <c r="Q70" i="34"/>
  <c r="AM70" i="34" s="1"/>
  <c r="Q34" i="34"/>
  <c r="AM34" i="34" s="1"/>
  <c r="Q7" i="34"/>
  <c r="AM7" i="34" s="1"/>
  <c r="Q7" i="33"/>
  <c r="M71" i="34"/>
  <c r="M88" i="32"/>
  <c r="M89" i="34" s="1"/>
  <c r="AI89" i="34" s="1"/>
  <c r="M79" i="32"/>
  <c r="E71" i="34"/>
  <c r="E88" i="32"/>
  <c r="E89" i="34" s="1"/>
  <c r="AA89" i="34" s="1"/>
  <c r="E79" i="32"/>
  <c r="M70" i="34"/>
  <c r="AI70" i="34" s="1"/>
  <c r="M87" i="32"/>
  <c r="M88" i="34" s="1"/>
  <c r="AI88" i="34" s="1"/>
  <c r="M78" i="32"/>
  <c r="E70" i="34"/>
  <c r="AA70" i="34" s="1"/>
  <c r="E87" i="32"/>
  <c r="E88" i="34" s="1"/>
  <c r="AA88" i="34" s="1"/>
  <c r="E78" i="32"/>
  <c r="M69" i="34"/>
  <c r="AI69" i="34" s="1"/>
  <c r="M86" i="32"/>
  <c r="M87" i="34" s="1"/>
  <c r="AI87" i="34" s="1"/>
  <c r="M77" i="32"/>
  <c r="E69" i="34"/>
  <c r="AA69" i="34" s="1"/>
  <c r="E86" i="32"/>
  <c r="E87" i="34" s="1"/>
  <c r="AA87" i="34" s="1"/>
  <c r="E77" i="32"/>
  <c r="M68" i="34"/>
  <c r="AI68" i="34" s="1"/>
  <c r="M85" i="32"/>
  <c r="M86" i="34" s="1"/>
  <c r="AI86" i="34" s="1"/>
  <c r="M76" i="32"/>
  <c r="E68" i="34"/>
  <c r="AA68" i="34" s="1"/>
  <c r="E85" i="32"/>
  <c r="E86" i="34" s="1"/>
  <c r="AA86" i="34" s="1"/>
  <c r="E76" i="32"/>
  <c r="AT53" i="34"/>
  <c r="AO53" i="34"/>
  <c r="AW53" i="34"/>
  <c r="AY52" i="34"/>
  <c r="AV52" i="34"/>
  <c r="AQ52" i="34"/>
  <c r="Q71" i="32"/>
  <c r="Q62" i="32"/>
  <c r="I45" i="34"/>
  <c r="AE45" i="34" s="1"/>
  <c r="I71" i="32"/>
  <c r="I62" i="32"/>
  <c r="I63" i="34" s="1"/>
  <c r="AE63" i="34" s="1"/>
  <c r="AV44" i="34"/>
  <c r="AQ44" i="34"/>
  <c r="AY44" i="34"/>
  <c r="AW43" i="34"/>
  <c r="AT43" i="34"/>
  <c r="AO43" i="34"/>
  <c r="AY36" i="34"/>
  <c r="AV36" i="34"/>
  <c r="AQ36" i="34"/>
  <c r="AY25" i="34"/>
  <c r="AV25" i="34"/>
  <c r="AQ25" i="34"/>
  <c r="AV24" i="34"/>
  <c r="AQ24" i="34"/>
  <c r="AY24" i="34"/>
  <c r="Q26" i="32"/>
  <c r="Q17" i="32"/>
  <c r="AJ18" i="34"/>
  <c r="AJ17" i="34"/>
  <c r="AB18" i="34"/>
  <c r="AB17" i="34"/>
  <c r="AW88" i="34"/>
  <c r="AT88" i="34"/>
  <c r="AO88" i="34"/>
  <c r="O80" i="34"/>
  <c r="AK80" i="34" s="1"/>
  <c r="O97" i="32"/>
  <c r="O98" i="34" s="1"/>
  <c r="AK98" i="34" s="1"/>
  <c r="G80" i="34"/>
  <c r="AC80" i="34" s="1"/>
  <c r="G97" i="32"/>
  <c r="G98" i="34" s="1"/>
  <c r="AC98" i="34" s="1"/>
  <c r="S79" i="34"/>
  <c r="S96" i="32"/>
  <c r="S97" i="34" s="1"/>
  <c r="AO97" i="34" s="1"/>
  <c r="K79" i="34"/>
  <c r="AG79" i="34" s="1"/>
  <c r="K96" i="32"/>
  <c r="K97" i="34" s="1"/>
  <c r="AG97" i="34" s="1"/>
  <c r="C79" i="34"/>
  <c r="Y79" i="34" s="1"/>
  <c r="C96" i="32"/>
  <c r="C97" i="34" s="1"/>
  <c r="Y97" i="34" s="1"/>
  <c r="O78" i="34"/>
  <c r="AK78" i="34" s="1"/>
  <c r="O95" i="32"/>
  <c r="O96" i="34" s="1"/>
  <c r="AK96" i="34" s="1"/>
  <c r="G78" i="34"/>
  <c r="AC78" i="34" s="1"/>
  <c r="G95" i="32"/>
  <c r="G96" i="34" s="1"/>
  <c r="AC96" i="34" s="1"/>
  <c r="S94" i="32"/>
  <c r="S95" i="34" s="1"/>
  <c r="AO95" i="34" s="1"/>
  <c r="K77" i="34"/>
  <c r="AG77" i="34" s="1"/>
  <c r="K94" i="32"/>
  <c r="K95" i="34" s="1"/>
  <c r="AG95" i="34" s="1"/>
  <c r="C77" i="34"/>
  <c r="Y77" i="34" s="1"/>
  <c r="C94" i="32"/>
  <c r="C95" i="34" s="1"/>
  <c r="Y95" i="34" s="1"/>
  <c r="O72" i="34"/>
  <c r="AK72" i="34" s="1"/>
  <c r="O89" i="32"/>
  <c r="O90" i="34" s="1"/>
  <c r="AK90" i="34" s="1"/>
  <c r="O80" i="32"/>
  <c r="G72" i="34"/>
  <c r="AC72" i="34" s="1"/>
  <c r="G89" i="32"/>
  <c r="G90" i="34" s="1"/>
  <c r="AC90" i="34" s="1"/>
  <c r="G80" i="32"/>
  <c r="S71" i="34"/>
  <c r="K71" i="34"/>
  <c r="C71" i="34"/>
  <c r="T97" i="32"/>
  <c r="T98" i="34" s="1"/>
  <c r="AP98" i="34" s="1"/>
  <c r="T80" i="34"/>
  <c r="L97" i="32"/>
  <c r="L98" i="34" s="1"/>
  <c r="AH98" i="34" s="1"/>
  <c r="L80" i="34"/>
  <c r="AH80" i="34" s="1"/>
  <c r="AH81" i="34"/>
  <c r="AH71" i="34"/>
  <c r="D97" i="32"/>
  <c r="D98" i="34" s="1"/>
  <c r="Z98" i="34" s="1"/>
  <c r="D80" i="34"/>
  <c r="Z80" i="34" s="1"/>
  <c r="Z81" i="34"/>
  <c r="Z71" i="34"/>
  <c r="R95" i="32"/>
  <c r="R96" i="34" s="1"/>
  <c r="AN96" i="34" s="1"/>
  <c r="R78" i="34"/>
  <c r="AS69" i="34"/>
  <c r="AN69" i="34"/>
  <c r="J95" i="32"/>
  <c r="J96" i="34" s="1"/>
  <c r="AF96" i="34" s="1"/>
  <c r="J78" i="34"/>
  <c r="AF78" i="34" s="1"/>
  <c r="B95" i="32"/>
  <c r="B96" i="34" s="1"/>
  <c r="X96" i="34" s="1"/>
  <c r="B78" i="34"/>
  <c r="X78" i="34" s="1"/>
  <c r="N77" i="34"/>
  <c r="AJ77" i="34" s="1"/>
  <c r="N94" i="32"/>
  <c r="N95" i="34" s="1"/>
  <c r="AJ95" i="34" s="1"/>
  <c r="F77" i="34"/>
  <c r="AB77" i="34" s="1"/>
  <c r="F94" i="32"/>
  <c r="F95" i="34" s="1"/>
  <c r="AB95" i="34" s="1"/>
  <c r="AO27" i="34"/>
  <c r="AG17" i="34"/>
  <c r="AG18" i="34"/>
  <c r="AC17" i="34"/>
  <c r="AC18" i="34"/>
  <c r="Y17" i="34"/>
  <c r="Y18" i="34"/>
  <c r="L23" i="25"/>
  <c r="AW27" i="34" l="1"/>
  <c r="AY35" i="34"/>
  <c r="K89" i="32"/>
  <c r="K90" i="34" s="1"/>
  <c r="AG90" i="34" s="1"/>
  <c r="G77" i="34"/>
  <c r="AC77" i="34" s="1"/>
  <c r="AO9" i="34"/>
  <c r="O94" i="32"/>
  <c r="O95" i="34" s="1"/>
  <c r="AK95" i="34" s="1"/>
  <c r="AU34" i="34"/>
  <c r="AV35" i="34"/>
  <c r="K80" i="32"/>
  <c r="K81" i="34" s="1"/>
  <c r="AT9" i="34"/>
  <c r="C89" i="32"/>
  <c r="C90" i="34" s="1"/>
  <c r="Y90" i="34" s="1"/>
  <c r="C80" i="32"/>
  <c r="C81" i="34" s="1"/>
  <c r="AX34" i="34"/>
  <c r="AI17" i="34"/>
  <c r="AO8" i="34"/>
  <c r="AO35" i="34"/>
  <c r="S80" i="32"/>
  <c r="S98" i="32" s="1"/>
  <c r="S99" i="34" s="1"/>
  <c r="AO99" i="34" s="1"/>
  <c r="AQ8" i="34"/>
  <c r="AW35" i="34"/>
  <c r="AT36" i="34"/>
  <c r="AW8" i="34"/>
  <c r="AY8" i="34"/>
  <c r="AO36" i="34"/>
  <c r="T8" i="33"/>
  <c r="T72" i="34" s="1"/>
  <c r="T71" i="34"/>
  <c r="T8" i="34"/>
  <c r="T35" i="34"/>
  <c r="AZ55" i="34"/>
  <c r="AI34" i="35" s="1"/>
  <c r="Y71" i="34"/>
  <c r="Y81" i="34"/>
  <c r="AO81" i="34"/>
  <c r="AT71" i="34"/>
  <c r="AO71" i="34"/>
  <c r="AW71" i="34"/>
  <c r="O81" i="34"/>
  <c r="O98" i="32"/>
  <c r="O99" i="34" s="1"/>
  <c r="AK99" i="34" s="1"/>
  <c r="AW79" i="34"/>
  <c r="AO79" i="34"/>
  <c r="AT79" i="34"/>
  <c r="Q89" i="32"/>
  <c r="Q80" i="32"/>
  <c r="Q98" i="32" s="1"/>
  <c r="M77" i="34"/>
  <c r="AI77" i="34" s="1"/>
  <c r="M94" i="32"/>
  <c r="M95" i="34" s="1"/>
  <c r="AI95" i="34" s="1"/>
  <c r="M78" i="34"/>
  <c r="AI78" i="34" s="1"/>
  <c r="M95" i="32"/>
  <c r="M96" i="34" s="1"/>
  <c r="AI96" i="34" s="1"/>
  <c r="M79" i="34"/>
  <c r="AI79" i="34" s="1"/>
  <c r="M96" i="32"/>
  <c r="M97" i="34" s="1"/>
  <c r="AI97" i="34" s="1"/>
  <c r="M80" i="34"/>
  <c r="AI80" i="34" s="1"/>
  <c r="M97" i="32"/>
  <c r="M98" i="34" s="1"/>
  <c r="AI98" i="34" s="1"/>
  <c r="AI71" i="34"/>
  <c r="AI81" i="34"/>
  <c r="Q80" i="34"/>
  <c r="AM80" i="34" s="1"/>
  <c r="Q44" i="34"/>
  <c r="AM44" i="34" s="1"/>
  <c r="Q17" i="34"/>
  <c r="Q17" i="33"/>
  <c r="V17" i="33" s="1"/>
  <c r="AU27" i="34"/>
  <c r="AP27" i="34"/>
  <c r="AX27" i="34"/>
  <c r="D72" i="34"/>
  <c r="Z72" i="34" s="1"/>
  <c r="D89" i="32"/>
  <c r="D90" i="34" s="1"/>
  <c r="Z90" i="34" s="1"/>
  <c r="D80" i="32"/>
  <c r="L72" i="34"/>
  <c r="AH72" i="34" s="1"/>
  <c r="L89" i="32"/>
  <c r="L90" i="34" s="1"/>
  <c r="AH90" i="34" s="1"/>
  <c r="L80" i="32"/>
  <c r="T89" i="32"/>
  <c r="T90" i="34" s="1"/>
  <c r="T80" i="32"/>
  <c r="P77" i="34"/>
  <c r="AL77" i="34" s="1"/>
  <c r="P94" i="32"/>
  <c r="P95" i="34" s="1"/>
  <c r="AL95" i="34" s="1"/>
  <c r="D78" i="34"/>
  <c r="Z78" i="34" s="1"/>
  <c r="D95" i="32"/>
  <c r="D96" i="34" s="1"/>
  <c r="Z96" i="34" s="1"/>
  <c r="T78" i="34"/>
  <c r="T95" i="32"/>
  <c r="T96" i="34" s="1"/>
  <c r="AP96" i="34" s="1"/>
  <c r="AX69" i="34"/>
  <c r="AU69" i="34"/>
  <c r="AP69" i="34"/>
  <c r="H79" i="34"/>
  <c r="AD79" i="34" s="1"/>
  <c r="H96" i="32"/>
  <c r="H97" i="34" s="1"/>
  <c r="AD97" i="34" s="1"/>
  <c r="P79" i="34"/>
  <c r="AL79" i="34" s="1"/>
  <c r="P96" i="32"/>
  <c r="P97" i="34" s="1"/>
  <c r="AL97" i="34" s="1"/>
  <c r="AU88" i="34"/>
  <c r="AP88" i="34"/>
  <c r="AX88" i="34"/>
  <c r="F80" i="34"/>
  <c r="AB80" i="34" s="1"/>
  <c r="F97" i="32"/>
  <c r="F98" i="34" s="1"/>
  <c r="AB98" i="34" s="1"/>
  <c r="AB81" i="34"/>
  <c r="AB71" i="34"/>
  <c r="AC71" i="34"/>
  <c r="AC81" i="34"/>
  <c r="S81" i="34"/>
  <c r="AW72" i="34"/>
  <c r="AO72" i="34"/>
  <c r="AT72" i="34"/>
  <c r="AT78" i="34"/>
  <c r="AO78" i="34"/>
  <c r="AW78" i="34"/>
  <c r="AT80" i="34"/>
  <c r="AO80" i="34"/>
  <c r="AW80" i="34"/>
  <c r="AY18" i="34"/>
  <c r="AV18" i="34"/>
  <c r="M72" i="34"/>
  <c r="AI72" i="34" s="1"/>
  <c r="M89" i="32"/>
  <c r="M90" i="34" s="1"/>
  <c r="AI90" i="34" s="1"/>
  <c r="M80" i="32"/>
  <c r="AY45" i="34"/>
  <c r="AV45" i="34"/>
  <c r="AQ45" i="34"/>
  <c r="I77" i="34"/>
  <c r="AE77" i="34" s="1"/>
  <c r="I94" i="32"/>
  <c r="I95" i="34" s="1"/>
  <c r="AE95" i="34" s="1"/>
  <c r="I78" i="34"/>
  <c r="AE78" i="34" s="1"/>
  <c r="I95" i="32"/>
  <c r="I96" i="34" s="1"/>
  <c r="AE96" i="34" s="1"/>
  <c r="AV87" i="34"/>
  <c r="AQ87" i="34"/>
  <c r="AY87" i="34"/>
  <c r="I79" i="34"/>
  <c r="AE79" i="34" s="1"/>
  <c r="I96" i="32"/>
  <c r="I97" i="34" s="1"/>
  <c r="AE97" i="34" s="1"/>
  <c r="AY88" i="34"/>
  <c r="AQ88" i="34"/>
  <c r="AV88" i="34"/>
  <c r="I80" i="34"/>
  <c r="AE80" i="34" s="1"/>
  <c r="I97" i="32"/>
  <c r="I98" i="34" s="1"/>
  <c r="AE98" i="34" s="1"/>
  <c r="AE71" i="34"/>
  <c r="AE81" i="34"/>
  <c r="AY89" i="34"/>
  <c r="AV89" i="34"/>
  <c r="AQ89" i="34"/>
  <c r="Q98" i="34"/>
  <c r="AM98" i="34" s="1"/>
  <c r="Q62" i="34"/>
  <c r="AM62" i="34" s="1"/>
  <c r="Q34" i="33"/>
  <c r="V34" i="33" s="1"/>
  <c r="AS27" i="34"/>
  <c r="AN27" i="34"/>
  <c r="F72" i="34"/>
  <c r="AB72" i="34" s="1"/>
  <c r="F89" i="32"/>
  <c r="F90" i="34" s="1"/>
  <c r="AB90" i="34" s="1"/>
  <c r="F80" i="32"/>
  <c r="N72" i="34"/>
  <c r="AJ72" i="34" s="1"/>
  <c r="N89" i="32"/>
  <c r="N90" i="34" s="1"/>
  <c r="AJ90" i="34" s="1"/>
  <c r="N80" i="32"/>
  <c r="AS45" i="34"/>
  <c r="AN45" i="34"/>
  <c r="L77" i="34"/>
  <c r="AH77" i="34" s="1"/>
  <c r="L94" i="32"/>
  <c r="L95" i="34" s="1"/>
  <c r="AH95" i="34" s="1"/>
  <c r="P78" i="34"/>
  <c r="AL78" i="34" s="1"/>
  <c r="P95" i="32"/>
  <c r="P96" i="34" s="1"/>
  <c r="AL96" i="34" s="1"/>
  <c r="B79" i="34"/>
  <c r="X79" i="34" s="1"/>
  <c r="B96" i="32"/>
  <c r="B97" i="34" s="1"/>
  <c r="X97" i="34" s="1"/>
  <c r="J79" i="34"/>
  <c r="AF79" i="34" s="1"/>
  <c r="J96" i="32"/>
  <c r="J97" i="34" s="1"/>
  <c r="AF97" i="34" s="1"/>
  <c r="R79" i="34"/>
  <c r="R96" i="32"/>
  <c r="R97" i="34" s="1"/>
  <c r="AN97" i="34" s="1"/>
  <c r="AS70" i="34"/>
  <c r="AN70" i="34"/>
  <c r="B80" i="34"/>
  <c r="X80" i="34" s="1"/>
  <c r="B97" i="32"/>
  <c r="B98" i="34" s="1"/>
  <c r="X98" i="34" s="1"/>
  <c r="AF81" i="34"/>
  <c r="AF71" i="34"/>
  <c r="R80" i="34"/>
  <c r="R97" i="32"/>
  <c r="R98" i="34" s="1"/>
  <c r="AN98" i="34" s="1"/>
  <c r="AN78" i="34"/>
  <c r="AS78" i="34"/>
  <c r="AX80" i="34"/>
  <c r="AP80" i="34"/>
  <c r="AU80" i="34"/>
  <c r="AG81" i="34"/>
  <c r="AG71" i="34"/>
  <c r="G81" i="34"/>
  <c r="G98" i="32"/>
  <c r="G99" i="34" s="1"/>
  <c r="AC99" i="34" s="1"/>
  <c r="I72" i="34"/>
  <c r="AE72" i="34" s="1"/>
  <c r="I89" i="32"/>
  <c r="I90" i="34" s="1"/>
  <c r="AE90" i="34" s="1"/>
  <c r="I80" i="32"/>
  <c r="E77" i="34"/>
  <c r="AA77" i="34" s="1"/>
  <c r="E94" i="32"/>
  <c r="E95" i="34" s="1"/>
  <c r="AA95" i="34" s="1"/>
  <c r="E78" i="34"/>
  <c r="AA78" i="34" s="1"/>
  <c r="E95" i="32"/>
  <c r="E96" i="34" s="1"/>
  <c r="AA96" i="34" s="1"/>
  <c r="E79" i="34"/>
  <c r="AA79" i="34" s="1"/>
  <c r="E96" i="32"/>
  <c r="E97" i="34" s="1"/>
  <c r="AA97" i="34" s="1"/>
  <c r="E80" i="34"/>
  <c r="AA80" i="34" s="1"/>
  <c r="E97" i="32"/>
  <c r="E98" i="34" s="1"/>
  <c r="AA98" i="34" s="1"/>
  <c r="AA71" i="34"/>
  <c r="AA81" i="34"/>
  <c r="Q71" i="34"/>
  <c r="Q35" i="34"/>
  <c r="AM35" i="34" s="1"/>
  <c r="Q8" i="34"/>
  <c r="AM8" i="34" s="1"/>
  <c r="Q8" i="33"/>
  <c r="Q89" i="34"/>
  <c r="AM89" i="34" s="1"/>
  <c r="Q53" i="34"/>
  <c r="AM53" i="34" s="1"/>
  <c r="Q26" i="34"/>
  <c r="AM26" i="34" s="1"/>
  <c r="Q25" i="33"/>
  <c r="V25" i="33" s="1"/>
  <c r="Q107" i="34"/>
  <c r="Q43" i="33"/>
  <c r="Q108" i="34" s="1"/>
  <c r="AU18" i="34"/>
  <c r="AX18" i="34"/>
  <c r="H72" i="34"/>
  <c r="AD72" i="34" s="1"/>
  <c r="H89" i="32"/>
  <c r="H90" i="34" s="1"/>
  <c r="AD90" i="34" s="1"/>
  <c r="H80" i="32"/>
  <c r="P72" i="34"/>
  <c r="AL72" i="34" s="1"/>
  <c r="P89" i="32"/>
  <c r="P90" i="34" s="1"/>
  <c r="AL90" i="34" s="1"/>
  <c r="P80" i="32"/>
  <c r="AU45" i="34"/>
  <c r="AP45" i="34"/>
  <c r="AX45" i="34"/>
  <c r="H77" i="34"/>
  <c r="AD77" i="34" s="1"/>
  <c r="H94" i="32"/>
  <c r="H95" i="34" s="1"/>
  <c r="AD95" i="34" s="1"/>
  <c r="L78" i="34"/>
  <c r="AH78" i="34" s="1"/>
  <c r="L95" i="32"/>
  <c r="L96" i="34" s="1"/>
  <c r="AH96" i="34" s="1"/>
  <c r="AX87" i="34"/>
  <c r="AP87" i="34"/>
  <c r="AU87" i="34"/>
  <c r="D79" i="34"/>
  <c r="Z79" i="34" s="1"/>
  <c r="D96" i="32"/>
  <c r="D97" i="34" s="1"/>
  <c r="Z97" i="34" s="1"/>
  <c r="L79" i="34"/>
  <c r="AH79" i="34" s="1"/>
  <c r="L96" i="32"/>
  <c r="L97" i="34" s="1"/>
  <c r="AH97" i="34" s="1"/>
  <c r="T79" i="34"/>
  <c r="T96" i="32"/>
  <c r="T97" i="34" s="1"/>
  <c r="AP97" i="34" s="1"/>
  <c r="AU70" i="34"/>
  <c r="AP70" i="34"/>
  <c r="AX70" i="34"/>
  <c r="N80" i="34"/>
  <c r="AJ80" i="34" s="1"/>
  <c r="N97" i="32"/>
  <c r="N98" i="34" s="1"/>
  <c r="AJ98" i="34" s="1"/>
  <c r="AJ81" i="34"/>
  <c r="AJ71" i="34"/>
  <c r="AK81" i="34"/>
  <c r="AK71" i="34"/>
  <c r="AT90" i="34"/>
  <c r="AO90" i="34"/>
  <c r="AW90" i="34"/>
  <c r="AY9" i="34"/>
  <c r="AV9" i="34"/>
  <c r="AQ9" i="34"/>
  <c r="AY27" i="34"/>
  <c r="AQ27" i="34"/>
  <c r="AV27" i="34"/>
  <c r="E72" i="34"/>
  <c r="AA72" i="34" s="1"/>
  <c r="E89" i="32"/>
  <c r="E90" i="34" s="1"/>
  <c r="AA90" i="34" s="1"/>
  <c r="E80" i="32"/>
  <c r="U72" i="34"/>
  <c r="U89" i="32"/>
  <c r="U90" i="34" s="1"/>
  <c r="U80" i="32"/>
  <c r="U77" i="34"/>
  <c r="AQ77" i="34" s="1"/>
  <c r="U94" i="32"/>
  <c r="U95" i="34" s="1"/>
  <c r="AQ95" i="34" s="1"/>
  <c r="U78" i="34"/>
  <c r="U95" i="32"/>
  <c r="U96" i="34" s="1"/>
  <c r="AQ96" i="34" s="1"/>
  <c r="AV69" i="34"/>
  <c r="AQ69" i="34"/>
  <c r="AY69" i="34"/>
  <c r="U79" i="34"/>
  <c r="U96" i="32"/>
  <c r="U97" i="34" s="1"/>
  <c r="AQ97" i="34" s="1"/>
  <c r="AY70" i="34"/>
  <c r="AV70" i="34"/>
  <c r="AQ70" i="34"/>
  <c r="U80" i="34"/>
  <c r="U97" i="32"/>
  <c r="U98" i="34" s="1"/>
  <c r="AQ98" i="34" s="1"/>
  <c r="AV71" i="34"/>
  <c r="AQ71" i="34"/>
  <c r="AQ81" i="34"/>
  <c r="AY71" i="34"/>
  <c r="AS9" i="34"/>
  <c r="AN9" i="34"/>
  <c r="B72" i="34"/>
  <c r="X72" i="34" s="1"/>
  <c r="B89" i="32"/>
  <c r="B90" i="34" s="1"/>
  <c r="X90" i="34" s="1"/>
  <c r="B80" i="32"/>
  <c r="J72" i="34"/>
  <c r="AF72" i="34" s="1"/>
  <c r="J89" i="32"/>
  <c r="J90" i="34" s="1"/>
  <c r="AF90" i="34" s="1"/>
  <c r="J80" i="32"/>
  <c r="R72" i="34"/>
  <c r="R89" i="32"/>
  <c r="R90" i="34" s="1"/>
  <c r="R80" i="32"/>
  <c r="D77" i="34"/>
  <c r="Z77" i="34" s="1"/>
  <c r="D94" i="32"/>
  <c r="D95" i="34" s="1"/>
  <c r="Z95" i="34" s="1"/>
  <c r="T77" i="34"/>
  <c r="AP77" i="34" s="1"/>
  <c r="T94" i="32"/>
  <c r="T95" i="34" s="1"/>
  <c r="AP95" i="34" s="1"/>
  <c r="H78" i="34"/>
  <c r="AD78" i="34" s="1"/>
  <c r="H95" i="32"/>
  <c r="H96" i="34" s="1"/>
  <c r="AD96" i="34" s="1"/>
  <c r="F79" i="34"/>
  <c r="AB79" i="34" s="1"/>
  <c r="F96" i="32"/>
  <c r="F97" i="34" s="1"/>
  <c r="AB97" i="34" s="1"/>
  <c r="N79" i="34"/>
  <c r="AJ79" i="34" s="1"/>
  <c r="N96" i="32"/>
  <c r="N97" i="34" s="1"/>
  <c r="AJ97" i="34" s="1"/>
  <c r="AS88" i="34"/>
  <c r="AN88" i="34"/>
  <c r="X81" i="34"/>
  <c r="X71" i="34"/>
  <c r="J80" i="34"/>
  <c r="AF80" i="34" s="1"/>
  <c r="J97" i="32"/>
  <c r="J98" i="34" s="1"/>
  <c r="AF98" i="34" s="1"/>
  <c r="AN81" i="34"/>
  <c r="AN71" i="34"/>
  <c r="AS71" i="34"/>
  <c r="AS89" i="34"/>
  <c r="AN89" i="34"/>
  <c r="G4" i="25"/>
  <c r="E4" i="25"/>
  <c r="I4" i="25"/>
  <c r="F13" i="29"/>
  <c r="F12" i="29"/>
  <c r="F11" i="29"/>
  <c r="F10" i="29"/>
  <c r="I9" i="29"/>
  <c r="F7" i="29"/>
  <c r="F6" i="29"/>
  <c r="I5" i="29"/>
  <c r="F4" i="29"/>
  <c r="F41" i="29"/>
  <c r="G36" i="29"/>
  <c r="G35" i="29"/>
  <c r="I31" i="29"/>
  <c r="I29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E13" i="37" l="1"/>
  <c r="G21" i="37"/>
  <c r="G22" i="37" s="1"/>
  <c r="B77" i="25"/>
  <c r="B80" i="25"/>
  <c r="B79" i="25"/>
  <c r="B78" i="25"/>
  <c r="D31" i="31"/>
  <c r="D33" i="31"/>
  <c r="D32" i="31"/>
  <c r="K98" i="32"/>
  <c r="K99" i="34" s="1"/>
  <c r="AG99" i="34" s="1"/>
  <c r="G41" i="29"/>
  <c r="G46" i="29" s="1"/>
  <c r="B132" i="29" s="1"/>
  <c r="H41" i="29"/>
  <c r="H46" i="29" s="1"/>
  <c r="B143" i="29" s="1"/>
  <c r="G13" i="29"/>
  <c r="H13" i="29"/>
  <c r="H12" i="29"/>
  <c r="G12" i="29"/>
  <c r="G10" i="29"/>
  <c r="H10" i="29"/>
  <c r="H7" i="29"/>
  <c r="G7" i="29"/>
  <c r="H4" i="29"/>
  <c r="G4" i="29"/>
  <c r="H6" i="29"/>
  <c r="G6" i="29"/>
  <c r="G3" i="29"/>
  <c r="H3" i="29"/>
  <c r="H11" i="29"/>
  <c r="G11" i="29"/>
  <c r="C98" i="32"/>
  <c r="C99" i="34" s="1"/>
  <c r="Y99" i="34" s="1"/>
  <c r="I10" i="29"/>
  <c r="I6" i="29"/>
  <c r="I11" i="29"/>
  <c r="I4" i="29"/>
  <c r="I7" i="29"/>
  <c r="I12" i="29"/>
  <c r="I13" i="29"/>
  <c r="G2" i="25"/>
  <c r="I2" i="25"/>
  <c r="AX8" i="34"/>
  <c r="AP8" i="34"/>
  <c r="AU8" i="34"/>
  <c r="T36" i="34"/>
  <c r="T9" i="34"/>
  <c r="AX35" i="34"/>
  <c r="AP35" i="34"/>
  <c r="AU35" i="34"/>
  <c r="AP81" i="34"/>
  <c r="AU71" i="34"/>
  <c r="AX71" i="34"/>
  <c r="AP71" i="34"/>
  <c r="V43" i="33"/>
  <c r="V8" i="33"/>
  <c r="AZ28" i="34"/>
  <c r="AI31" i="35" s="1"/>
  <c r="AZ46" i="34"/>
  <c r="AI33" i="35" s="1"/>
  <c r="AZ19" i="34"/>
  <c r="AI30" i="35" s="1"/>
  <c r="R81" i="34"/>
  <c r="AS81" i="34" s="1"/>
  <c r="R98" i="32"/>
  <c r="R99" i="34" s="1"/>
  <c r="AN99" i="34" s="1"/>
  <c r="AS72" i="34"/>
  <c r="AN72" i="34"/>
  <c r="B81" i="34"/>
  <c r="B98" i="32"/>
  <c r="B99" i="34" s="1"/>
  <c r="X99" i="34" s="1"/>
  <c r="AY79" i="34"/>
  <c r="AV79" i="34"/>
  <c r="AQ79" i="34"/>
  <c r="U81" i="34"/>
  <c r="U98" i="32"/>
  <c r="U99" i="34" s="1"/>
  <c r="AQ99" i="34" s="1"/>
  <c r="AY72" i="34"/>
  <c r="AV72" i="34"/>
  <c r="AQ72" i="34"/>
  <c r="AU79" i="34"/>
  <c r="AP79" i="34"/>
  <c r="AX79" i="34"/>
  <c r="H81" i="34"/>
  <c r="H98" i="32"/>
  <c r="H99" i="34" s="1"/>
  <c r="AD99" i="34" s="1"/>
  <c r="Q90" i="34"/>
  <c r="AM90" i="34" s="1"/>
  <c r="Q54" i="34"/>
  <c r="AM54" i="34" s="1"/>
  <c r="Q27" i="34"/>
  <c r="AM27" i="34" s="1"/>
  <c r="Q72" i="34"/>
  <c r="AM72" i="34" s="1"/>
  <c r="Q36" i="34"/>
  <c r="AM36" i="34" s="1"/>
  <c r="Q9" i="34"/>
  <c r="AM9" i="34" s="1"/>
  <c r="I81" i="34"/>
  <c r="I98" i="32"/>
  <c r="I99" i="34" s="1"/>
  <c r="AE99" i="34" s="1"/>
  <c r="F81" i="34"/>
  <c r="F98" i="32"/>
  <c r="F99" i="34" s="1"/>
  <c r="AB99" i="34" s="1"/>
  <c r="M81" i="34"/>
  <c r="M98" i="32"/>
  <c r="M99" i="34" s="1"/>
  <c r="AI99" i="34" s="1"/>
  <c r="T81" i="34"/>
  <c r="T98" i="32"/>
  <c r="T99" i="34" s="1"/>
  <c r="AP99" i="34" s="1"/>
  <c r="AU72" i="34"/>
  <c r="AP72" i="34"/>
  <c r="AX72" i="34"/>
  <c r="D81" i="34"/>
  <c r="D98" i="32"/>
  <c r="D99" i="34" s="1"/>
  <c r="Z99" i="34" s="1"/>
  <c r="Q81" i="34"/>
  <c r="Q45" i="34"/>
  <c r="AM45" i="34" s="1"/>
  <c r="AR46" i="34" s="1"/>
  <c r="AI19" i="35" s="1"/>
  <c r="Q18" i="34"/>
  <c r="AS90" i="34"/>
  <c r="AN90" i="34"/>
  <c r="J81" i="34"/>
  <c r="J98" i="32"/>
  <c r="J99" i="34" s="1"/>
  <c r="AF99" i="34" s="1"/>
  <c r="AV80" i="34"/>
  <c r="AQ80" i="34"/>
  <c r="AY80" i="34"/>
  <c r="AV78" i="34"/>
  <c r="AQ78" i="34"/>
  <c r="AY78" i="34"/>
  <c r="AV90" i="34"/>
  <c r="AQ90" i="34"/>
  <c r="AY90" i="34"/>
  <c r="E81" i="34"/>
  <c r="E98" i="32"/>
  <c r="E99" i="34" s="1"/>
  <c r="AA99" i="34" s="1"/>
  <c r="P81" i="34"/>
  <c r="P98" i="32"/>
  <c r="P99" i="34" s="1"/>
  <c r="AL99" i="34" s="1"/>
  <c r="AM108" i="34"/>
  <c r="AM107" i="34"/>
  <c r="AM71" i="34"/>
  <c r="AM81" i="34"/>
  <c r="AS80" i="34"/>
  <c r="AN80" i="34"/>
  <c r="AS79" i="34"/>
  <c r="AN79" i="34"/>
  <c r="N81" i="34"/>
  <c r="N98" i="32"/>
  <c r="N99" i="34" s="1"/>
  <c r="AJ99" i="34" s="1"/>
  <c r="Q99" i="34"/>
  <c r="AM99" i="34" s="1"/>
  <c r="Q63" i="34"/>
  <c r="AM63" i="34" s="1"/>
  <c r="AW81" i="34"/>
  <c r="AT81" i="34"/>
  <c r="AX78" i="34"/>
  <c r="AU78" i="34"/>
  <c r="AP78" i="34"/>
  <c r="AX90" i="34"/>
  <c r="AP90" i="34"/>
  <c r="AU90" i="34"/>
  <c r="L81" i="34"/>
  <c r="L98" i="32"/>
  <c r="L99" i="34" s="1"/>
  <c r="AH99" i="34" s="1"/>
  <c r="AM17" i="34"/>
  <c r="AM18" i="34"/>
  <c r="I3" i="29"/>
  <c r="O4" i="37" l="1"/>
  <c r="A13" i="37"/>
  <c r="T4" i="37"/>
  <c r="C21" i="37"/>
  <c r="C22" i="37" s="1"/>
  <c r="B145" i="29"/>
  <c r="B144" i="29"/>
  <c r="B146" i="29" s="1"/>
  <c r="H32" i="29"/>
  <c r="E143" i="29" s="1"/>
  <c r="I32" i="29"/>
  <c r="C132" i="29" s="1"/>
  <c r="G32" i="29"/>
  <c r="E132" i="29" s="1"/>
  <c r="AP36" i="34"/>
  <c r="AR37" i="34" s="1"/>
  <c r="AI18" i="35" s="1"/>
  <c r="AU36" i="34"/>
  <c r="AX36" i="34"/>
  <c r="AP9" i="34"/>
  <c r="AR10" i="34" s="1"/>
  <c r="AI15" i="35" s="1"/>
  <c r="AU9" i="34"/>
  <c r="AX9" i="34"/>
  <c r="AR109" i="34"/>
  <c r="AI26" i="35" s="1"/>
  <c r="AR73" i="34"/>
  <c r="AI22" i="35" s="1"/>
  <c r="AR82" i="34"/>
  <c r="AI23" i="35" s="1"/>
  <c r="AR91" i="34"/>
  <c r="AI24" i="35" s="1"/>
  <c r="AR100" i="34"/>
  <c r="AI25" i="35" s="1"/>
  <c r="AR19" i="34"/>
  <c r="AI16" i="35" s="1"/>
  <c r="AR55" i="34"/>
  <c r="AI20" i="35" s="1"/>
  <c r="AR64" i="34"/>
  <c r="AI21" i="35" s="1"/>
  <c r="AR28" i="34"/>
  <c r="AI17" i="35" s="1"/>
  <c r="AZ91" i="34"/>
  <c r="AI37" i="35" s="1"/>
  <c r="AZ73" i="34"/>
  <c r="AI35" i="35" s="1"/>
  <c r="AY81" i="34"/>
  <c r="AV81" i="34"/>
  <c r="AU81" i="34"/>
  <c r="AX81" i="34"/>
  <c r="K4" i="25"/>
  <c r="X11" i="25" l="1"/>
  <c r="Q10" i="25"/>
  <c r="W8" i="25"/>
  <c r="X8" i="25"/>
  <c r="Q8" i="25"/>
  <c r="Y8" i="25"/>
  <c r="O10" i="25"/>
  <c r="V10" i="25"/>
  <c r="W10" i="25"/>
  <c r="V11" i="25"/>
  <c r="R9" i="25"/>
  <c r="P11" i="25"/>
  <c r="Q11" i="25"/>
  <c r="O9" i="25"/>
  <c r="P8" i="25"/>
  <c r="P10" i="25"/>
  <c r="U8" i="25"/>
  <c r="X10" i="25"/>
  <c r="Q9" i="25"/>
  <c r="V8" i="25"/>
  <c r="O11" i="25"/>
  <c r="Y9" i="25"/>
  <c r="V9" i="25"/>
  <c r="Y11" i="25"/>
  <c r="S9" i="25"/>
  <c r="W11" i="25"/>
  <c r="S8" i="25"/>
  <c r="W9" i="25"/>
  <c r="U9" i="25"/>
  <c r="U10" i="25"/>
  <c r="U11" i="25"/>
  <c r="O8" i="25"/>
  <c r="R11" i="25"/>
  <c r="Y10" i="25"/>
  <c r="R10" i="25"/>
  <c r="R8" i="25"/>
  <c r="S10" i="25"/>
  <c r="P9" i="25"/>
  <c r="X9" i="25"/>
  <c r="S11" i="25"/>
  <c r="R4" i="37"/>
  <c r="D13" i="37"/>
  <c r="F21" i="37"/>
  <c r="F22" i="37" s="1"/>
  <c r="F4" i="37"/>
  <c r="AC4" i="37" s="1"/>
  <c r="D4" i="37"/>
  <c r="AA4" i="37" s="1"/>
  <c r="E4" i="37"/>
  <c r="AB4" i="37" s="1"/>
  <c r="T167" i="25"/>
  <c r="N167" i="25"/>
  <c r="T165" i="25"/>
  <c r="N165" i="25"/>
  <c r="T166" i="25"/>
  <c r="N166" i="25"/>
  <c r="T164" i="25"/>
  <c r="N164" i="25"/>
  <c r="T101" i="25"/>
  <c r="G101" i="25" s="1"/>
  <c r="K101" i="25" s="1"/>
  <c r="T100" i="25"/>
  <c r="G100" i="25" s="1"/>
  <c r="K100" i="25" s="1"/>
  <c r="T99" i="25"/>
  <c r="G99" i="25" s="1"/>
  <c r="K99" i="25" s="1"/>
  <c r="T98" i="25"/>
  <c r="G98" i="25" s="1"/>
  <c r="N101" i="25"/>
  <c r="F101" i="25" s="1"/>
  <c r="N100" i="25"/>
  <c r="F100" i="25" s="1"/>
  <c r="N99" i="25"/>
  <c r="F99" i="25" s="1"/>
  <c r="N98" i="25"/>
  <c r="F98" i="25" s="1"/>
  <c r="N12" i="25"/>
  <c r="T11" i="25"/>
  <c r="N11" i="25"/>
  <c r="T10" i="25"/>
  <c r="N10" i="25"/>
  <c r="T9" i="25"/>
  <c r="N9" i="25"/>
  <c r="T8" i="25"/>
  <c r="N8" i="25"/>
  <c r="E145" i="29"/>
  <c r="W4" i="37"/>
  <c r="C134" i="29"/>
  <c r="P4" i="37"/>
  <c r="E144" i="29"/>
  <c r="E146" i="29" s="1"/>
  <c r="C143" i="29"/>
  <c r="D21" i="37" s="1"/>
  <c r="D22" i="37" s="1"/>
  <c r="C133" i="29"/>
  <c r="C135" i="29" s="1"/>
  <c r="N230" i="25"/>
  <c r="N238" i="25"/>
  <c r="N232" i="25"/>
  <c r="AZ37" i="34"/>
  <c r="AI32" i="35" s="1"/>
  <c r="AZ10" i="34"/>
  <c r="AI29" i="35" s="1"/>
  <c r="AZ82" i="34"/>
  <c r="AI36" i="35" s="1"/>
  <c r="C4" i="37" s="1"/>
  <c r="K2" i="25"/>
  <c r="D238" i="25"/>
  <c r="B13" i="37" l="1"/>
  <c r="C2" i="31"/>
  <c r="D2" i="31" s="1"/>
  <c r="Z4" i="37"/>
  <c r="K98" i="25"/>
  <c r="B4" i="37"/>
  <c r="Y4" i="37" s="1"/>
  <c r="J98" i="25"/>
  <c r="I98" i="25"/>
  <c r="J100" i="25"/>
  <c r="I100" i="25"/>
  <c r="J99" i="25"/>
  <c r="I99" i="25"/>
  <c r="J101" i="25"/>
  <c r="I101" i="25"/>
  <c r="F8" i="25"/>
  <c r="I8" i="25" s="1"/>
  <c r="F9" i="25"/>
  <c r="I9" i="25" s="1"/>
  <c r="F10" i="25"/>
  <c r="I10" i="25" s="1"/>
  <c r="F11" i="25"/>
  <c r="I11" i="25" s="1"/>
  <c r="G8" i="25"/>
  <c r="K8" i="25" s="1"/>
  <c r="G9" i="25"/>
  <c r="G10" i="25"/>
  <c r="K10" i="25" s="1"/>
  <c r="G11" i="25"/>
  <c r="K11" i="25" s="1"/>
  <c r="J8" i="25"/>
  <c r="J9" i="25"/>
  <c r="C144" i="29"/>
  <c r="C146" i="29" s="1"/>
  <c r="U4" i="37"/>
  <c r="AD151" i="37"/>
  <c r="C145" i="29"/>
  <c r="F238" i="25"/>
  <c r="J238" i="25" s="1"/>
  <c r="T238" i="25"/>
  <c r="G238" i="25" s="1"/>
  <c r="K238" i="25" s="1"/>
  <c r="T77" i="25"/>
  <c r="D253" i="25"/>
  <c r="N77" i="25"/>
  <c r="T244" i="25"/>
  <c r="G244" i="25" s="1"/>
  <c r="K244" i="25" s="1"/>
  <c r="T240" i="25"/>
  <c r="T232" i="25"/>
  <c r="T231" i="25"/>
  <c r="N231" i="25"/>
  <c r="T230" i="25"/>
  <c r="G230" i="25" s="1"/>
  <c r="F230" i="25"/>
  <c r="T222" i="25"/>
  <c r="D239" i="25"/>
  <c r="N239" i="25"/>
  <c r="D241" i="25"/>
  <c r="N241" i="25"/>
  <c r="D243" i="25"/>
  <c r="N243" i="25"/>
  <c r="D242" i="25"/>
  <c r="N242" i="25"/>
  <c r="T242" i="25"/>
  <c r="N222" i="25"/>
  <c r="N219" i="25"/>
  <c r="N216" i="25"/>
  <c r="N212" i="25"/>
  <c r="D240" i="25"/>
  <c r="N240" i="25"/>
  <c r="D244" i="25"/>
  <c r="N244" i="25"/>
  <c r="T219" i="25"/>
  <c r="T216" i="25"/>
  <c r="T212" i="25"/>
  <c r="T241" i="25"/>
  <c r="T239" i="25"/>
  <c r="T243" i="25"/>
  <c r="N214" i="25"/>
  <c r="N218" i="25"/>
  <c r="N221" i="25"/>
  <c r="N224" i="25"/>
  <c r="N213" i="25"/>
  <c r="N215" i="25"/>
  <c r="N217" i="25"/>
  <c r="N220" i="25"/>
  <c r="N223" i="25"/>
  <c r="T214" i="25"/>
  <c r="T218" i="25"/>
  <c r="T221" i="25"/>
  <c r="T224" i="25"/>
  <c r="T213" i="25"/>
  <c r="T215" i="25"/>
  <c r="T217" i="25"/>
  <c r="T220" i="25"/>
  <c r="T223" i="25"/>
  <c r="T12" i="25"/>
  <c r="D232" i="25"/>
  <c r="D224" i="25"/>
  <c r="D221" i="25"/>
  <c r="D219" i="25"/>
  <c r="D217" i="25"/>
  <c r="D216" i="25"/>
  <c r="D214" i="25"/>
  <c r="D211" i="25"/>
  <c r="D209" i="25"/>
  <c r="D208" i="25"/>
  <c r="D206" i="25"/>
  <c r="D203" i="25"/>
  <c r="D201" i="25"/>
  <c r="D200" i="25"/>
  <c r="D198" i="25"/>
  <c r="D195" i="25"/>
  <c r="D193" i="25"/>
  <c r="D192" i="25"/>
  <c r="D190" i="25"/>
  <c r="D187" i="25"/>
  <c r="D185" i="25"/>
  <c r="D183" i="25"/>
  <c r="D181" i="25"/>
  <c r="D179" i="25"/>
  <c r="D177" i="25"/>
  <c r="D175" i="25"/>
  <c r="D173" i="25"/>
  <c r="D171" i="25"/>
  <c r="D169" i="25"/>
  <c r="D158" i="25"/>
  <c r="D155" i="25"/>
  <c r="D153" i="25"/>
  <c r="D151" i="25"/>
  <c r="D150" i="25"/>
  <c r="D148" i="25"/>
  <c r="D145" i="25"/>
  <c r="D143" i="25"/>
  <c r="D142" i="25"/>
  <c r="D140" i="25"/>
  <c r="D137" i="25"/>
  <c r="D135" i="25"/>
  <c r="D134" i="25"/>
  <c r="D132" i="25"/>
  <c r="D129" i="25"/>
  <c r="D127" i="25"/>
  <c r="D126" i="25"/>
  <c r="D124" i="25"/>
  <c r="D121" i="25"/>
  <c r="D119" i="25"/>
  <c r="D117" i="25"/>
  <c r="D115" i="25"/>
  <c r="D113" i="25"/>
  <c r="D111" i="25"/>
  <c r="D109" i="25"/>
  <c r="D107" i="25"/>
  <c r="D105" i="25"/>
  <c r="D103" i="25"/>
  <c r="D91" i="25"/>
  <c r="D88" i="25"/>
  <c r="D87" i="25"/>
  <c r="D84" i="25"/>
  <c r="D83" i="25"/>
  <c r="D81" i="25"/>
  <c r="D79" i="25"/>
  <c r="D231" i="25"/>
  <c r="D230" i="25"/>
  <c r="D223" i="25"/>
  <c r="D222" i="25"/>
  <c r="D220" i="25"/>
  <c r="D218" i="25"/>
  <c r="D215" i="25"/>
  <c r="D213" i="25"/>
  <c r="D212" i="25"/>
  <c r="D210" i="25"/>
  <c r="D207" i="25"/>
  <c r="D205" i="25"/>
  <c r="D204" i="25"/>
  <c r="D202" i="25"/>
  <c r="D199" i="25"/>
  <c r="D197" i="25"/>
  <c r="D196" i="25"/>
  <c r="D194" i="25"/>
  <c r="D191" i="25"/>
  <c r="D189" i="25"/>
  <c r="D188" i="25"/>
  <c r="D186" i="25"/>
  <c r="D184" i="25"/>
  <c r="D182" i="25"/>
  <c r="D180" i="25"/>
  <c r="D178" i="25"/>
  <c r="D176" i="25"/>
  <c r="D174" i="25"/>
  <c r="D172" i="25"/>
  <c r="D170" i="25"/>
  <c r="D168" i="25"/>
  <c r="D157" i="25"/>
  <c r="D156" i="25"/>
  <c r="D154" i="25"/>
  <c r="D152" i="25"/>
  <c r="D149" i="25"/>
  <c r="D147" i="25"/>
  <c r="D146" i="25"/>
  <c r="D144" i="25"/>
  <c r="D141" i="25"/>
  <c r="D139" i="25"/>
  <c r="D138" i="25"/>
  <c r="D136" i="25"/>
  <c r="D133" i="25"/>
  <c r="D131" i="25"/>
  <c r="D130" i="25"/>
  <c r="D128" i="25"/>
  <c r="D125" i="25"/>
  <c r="D123" i="25"/>
  <c r="D122" i="25"/>
  <c r="D120" i="25"/>
  <c r="D118" i="25"/>
  <c r="D116" i="25"/>
  <c r="D114" i="25"/>
  <c r="D112" i="25"/>
  <c r="D110" i="25"/>
  <c r="D108" i="25"/>
  <c r="D106" i="25"/>
  <c r="D104" i="25"/>
  <c r="D102" i="25"/>
  <c r="D92" i="25"/>
  <c r="D90" i="25"/>
  <c r="D89" i="25"/>
  <c r="D86" i="25"/>
  <c r="D85" i="25"/>
  <c r="D82" i="25"/>
  <c r="D80" i="25"/>
  <c r="D78" i="25"/>
  <c r="D13" i="25"/>
  <c r="D15" i="25"/>
  <c r="D17" i="25"/>
  <c r="D19" i="25"/>
  <c r="D21" i="25"/>
  <c r="D23" i="25"/>
  <c r="D25" i="25"/>
  <c r="D27" i="25"/>
  <c r="D29" i="25"/>
  <c r="D31" i="25"/>
  <c r="D33" i="25"/>
  <c r="D35" i="25"/>
  <c r="D38" i="25"/>
  <c r="D40" i="25"/>
  <c r="D41" i="25"/>
  <c r="D43" i="25"/>
  <c r="D45" i="25"/>
  <c r="D47" i="25"/>
  <c r="D49" i="25"/>
  <c r="D51" i="25"/>
  <c r="D53" i="25"/>
  <c r="D55" i="25"/>
  <c r="D57" i="25"/>
  <c r="D59" i="25"/>
  <c r="D61" i="25"/>
  <c r="D63" i="25"/>
  <c r="D65" i="25"/>
  <c r="D67" i="25"/>
  <c r="D69" i="25"/>
  <c r="D71" i="25"/>
  <c r="D14" i="25"/>
  <c r="D16" i="25"/>
  <c r="D18" i="25"/>
  <c r="D20" i="25"/>
  <c r="D22" i="25"/>
  <c r="D24" i="25"/>
  <c r="D26" i="25"/>
  <c r="D28" i="25"/>
  <c r="D30" i="25"/>
  <c r="D32" i="25"/>
  <c r="D34" i="25"/>
  <c r="D36" i="25"/>
  <c r="D37" i="25"/>
  <c r="D39" i="25"/>
  <c r="D42" i="25"/>
  <c r="D44" i="25"/>
  <c r="D46" i="25"/>
  <c r="D48" i="25"/>
  <c r="D50" i="25"/>
  <c r="D52" i="25"/>
  <c r="D54" i="25"/>
  <c r="D56" i="25"/>
  <c r="D58" i="25"/>
  <c r="D60" i="25"/>
  <c r="D62" i="25"/>
  <c r="D64" i="25"/>
  <c r="D66" i="25"/>
  <c r="D68" i="25"/>
  <c r="D70" i="25"/>
  <c r="D12" i="25"/>
  <c r="M2" i="25"/>
  <c r="K9" i="25" l="1"/>
  <c r="G77" i="25"/>
  <c r="J11" i="25"/>
  <c r="J10" i="25"/>
  <c r="F77" i="25"/>
  <c r="K230" i="25"/>
  <c r="I230" i="25"/>
  <c r="J230" i="25"/>
  <c r="I238" i="25"/>
  <c r="N253" i="25"/>
  <c r="C34" i="31" s="1"/>
  <c r="D34" i="31" l="1"/>
  <c r="D27" i="31" s="1"/>
  <c r="FJ4" i="37"/>
  <c r="K77" i="25"/>
  <c r="I77" i="25"/>
  <c r="J77" i="25"/>
  <c r="B134" i="29"/>
  <c r="E134" i="29" l="1"/>
  <c r="E133" i="29"/>
  <c r="E135" i="29" s="1"/>
  <c r="B133" i="29"/>
  <c r="B135" i="29" s="1"/>
  <c r="L211" i="25"/>
  <c r="L207" i="25"/>
  <c r="L203" i="25"/>
  <c r="L199" i="25"/>
  <c r="L195" i="25"/>
  <c r="L191" i="25"/>
  <c r="L187" i="25"/>
  <c r="L183" i="25"/>
  <c r="L179" i="25"/>
  <c r="L175" i="25"/>
  <c r="L171" i="25"/>
  <c r="L210" i="25"/>
  <c r="L206" i="25"/>
  <c r="L202" i="25"/>
  <c r="L198" i="25"/>
  <c r="L194" i="25"/>
  <c r="L190" i="25"/>
  <c r="L186" i="25"/>
  <c r="L182" i="25"/>
  <c r="L178" i="25"/>
  <c r="L174" i="25"/>
  <c r="L170" i="25"/>
  <c r="L209" i="25"/>
  <c r="L205" i="25"/>
  <c r="L201" i="25"/>
  <c r="L197" i="25"/>
  <c r="L193" i="25"/>
  <c r="L189" i="25"/>
  <c r="L185" i="25"/>
  <c r="L181" i="25"/>
  <c r="L177" i="25"/>
  <c r="L173" i="25"/>
  <c r="L169" i="25"/>
  <c r="L208" i="25"/>
  <c r="L204" i="25"/>
  <c r="L200" i="25"/>
  <c r="L196" i="25"/>
  <c r="L192" i="25"/>
  <c r="L188" i="25"/>
  <c r="L184" i="25"/>
  <c r="L180" i="25"/>
  <c r="L176" i="25"/>
  <c r="L172" i="25"/>
  <c r="L168" i="25"/>
  <c r="L158" i="25"/>
  <c r="L157" i="25"/>
  <c r="L156" i="25"/>
  <c r="L155" i="25"/>
  <c r="L154" i="25"/>
  <c r="L153" i="25"/>
  <c r="L152" i="25"/>
  <c r="L151" i="25"/>
  <c r="L150" i="25"/>
  <c r="L149" i="25"/>
  <c r="L145" i="25"/>
  <c r="L141" i="25"/>
  <c r="L137" i="25"/>
  <c r="L133" i="25"/>
  <c r="L129" i="25"/>
  <c r="L125" i="25"/>
  <c r="L121" i="25"/>
  <c r="L117" i="25"/>
  <c r="L113" i="25"/>
  <c r="L109" i="25"/>
  <c r="L105" i="25"/>
  <c r="L148" i="25"/>
  <c r="L144" i="25"/>
  <c r="L140" i="25"/>
  <c r="L136" i="25"/>
  <c r="L132" i="25"/>
  <c r="L128" i="25"/>
  <c r="L124" i="25"/>
  <c r="L120" i="25"/>
  <c r="L116" i="25"/>
  <c r="L112" i="25"/>
  <c r="L108" i="25"/>
  <c r="L104" i="25"/>
  <c r="L147" i="25"/>
  <c r="L143" i="25"/>
  <c r="L139" i="25"/>
  <c r="L135" i="25"/>
  <c r="L131" i="25"/>
  <c r="L127" i="25"/>
  <c r="L123" i="25"/>
  <c r="L119" i="25"/>
  <c r="L115" i="25"/>
  <c r="L111" i="25"/>
  <c r="L107" i="25"/>
  <c r="L103" i="25"/>
  <c r="L146" i="25"/>
  <c r="L142" i="25"/>
  <c r="L138" i="25"/>
  <c r="L134" i="25"/>
  <c r="L130" i="25"/>
  <c r="L126" i="25"/>
  <c r="L122" i="25"/>
  <c r="L118" i="25"/>
  <c r="L114" i="25"/>
  <c r="L110" i="25"/>
  <c r="L106" i="25"/>
  <c r="L102" i="25"/>
  <c r="L71" i="25"/>
  <c r="L70" i="25"/>
  <c r="L69" i="25"/>
  <c r="L68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2" i="25"/>
  <c r="L21" i="25"/>
  <c r="L20" i="25"/>
  <c r="L19" i="25"/>
  <c r="L18" i="25"/>
  <c r="L17" i="25"/>
  <c r="L16" i="25"/>
  <c r="N200" i="25" l="1"/>
  <c r="T200" i="25"/>
  <c r="N208" i="25"/>
  <c r="T208" i="25"/>
  <c r="N172" i="25"/>
  <c r="T172" i="25"/>
  <c r="N180" i="25"/>
  <c r="T180" i="25"/>
  <c r="N188" i="25"/>
  <c r="T188" i="25"/>
  <c r="N196" i="25"/>
  <c r="T196" i="25"/>
  <c r="N204" i="25"/>
  <c r="T204" i="25"/>
  <c r="N153" i="25"/>
  <c r="F153" i="25" s="1"/>
  <c r="J153" i="25" s="1"/>
  <c r="T153" i="25"/>
  <c r="G153" i="25" s="1"/>
  <c r="K153" i="25" s="1"/>
  <c r="N150" i="25"/>
  <c r="F150" i="25" s="1"/>
  <c r="J150" i="25" s="1"/>
  <c r="T150" i="25"/>
  <c r="G150" i="25" s="1"/>
  <c r="K150" i="25" s="1"/>
  <c r="T156" i="25"/>
  <c r="G156" i="25" s="1"/>
  <c r="K156" i="25" s="1"/>
  <c r="N156" i="25"/>
  <c r="F156" i="25" s="1"/>
  <c r="J156" i="25" s="1"/>
  <c r="T106" i="25"/>
  <c r="G106" i="25" s="1"/>
  <c r="K106" i="25" s="1"/>
  <c r="N106" i="25"/>
  <c r="F106" i="25" s="1"/>
  <c r="J106" i="25" s="1"/>
  <c r="N114" i="25"/>
  <c r="F114" i="25" s="1"/>
  <c r="J114" i="25" s="1"/>
  <c r="T114" i="25"/>
  <c r="G114" i="25" s="1"/>
  <c r="K114" i="25" s="1"/>
  <c r="T122" i="25"/>
  <c r="G122" i="25" s="1"/>
  <c r="K122" i="25" s="1"/>
  <c r="N122" i="25"/>
  <c r="F122" i="25" s="1"/>
  <c r="J122" i="25" s="1"/>
  <c r="T130" i="25"/>
  <c r="G130" i="25" s="1"/>
  <c r="K130" i="25" s="1"/>
  <c r="N130" i="25"/>
  <c r="F130" i="25" s="1"/>
  <c r="J130" i="25" s="1"/>
  <c r="T138" i="25"/>
  <c r="G138" i="25" s="1"/>
  <c r="K138" i="25" s="1"/>
  <c r="N138" i="25"/>
  <c r="F138" i="25" s="1"/>
  <c r="J138" i="25" s="1"/>
  <c r="N146" i="25"/>
  <c r="F146" i="25" s="1"/>
  <c r="J146" i="25" s="1"/>
  <c r="T146" i="25"/>
  <c r="G146" i="25" s="1"/>
  <c r="K146" i="25" s="1"/>
  <c r="N134" i="25"/>
  <c r="F134" i="25" s="1"/>
  <c r="J134" i="25" s="1"/>
  <c r="T134" i="25"/>
  <c r="G134" i="25" s="1"/>
  <c r="K134" i="25" s="1"/>
  <c r="N142" i="25"/>
  <c r="F142" i="25" s="1"/>
  <c r="J142" i="25" s="1"/>
  <c r="T142" i="25"/>
  <c r="G142" i="25" s="1"/>
  <c r="K142" i="25" s="1"/>
  <c r="T86" i="25"/>
  <c r="G86" i="25" s="1"/>
  <c r="K86" i="25" s="1"/>
  <c r="N86" i="25"/>
  <c r="F86" i="25" s="1"/>
  <c r="T88" i="25"/>
  <c r="G88" i="25" s="1"/>
  <c r="K88" i="25" s="1"/>
  <c r="N88" i="25"/>
  <c r="F88" i="25" s="1"/>
  <c r="T90" i="25"/>
  <c r="G90" i="25" s="1"/>
  <c r="K90" i="25" s="1"/>
  <c r="N90" i="25"/>
  <c r="F90" i="25" s="1"/>
  <c r="N92" i="25"/>
  <c r="F92" i="25" s="1"/>
  <c r="T92" i="25"/>
  <c r="G92" i="25" s="1"/>
  <c r="K92" i="25" s="1"/>
  <c r="T79" i="25"/>
  <c r="G79" i="25" s="1"/>
  <c r="K79" i="25" s="1"/>
  <c r="N79" i="25"/>
  <c r="F79" i="25" s="1"/>
  <c r="T81" i="25"/>
  <c r="G81" i="25" s="1"/>
  <c r="K81" i="25" s="1"/>
  <c r="N81" i="25"/>
  <c r="F81" i="25" s="1"/>
  <c r="N83" i="25"/>
  <c r="F83" i="25" s="1"/>
  <c r="T83" i="25"/>
  <c r="G83" i="25" s="1"/>
  <c r="K83" i="25" s="1"/>
  <c r="N85" i="25"/>
  <c r="F85" i="25" s="1"/>
  <c r="T85" i="25"/>
  <c r="G85" i="25" s="1"/>
  <c r="K85" i="25" s="1"/>
  <c r="T87" i="25"/>
  <c r="G87" i="25" s="1"/>
  <c r="K87" i="25" s="1"/>
  <c r="N87" i="25"/>
  <c r="F87" i="25" s="1"/>
  <c r="N89" i="25"/>
  <c r="F89" i="25" s="1"/>
  <c r="T89" i="25"/>
  <c r="G89" i="25" s="1"/>
  <c r="K89" i="25" s="1"/>
  <c r="T91" i="25"/>
  <c r="G91" i="25" s="1"/>
  <c r="K91" i="25" s="1"/>
  <c r="N91" i="25"/>
  <c r="F91" i="25" s="1"/>
  <c r="T16" i="25"/>
  <c r="N16" i="25"/>
  <c r="T24" i="25"/>
  <c r="N24" i="25"/>
  <c r="T28" i="25"/>
  <c r="N28" i="25"/>
  <c r="T32" i="25"/>
  <c r="N32" i="25"/>
  <c r="T36" i="25"/>
  <c r="N36" i="25"/>
  <c r="T40" i="25"/>
  <c r="N40" i="25"/>
  <c r="T44" i="25"/>
  <c r="N44" i="25"/>
  <c r="T48" i="25"/>
  <c r="N48" i="25"/>
  <c r="T52" i="25"/>
  <c r="N52" i="25"/>
  <c r="T56" i="25"/>
  <c r="N56" i="25"/>
  <c r="T60" i="25"/>
  <c r="N60" i="25"/>
  <c r="T64" i="25"/>
  <c r="N64" i="25"/>
  <c r="T68" i="25"/>
  <c r="N68" i="25"/>
  <c r="T20" i="25"/>
  <c r="N20" i="25"/>
  <c r="T84" i="25"/>
  <c r="G84" i="25" s="1"/>
  <c r="K84" i="25" s="1"/>
  <c r="N84" i="25"/>
  <c r="F84" i="25" s="1"/>
  <c r="T82" i="25"/>
  <c r="G82" i="25" s="1"/>
  <c r="K82" i="25" s="1"/>
  <c r="N82" i="25"/>
  <c r="F82" i="25" s="1"/>
  <c r="N80" i="25"/>
  <c r="F80" i="25" s="1"/>
  <c r="T80" i="25"/>
  <c r="G80" i="25" s="1"/>
  <c r="K80" i="25" s="1"/>
  <c r="T78" i="25"/>
  <c r="G78" i="25" s="1"/>
  <c r="N78" i="25"/>
  <c r="F78" i="25" s="1"/>
  <c r="T126" i="25"/>
  <c r="G126" i="25" s="1"/>
  <c r="K126" i="25" s="1"/>
  <c r="N126" i="25"/>
  <c r="F126" i="25" s="1"/>
  <c r="J126" i="25" s="1"/>
  <c r="T118" i="25"/>
  <c r="G118" i="25" s="1"/>
  <c r="K118" i="25" s="1"/>
  <c r="N118" i="25"/>
  <c r="F118" i="25" s="1"/>
  <c r="J118" i="25" s="1"/>
  <c r="T110" i="25"/>
  <c r="G110" i="25" s="1"/>
  <c r="K110" i="25" s="1"/>
  <c r="N110" i="25"/>
  <c r="F110" i="25" s="1"/>
  <c r="J110" i="25" s="1"/>
  <c r="T102" i="25"/>
  <c r="G102" i="25" s="1"/>
  <c r="N102" i="25"/>
  <c r="F102" i="25" s="1"/>
  <c r="J102" i="25" s="1"/>
  <c r="T192" i="25"/>
  <c r="N192" i="25"/>
  <c r="T184" i="25"/>
  <c r="N184" i="25"/>
  <c r="T176" i="25"/>
  <c r="N176" i="25"/>
  <c r="T168" i="25"/>
  <c r="N168" i="25"/>
  <c r="A211" i="25"/>
  <c r="A210" i="25"/>
  <c r="A209" i="25"/>
  <c r="A207" i="25"/>
  <c r="A206" i="25"/>
  <c r="A205" i="25"/>
  <c r="A203" i="25"/>
  <c r="A202" i="25"/>
  <c r="A201" i="25"/>
  <c r="A199" i="25"/>
  <c r="A198" i="25"/>
  <c r="A197" i="25"/>
  <c r="A195" i="25"/>
  <c r="A194" i="25"/>
  <c r="A193" i="25"/>
  <c r="A191" i="25"/>
  <c r="A190" i="25"/>
  <c r="A189" i="25"/>
  <c r="A187" i="25"/>
  <c r="A186" i="25"/>
  <c r="A185" i="25"/>
  <c r="A183" i="25"/>
  <c r="A182" i="25"/>
  <c r="A181" i="25"/>
  <c r="A179" i="25"/>
  <c r="A178" i="25"/>
  <c r="A177" i="25"/>
  <c r="A175" i="25"/>
  <c r="A174" i="25"/>
  <c r="A173" i="25"/>
  <c r="A171" i="25"/>
  <c r="A170" i="25"/>
  <c r="A169" i="25"/>
  <c r="A158" i="25"/>
  <c r="T158" i="25" s="1"/>
  <c r="A157" i="25"/>
  <c r="T157" i="25" s="1"/>
  <c r="A155" i="25"/>
  <c r="T155" i="25" s="1"/>
  <c r="A154" i="25"/>
  <c r="T154" i="25" s="1"/>
  <c r="A152" i="25"/>
  <c r="T152" i="25" s="1"/>
  <c r="A151" i="25"/>
  <c r="T151" i="25" s="1"/>
  <c r="A149" i="25"/>
  <c r="T149" i="25" s="1"/>
  <c r="A148" i="25"/>
  <c r="T148" i="25" s="1"/>
  <c r="A147" i="25"/>
  <c r="T147" i="25" s="1"/>
  <c r="A145" i="25"/>
  <c r="T145" i="25" s="1"/>
  <c r="A144" i="25"/>
  <c r="T144" i="25" s="1"/>
  <c r="A143" i="25"/>
  <c r="T143" i="25" s="1"/>
  <c r="A141" i="25"/>
  <c r="T141" i="25" s="1"/>
  <c r="A140" i="25"/>
  <c r="T140" i="25" s="1"/>
  <c r="A139" i="25"/>
  <c r="T139" i="25" s="1"/>
  <c r="A137" i="25"/>
  <c r="T137" i="25" s="1"/>
  <c r="A136" i="25"/>
  <c r="T136" i="25" s="1"/>
  <c r="A135" i="25"/>
  <c r="T135" i="25" s="1"/>
  <c r="A133" i="25"/>
  <c r="T133" i="25" s="1"/>
  <c r="A132" i="25"/>
  <c r="T132" i="25" s="1"/>
  <c r="A131" i="25"/>
  <c r="T131" i="25" s="1"/>
  <c r="A129" i="25"/>
  <c r="T129" i="25" s="1"/>
  <c r="A128" i="25"/>
  <c r="T128" i="25" s="1"/>
  <c r="A127" i="25"/>
  <c r="T127" i="25" s="1"/>
  <c r="A125" i="25"/>
  <c r="T125" i="25" s="1"/>
  <c r="A124" i="25"/>
  <c r="T124" i="25" s="1"/>
  <c r="A123" i="25"/>
  <c r="T123" i="25" s="1"/>
  <c r="A121" i="25"/>
  <c r="T121" i="25" s="1"/>
  <c r="A120" i="25"/>
  <c r="T120" i="25" s="1"/>
  <c r="A119" i="25"/>
  <c r="T119" i="25" s="1"/>
  <c r="A117" i="25"/>
  <c r="T117" i="25" s="1"/>
  <c r="A116" i="25"/>
  <c r="T116" i="25" s="1"/>
  <c r="A115" i="25"/>
  <c r="T115" i="25" s="1"/>
  <c r="A113" i="25"/>
  <c r="T113" i="25" s="1"/>
  <c r="A112" i="25"/>
  <c r="T112" i="25" s="1"/>
  <c r="A111" i="25"/>
  <c r="T111" i="25" s="1"/>
  <c r="A109" i="25"/>
  <c r="T109" i="25" s="1"/>
  <c r="A108" i="25"/>
  <c r="T108" i="25" s="1"/>
  <c r="A107" i="25"/>
  <c r="T107" i="25" s="1"/>
  <c r="A105" i="25"/>
  <c r="T105" i="25" s="1"/>
  <c r="A104" i="25"/>
  <c r="T104" i="25" s="1"/>
  <c r="A103" i="25"/>
  <c r="T103" i="25" s="1"/>
  <c r="K78" i="25" l="1"/>
  <c r="K94" i="25" s="1"/>
  <c r="G94" i="25"/>
  <c r="K102" i="25"/>
  <c r="J78" i="25"/>
  <c r="I78" i="25"/>
  <c r="J82" i="25"/>
  <c r="I82" i="25"/>
  <c r="J88" i="25"/>
  <c r="I88" i="25"/>
  <c r="J84" i="25"/>
  <c r="I84" i="25"/>
  <c r="J91" i="25"/>
  <c r="I91" i="25"/>
  <c r="J87" i="25"/>
  <c r="I87" i="25"/>
  <c r="J81" i="25"/>
  <c r="I81" i="25"/>
  <c r="J79" i="25"/>
  <c r="I79" i="25"/>
  <c r="J90" i="25"/>
  <c r="I90" i="25"/>
  <c r="J86" i="25"/>
  <c r="I86" i="25"/>
  <c r="J80" i="25"/>
  <c r="I80" i="25"/>
  <c r="J89" i="25"/>
  <c r="I89" i="25"/>
  <c r="J85" i="25"/>
  <c r="I85" i="25"/>
  <c r="J83" i="25"/>
  <c r="I83" i="25"/>
  <c r="J92" i="25"/>
  <c r="I92" i="25"/>
  <c r="N104" i="25"/>
  <c r="N107" i="25"/>
  <c r="N109" i="25"/>
  <c r="N112" i="25"/>
  <c r="N115" i="25"/>
  <c r="N117" i="25"/>
  <c r="N120" i="25"/>
  <c r="N123" i="25"/>
  <c r="N125" i="25"/>
  <c r="N128" i="25"/>
  <c r="N131" i="25"/>
  <c r="N133" i="25"/>
  <c r="N136" i="25"/>
  <c r="G136" i="25"/>
  <c r="K136" i="25" s="1"/>
  <c r="N139" i="25"/>
  <c r="G139" i="25"/>
  <c r="K139" i="25" s="1"/>
  <c r="N141" i="25"/>
  <c r="G141" i="25"/>
  <c r="K141" i="25" s="1"/>
  <c r="N144" i="25"/>
  <c r="G144" i="25"/>
  <c r="K144" i="25" s="1"/>
  <c r="N147" i="25"/>
  <c r="G147" i="25"/>
  <c r="K147" i="25" s="1"/>
  <c r="N149" i="25"/>
  <c r="G149" i="25"/>
  <c r="K149" i="25" s="1"/>
  <c r="N152" i="25"/>
  <c r="G152" i="25"/>
  <c r="K152" i="25" s="1"/>
  <c r="N155" i="25"/>
  <c r="G155" i="25"/>
  <c r="K155" i="25" s="1"/>
  <c r="N158" i="25"/>
  <c r="G158" i="25"/>
  <c r="K158" i="25" s="1"/>
  <c r="N170" i="25"/>
  <c r="T170" i="25"/>
  <c r="N173" i="25"/>
  <c r="T173" i="25"/>
  <c r="N175" i="25"/>
  <c r="T175" i="25"/>
  <c r="N178" i="25"/>
  <c r="T178" i="25"/>
  <c r="N181" i="25"/>
  <c r="T181" i="25"/>
  <c r="N183" i="25"/>
  <c r="T183" i="25"/>
  <c r="N186" i="25"/>
  <c r="T186" i="25"/>
  <c r="N189" i="25"/>
  <c r="T189" i="25"/>
  <c r="N191" i="25"/>
  <c r="T191" i="25"/>
  <c r="N194" i="25"/>
  <c r="T194" i="25"/>
  <c r="N197" i="25"/>
  <c r="T197" i="25"/>
  <c r="N199" i="25"/>
  <c r="T199" i="25"/>
  <c r="T202" i="25"/>
  <c r="N202" i="25"/>
  <c r="N205" i="25"/>
  <c r="T205" i="25"/>
  <c r="N207" i="25"/>
  <c r="T207" i="25"/>
  <c r="N210" i="25"/>
  <c r="T210" i="25"/>
  <c r="N103" i="25"/>
  <c r="N105" i="25"/>
  <c r="N108" i="25"/>
  <c r="N111" i="25"/>
  <c r="N113" i="25"/>
  <c r="N116" i="25"/>
  <c r="N119" i="25"/>
  <c r="N121" i="25"/>
  <c r="N124" i="25"/>
  <c r="N127" i="25"/>
  <c r="N129" i="25"/>
  <c r="N132" i="25"/>
  <c r="N135" i="25"/>
  <c r="N137" i="25"/>
  <c r="G137" i="25"/>
  <c r="K137" i="25" s="1"/>
  <c r="N140" i="25"/>
  <c r="G140" i="25"/>
  <c r="K140" i="25" s="1"/>
  <c r="N143" i="25"/>
  <c r="G143" i="25"/>
  <c r="K143" i="25" s="1"/>
  <c r="N145" i="25"/>
  <c r="G145" i="25"/>
  <c r="K145" i="25" s="1"/>
  <c r="N148" i="25"/>
  <c r="G148" i="25"/>
  <c r="K148" i="25" s="1"/>
  <c r="N151" i="25"/>
  <c r="G151" i="25"/>
  <c r="K151" i="25" s="1"/>
  <c r="N154" i="25"/>
  <c r="G154" i="25"/>
  <c r="K154" i="25" s="1"/>
  <c r="N157" i="25"/>
  <c r="G157" i="25"/>
  <c r="K157" i="25" s="1"/>
  <c r="N169" i="25"/>
  <c r="T169" i="25"/>
  <c r="N171" i="25"/>
  <c r="T171" i="25"/>
  <c r="N174" i="25"/>
  <c r="T174" i="25"/>
  <c r="N177" i="25"/>
  <c r="T177" i="25"/>
  <c r="N179" i="25"/>
  <c r="T179" i="25"/>
  <c r="N182" i="25"/>
  <c r="T182" i="25"/>
  <c r="N185" i="25"/>
  <c r="T185" i="25"/>
  <c r="N187" i="25"/>
  <c r="T187" i="25"/>
  <c r="N190" i="25"/>
  <c r="T190" i="25"/>
  <c r="N193" i="25"/>
  <c r="T193" i="25"/>
  <c r="N195" i="25"/>
  <c r="T195" i="25"/>
  <c r="N198" i="25"/>
  <c r="T198" i="25"/>
  <c r="N201" i="25"/>
  <c r="T201" i="25"/>
  <c r="N203" i="25"/>
  <c r="T203" i="25"/>
  <c r="N206" i="25"/>
  <c r="T206" i="25"/>
  <c r="N209" i="25"/>
  <c r="T209" i="25"/>
  <c r="N211" i="25"/>
  <c r="T211" i="25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B37" i="27"/>
  <c r="F135" i="25" l="1"/>
  <c r="J135" i="25" s="1"/>
  <c r="F132" i="25"/>
  <c r="J132" i="25" s="1"/>
  <c r="F129" i="25"/>
  <c r="J129" i="25" s="1"/>
  <c r="F127" i="25"/>
  <c r="J127" i="25" s="1"/>
  <c r="F124" i="25"/>
  <c r="J124" i="25" s="1"/>
  <c r="F121" i="25"/>
  <c r="J121" i="25" s="1"/>
  <c r="F119" i="25"/>
  <c r="J119" i="25" s="1"/>
  <c r="F116" i="25"/>
  <c r="J116" i="25" s="1"/>
  <c r="F113" i="25"/>
  <c r="J113" i="25" s="1"/>
  <c r="F111" i="25"/>
  <c r="J111" i="25" s="1"/>
  <c r="F108" i="25"/>
  <c r="J108" i="25" s="1"/>
  <c r="F105" i="25"/>
  <c r="J105" i="25" s="1"/>
  <c r="F103" i="25"/>
  <c r="J103" i="25" s="1"/>
  <c r="F133" i="25"/>
  <c r="J133" i="25" s="1"/>
  <c r="F131" i="25"/>
  <c r="J131" i="25" s="1"/>
  <c r="F128" i="25"/>
  <c r="J128" i="25" s="1"/>
  <c r="F125" i="25"/>
  <c r="J125" i="25" s="1"/>
  <c r="F123" i="25"/>
  <c r="J123" i="25" s="1"/>
  <c r="F120" i="25"/>
  <c r="J120" i="25" s="1"/>
  <c r="F117" i="25"/>
  <c r="J117" i="25" s="1"/>
  <c r="F115" i="25"/>
  <c r="J115" i="25" s="1"/>
  <c r="F112" i="25"/>
  <c r="J112" i="25" s="1"/>
  <c r="F109" i="25"/>
  <c r="J109" i="25" s="1"/>
  <c r="F107" i="25"/>
  <c r="J107" i="25" s="1"/>
  <c r="F104" i="25"/>
  <c r="J104" i="25" s="1"/>
  <c r="F157" i="25"/>
  <c r="J157" i="25" s="1"/>
  <c r="F154" i="25"/>
  <c r="J154" i="25" s="1"/>
  <c r="F151" i="25"/>
  <c r="J151" i="25" s="1"/>
  <c r="F148" i="25"/>
  <c r="J148" i="25" s="1"/>
  <c r="F145" i="25"/>
  <c r="J145" i="25" s="1"/>
  <c r="F143" i="25"/>
  <c r="J143" i="25" s="1"/>
  <c r="F140" i="25"/>
  <c r="J140" i="25" s="1"/>
  <c r="F137" i="25"/>
  <c r="J137" i="25" s="1"/>
  <c r="G135" i="25"/>
  <c r="K135" i="25" s="1"/>
  <c r="G132" i="25"/>
  <c r="K132" i="25" s="1"/>
  <c r="G129" i="25"/>
  <c r="K129" i="25" s="1"/>
  <c r="G127" i="25"/>
  <c r="K127" i="25" s="1"/>
  <c r="G124" i="25"/>
  <c r="K124" i="25" s="1"/>
  <c r="G121" i="25"/>
  <c r="K121" i="25" s="1"/>
  <c r="G119" i="25"/>
  <c r="K119" i="25" s="1"/>
  <c r="G116" i="25"/>
  <c r="K116" i="25" s="1"/>
  <c r="G113" i="25"/>
  <c r="K113" i="25" s="1"/>
  <c r="G111" i="25"/>
  <c r="K111" i="25" s="1"/>
  <c r="G108" i="25"/>
  <c r="K108" i="25" s="1"/>
  <c r="G105" i="25"/>
  <c r="K105" i="25" s="1"/>
  <c r="G103" i="25"/>
  <c r="F158" i="25"/>
  <c r="J158" i="25" s="1"/>
  <c r="F155" i="25"/>
  <c r="J155" i="25" s="1"/>
  <c r="F152" i="25"/>
  <c r="J152" i="25" s="1"/>
  <c r="F149" i="25"/>
  <c r="J149" i="25" s="1"/>
  <c r="F147" i="25"/>
  <c r="J147" i="25" s="1"/>
  <c r="F144" i="25"/>
  <c r="J144" i="25" s="1"/>
  <c r="F141" i="25"/>
  <c r="J141" i="25" s="1"/>
  <c r="F139" i="25"/>
  <c r="J139" i="25" s="1"/>
  <c r="F136" i="25"/>
  <c r="J136" i="25" s="1"/>
  <c r="G133" i="25"/>
  <c r="K133" i="25" s="1"/>
  <c r="G131" i="25"/>
  <c r="K131" i="25" s="1"/>
  <c r="G128" i="25"/>
  <c r="K128" i="25" s="1"/>
  <c r="G125" i="25"/>
  <c r="K125" i="25" s="1"/>
  <c r="G123" i="25"/>
  <c r="K123" i="25" s="1"/>
  <c r="G120" i="25"/>
  <c r="K120" i="25" s="1"/>
  <c r="G117" i="25"/>
  <c r="K117" i="25" s="1"/>
  <c r="G115" i="25"/>
  <c r="K115" i="25" s="1"/>
  <c r="G112" i="25"/>
  <c r="K112" i="25" s="1"/>
  <c r="G109" i="25"/>
  <c r="K109" i="25" s="1"/>
  <c r="G107" i="25"/>
  <c r="K107" i="25" s="1"/>
  <c r="G104" i="25"/>
  <c r="K104" i="25" s="1"/>
  <c r="T6" i="27"/>
  <c r="W6" i="27"/>
  <c r="W17" i="27"/>
  <c r="U17" i="27"/>
  <c r="X17" i="27"/>
  <c r="R17" i="27"/>
  <c r="W13" i="27"/>
  <c r="U13" i="27"/>
  <c r="X13" i="27"/>
  <c r="R13" i="27"/>
  <c r="W9" i="27"/>
  <c r="U9" i="27"/>
  <c r="X9" i="27"/>
  <c r="R9" i="27"/>
  <c r="U39" i="27"/>
  <c r="P39" i="27"/>
  <c r="X39" i="27"/>
  <c r="O39" i="27"/>
  <c r="R39" i="27"/>
  <c r="W39" i="27"/>
  <c r="Q39" i="27"/>
  <c r="V39" i="27"/>
  <c r="N39" i="27"/>
  <c r="T39" i="27"/>
  <c r="W35" i="27"/>
  <c r="R35" i="27"/>
  <c r="V35" i="27"/>
  <c r="Q35" i="27"/>
  <c r="P35" i="27"/>
  <c r="X35" i="27"/>
  <c r="O35" i="27"/>
  <c r="U35" i="27"/>
  <c r="N35" i="27"/>
  <c r="T35" i="27"/>
  <c r="U31" i="27"/>
  <c r="P31" i="27"/>
  <c r="X31" i="27"/>
  <c r="O31" i="27"/>
  <c r="V31" i="27"/>
  <c r="R31" i="27"/>
  <c r="W31" i="27"/>
  <c r="Q31" i="27"/>
  <c r="N31" i="27"/>
  <c r="T31" i="27"/>
  <c r="W27" i="27"/>
  <c r="R27" i="27"/>
  <c r="V27" i="27"/>
  <c r="Q27" i="27"/>
  <c r="U27" i="27"/>
  <c r="P27" i="27"/>
  <c r="X27" i="27"/>
  <c r="O27" i="27"/>
  <c r="T27" i="27"/>
  <c r="N27" i="27"/>
  <c r="W12" i="27"/>
  <c r="U12" i="27"/>
  <c r="X12" i="27"/>
  <c r="R12" i="27"/>
  <c r="U34" i="27"/>
  <c r="P34" i="27"/>
  <c r="X34" i="27"/>
  <c r="O34" i="27"/>
  <c r="V34" i="27"/>
  <c r="N34" i="27"/>
  <c r="R34" i="27"/>
  <c r="W34" i="27"/>
  <c r="Q34" i="27"/>
  <c r="T34" i="27"/>
  <c r="W30" i="27"/>
  <c r="R30" i="27"/>
  <c r="N30" i="27"/>
  <c r="V30" i="27"/>
  <c r="Q30" i="27"/>
  <c r="P30" i="27"/>
  <c r="X30" i="27"/>
  <c r="O30" i="27"/>
  <c r="U30" i="27"/>
  <c r="T30" i="27"/>
  <c r="U26" i="27"/>
  <c r="P26" i="27"/>
  <c r="X26" i="27"/>
  <c r="O26" i="27"/>
  <c r="R26" i="27"/>
  <c r="W26" i="27"/>
  <c r="Q26" i="27"/>
  <c r="V26" i="27"/>
  <c r="N26" i="27"/>
  <c r="T26" i="27"/>
  <c r="W5" i="27"/>
  <c r="U5" i="27"/>
  <c r="X5" i="27"/>
  <c r="R5" i="27"/>
  <c r="W38" i="27"/>
  <c r="R38" i="27"/>
  <c r="N38" i="27"/>
  <c r="V38" i="27"/>
  <c r="Q38" i="27"/>
  <c r="U38" i="27"/>
  <c r="P38" i="27"/>
  <c r="X38" i="27"/>
  <c r="O38" i="27"/>
  <c r="T38" i="27"/>
  <c r="U15" i="27"/>
  <c r="W15" i="27"/>
  <c r="X15" i="27"/>
  <c r="R15" i="27"/>
  <c r="U7" i="27"/>
  <c r="W7" i="27"/>
  <c r="X7" i="27"/>
  <c r="R7" i="27"/>
  <c r="X33" i="27"/>
  <c r="O33" i="27"/>
  <c r="W33" i="27"/>
  <c r="R33" i="27"/>
  <c r="Q33" i="27"/>
  <c r="V33" i="27"/>
  <c r="P33" i="27"/>
  <c r="U33" i="27"/>
  <c r="T33" i="27"/>
  <c r="N33" i="27"/>
  <c r="V29" i="27"/>
  <c r="Q29" i="27"/>
  <c r="U29" i="27"/>
  <c r="P29" i="27"/>
  <c r="W29" i="27"/>
  <c r="R29" i="27"/>
  <c r="X29" i="27"/>
  <c r="O29" i="27"/>
  <c r="N29" i="27"/>
  <c r="T29" i="27"/>
  <c r="X25" i="27"/>
  <c r="O25" i="27"/>
  <c r="W25" i="27"/>
  <c r="R25" i="27"/>
  <c r="V25" i="27"/>
  <c r="P25" i="27"/>
  <c r="U25" i="27"/>
  <c r="Q25" i="27"/>
  <c r="T25" i="27"/>
  <c r="N25" i="27"/>
  <c r="W16" i="27"/>
  <c r="U16" i="27"/>
  <c r="X16" i="27"/>
  <c r="R16" i="27"/>
  <c r="W8" i="27"/>
  <c r="U8" i="27"/>
  <c r="X8" i="27"/>
  <c r="R8" i="27"/>
  <c r="U19" i="27"/>
  <c r="W19" i="27"/>
  <c r="X19" i="27"/>
  <c r="R19" i="27"/>
  <c r="U11" i="27"/>
  <c r="W11" i="27"/>
  <c r="X11" i="27"/>
  <c r="R11" i="27"/>
  <c r="V37" i="27"/>
  <c r="Q37" i="27"/>
  <c r="U37" i="27"/>
  <c r="P37" i="27"/>
  <c r="R37" i="27"/>
  <c r="X37" i="27"/>
  <c r="O37" i="27"/>
  <c r="W37" i="27"/>
  <c r="N37" i="27"/>
  <c r="T37" i="27"/>
  <c r="U18" i="27"/>
  <c r="W18" i="27"/>
  <c r="X18" i="27"/>
  <c r="R18" i="27"/>
  <c r="W14" i="27"/>
  <c r="U14" i="27"/>
  <c r="R14" i="27"/>
  <c r="X14" i="27"/>
  <c r="U10" i="27"/>
  <c r="W10" i="27"/>
  <c r="X10" i="27"/>
  <c r="R10" i="27"/>
  <c r="U6" i="27"/>
  <c r="R6" i="27"/>
  <c r="X6" i="27"/>
  <c r="X36" i="27"/>
  <c r="O36" i="27"/>
  <c r="W36" i="27"/>
  <c r="R36" i="27"/>
  <c r="N36" i="27"/>
  <c r="U36" i="27"/>
  <c r="Q36" i="27"/>
  <c r="V36" i="27"/>
  <c r="P36" i="27"/>
  <c r="T36" i="27"/>
  <c r="V32" i="27"/>
  <c r="Q32" i="27"/>
  <c r="U32" i="27"/>
  <c r="P32" i="27"/>
  <c r="X32" i="27"/>
  <c r="O32" i="27"/>
  <c r="W32" i="27"/>
  <c r="N32" i="27"/>
  <c r="R32" i="27"/>
  <c r="T32" i="27"/>
  <c r="X28" i="27"/>
  <c r="O28" i="27"/>
  <c r="W28" i="27"/>
  <c r="R28" i="27"/>
  <c r="N28" i="27"/>
  <c r="Q28" i="27"/>
  <c r="V28" i="27"/>
  <c r="P28" i="27"/>
  <c r="U28" i="27"/>
  <c r="T28" i="27"/>
  <c r="V13" i="27"/>
  <c r="N13" i="27"/>
  <c r="O13" i="27"/>
  <c r="P13" i="27"/>
  <c r="T13" i="27"/>
  <c r="Q13" i="27"/>
  <c r="T18" i="27"/>
  <c r="Q18" i="27"/>
  <c r="V18" i="27"/>
  <c r="N18" i="27"/>
  <c r="P18" i="27"/>
  <c r="O18" i="27"/>
  <c r="T14" i="27"/>
  <c r="Q14" i="27"/>
  <c r="V14" i="27"/>
  <c r="N14" i="27"/>
  <c r="O14" i="27"/>
  <c r="P14" i="27"/>
  <c r="T10" i="27"/>
  <c r="Q10" i="27"/>
  <c r="V10" i="27"/>
  <c r="N10" i="27"/>
  <c r="O10" i="27"/>
  <c r="P10" i="27"/>
  <c r="Q6" i="27"/>
  <c r="V6" i="27"/>
  <c r="N6" i="27"/>
  <c r="O6" i="27"/>
  <c r="P6" i="27"/>
  <c r="V17" i="27"/>
  <c r="N17" i="27"/>
  <c r="O17" i="27"/>
  <c r="P17" i="27"/>
  <c r="Q17" i="27"/>
  <c r="T17" i="27"/>
  <c r="V9" i="27"/>
  <c r="N9" i="27"/>
  <c r="O9" i="27"/>
  <c r="P9" i="27"/>
  <c r="T9" i="27"/>
  <c r="Q9" i="27"/>
  <c r="O16" i="27"/>
  <c r="P16" i="27"/>
  <c r="T16" i="27"/>
  <c r="Q16" i="27"/>
  <c r="N16" i="27"/>
  <c r="V16" i="27"/>
  <c r="V5" i="27"/>
  <c r="N5" i="27"/>
  <c r="O5" i="27"/>
  <c r="P5" i="27"/>
  <c r="T5" i="27"/>
  <c r="Q5" i="27"/>
  <c r="O12" i="27"/>
  <c r="P12" i="27"/>
  <c r="T12" i="27"/>
  <c r="Q12" i="27"/>
  <c r="N12" i="27"/>
  <c r="V12" i="27"/>
  <c r="O8" i="27"/>
  <c r="P8" i="27"/>
  <c r="T8" i="27"/>
  <c r="Q8" i="27"/>
  <c r="V8" i="27"/>
  <c r="N8" i="27"/>
  <c r="P19" i="27"/>
  <c r="T19" i="27"/>
  <c r="Q19" i="27"/>
  <c r="O19" i="27"/>
  <c r="V19" i="27"/>
  <c r="N19" i="27"/>
  <c r="P15" i="27"/>
  <c r="T15" i="27"/>
  <c r="Q15" i="27"/>
  <c r="N15" i="27"/>
  <c r="O15" i="27"/>
  <c r="V15" i="27"/>
  <c r="P11" i="27"/>
  <c r="T11" i="27"/>
  <c r="Q11" i="27"/>
  <c r="N11" i="27"/>
  <c r="O11" i="27"/>
  <c r="V11" i="27"/>
  <c r="P7" i="27"/>
  <c r="T7" i="27"/>
  <c r="Q7" i="27"/>
  <c r="N7" i="27"/>
  <c r="V7" i="27"/>
  <c r="O7" i="27"/>
  <c r="Q24" i="25" l="1"/>
  <c r="Q26" i="25"/>
  <c r="Q25" i="25"/>
  <c r="Q27" i="25"/>
  <c r="S24" i="25"/>
  <c r="S26" i="25"/>
  <c r="S25" i="25"/>
  <c r="S27" i="25"/>
  <c r="U42" i="25"/>
  <c r="U40" i="25"/>
  <c r="U43" i="25"/>
  <c r="U41" i="25"/>
  <c r="P40" i="25"/>
  <c r="P42" i="25"/>
  <c r="P41" i="25"/>
  <c r="P43" i="25"/>
  <c r="R40" i="25"/>
  <c r="R42" i="25"/>
  <c r="R41" i="25"/>
  <c r="R43" i="25"/>
  <c r="W58" i="25"/>
  <c r="W56" i="25"/>
  <c r="W57" i="25"/>
  <c r="W59" i="25"/>
  <c r="S56" i="25"/>
  <c r="S58" i="25"/>
  <c r="S59" i="25"/>
  <c r="S57" i="25"/>
  <c r="O60" i="25"/>
  <c r="O62" i="25"/>
  <c r="O63" i="25"/>
  <c r="O61" i="25"/>
  <c r="S60" i="25"/>
  <c r="S62" i="25"/>
  <c r="S63" i="25"/>
  <c r="S61" i="25"/>
  <c r="W60" i="25"/>
  <c r="W62" i="25"/>
  <c r="W61" i="25"/>
  <c r="W63" i="25"/>
  <c r="V12" i="25"/>
  <c r="V14" i="25"/>
  <c r="V13" i="25"/>
  <c r="V15" i="25"/>
  <c r="X12" i="25"/>
  <c r="X15" i="25"/>
  <c r="X13" i="25"/>
  <c r="X14" i="25"/>
  <c r="O28" i="25"/>
  <c r="O30" i="25"/>
  <c r="O29" i="25"/>
  <c r="O31" i="25"/>
  <c r="X29" i="25"/>
  <c r="X30" i="25"/>
  <c r="X28" i="25"/>
  <c r="X31" i="25"/>
  <c r="W28" i="25"/>
  <c r="W30" i="25"/>
  <c r="W31" i="25"/>
  <c r="W29" i="25"/>
  <c r="Q46" i="25"/>
  <c r="Q44" i="25"/>
  <c r="Q47" i="25"/>
  <c r="Q45" i="25"/>
  <c r="X44" i="25"/>
  <c r="X46" i="25"/>
  <c r="X47" i="25"/>
  <c r="X45" i="25"/>
  <c r="P64" i="25"/>
  <c r="P66" i="25"/>
  <c r="P65" i="25"/>
  <c r="P67" i="25"/>
  <c r="R64" i="25"/>
  <c r="R66" i="25"/>
  <c r="R67" i="25"/>
  <c r="R65" i="25"/>
  <c r="X64" i="25"/>
  <c r="X66" i="25"/>
  <c r="X65" i="25"/>
  <c r="X67" i="25"/>
  <c r="R16" i="25"/>
  <c r="R17" i="25"/>
  <c r="R18" i="25"/>
  <c r="R19" i="25"/>
  <c r="Y19" i="25"/>
  <c r="Y18" i="25"/>
  <c r="Y17" i="25"/>
  <c r="Y16" i="25"/>
  <c r="V34" i="25"/>
  <c r="V32" i="25"/>
  <c r="V33" i="25"/>
  <c r="V35" i="25"/>
  <c r="R32" i="25"/>
  <c r="R34" i="25"/>
  <c r="R35" i="25"/>
  <c r="R33" i="25"/>
  <c r="X32" i="25"/>
  <c r="X34" i="25"/>
  <c r="X33" i="25"/>
  <c r="X35" i="25"/>
  <c r="S50" i="25"/>
  <c r="S48" i="25"/>
  <c r="S51" i="25"/>
  <c r="S49" i="25"/>
  <c r="Y50" i="25"/>
  <c r="Y48" i="25"/>
  <c r="Y49" i="25"/>
  <c r="Y51" i="25"/>
  <c r="U23" i="25"/>
  <c r="U22" i="25"/>
  <c r="U21" i="25"/>
  <c r="U20" i="25"/>
  <c r="V23" i="25"/>
  <c r="V20" i="25"/>
  <c r="V22" i="25"/>
  <c r="V21" i="25"/>
  <c r="X23" i="25"/>
  <c r="X22" i="25"/>
  <c r="X21" i="25"/>
  <c r="X20" i="25"/>
  <c r="X36" i="25"/>
  <c r="X38" i="25"/>
  <c r="X37" i="25"/>
  <c r="X39" i="25"/>
  <c r="Y36" i="25"/>
  <c r="Y38" i="25"/>
  <c r="Y39" i="25"/>
  <c r="Y37" i="25"/>
  <c r="O52" i="25"/>
  <c r="O54" i="25"/>
  <c r="O55" i="25"/>
  <c r="O53" i="25"/>
  <c r="Q52" i="25"/>
  <c r="Q54" i="25"/>
  <c r="Q53" i="25"/>
  <c r="Q55" i="25"/>
  <c r="X54" i="25"/>
  <c r="X52" i="25"/>
  <c r="X53" i="25"/>
  <c r="X55" i="25"/>
  <c r="R68" i="25"/>
  <c r="R70" i="25"/>
  <c r="R69" i="25"/>
  <c r="R71" i="25"/>
  <c r="Y68" i="25"/>
  <c r="Y70" i="25"/>
  <c r="Y71" i="25"/>
  <c r="Y69" i="25"/>
  <c r="W26" i="25"/>
  <c r="W24" i="25"/>
  <c r="W27" i="25"/>
  <c r="W25" i="25"/>
  <c r="X27" i="25"/>
  <c r="X24" i="25"/>
  <c r="X26" i="25"/>
  <c r="X25" i="25"/>
  <c r="S40" i="25"/>
  <c r="S42" i="25"/>
  <c r="S41" i="25"/>
  <c r="S43" i="25"/>
  <c r="Y40" i="25"/>
  <c r="Y42" i="25"/>
  <c r="Y41" i="25"/>
  <c r="Y43" i="25"/>
  <c r="W40" i="25"/>
  <c r="W42" i="25"/>
  <c r="W41" i="25"/>
  <c r="W43" i="25"/>
  <c r="R56" i="25"/>
  <c r="R58" i="25"/>
  <c r="R57" i="25"/>
  <c r="R59" i="25"/>
  <c r="X56" i="25"/>
  <c r="X58" i="25"/>
  <c r="X57" i="25"/>
  <c r="X59" i="25"/>
  <c r="X62" i="25"/>
  <c r="X60" i="25"/>
  <c r="X61" i="25"/>
  <c r="X63" i="25"/>
  <c r="Q60" i="25"/>
  <c r="Q62" i="25"/>
  <c r="Q61" i="25"/>
  <c r="Q63" i="25"/>
  <c r="O15" i="25"/>
  <c r="O12" i="25"/>
  <c r="O14" i="25"/>
  <c r="O13" i="25"/>
  <c r="Q12" i="25"/>
  <c r="Q13" i="25"/>
  <c r="Q15" i="25"/>
  <c r="Q14" i="25"/>
  <c r="P13" i="25"/>
  <c r="P14" i="25"/>
  <c r="P12" i="25"/>
  <c r="P15" i="25"/>
  <c r="P28" i="25"/>
  <c r="P30" i="25"/>
  <c r="P31" i="25"/>
  <c r="P29" i="25"/>
  <c r="Q28" i="25"/>
  <c r="Q30" i="25"/>
  <c r="Q29" i="25"/>
  <c r="Q31" i="25"/>
  <c r="O44" i="25"/>
  <c r="O46" i="25"/>
  <c r="O45" i="25"/>
  <c r="O47" i="25"/>
  <c r="W44" i="25"/>
  <c r="W46" i="25"/>
  <c r="W45" i="25"/>
  <c r="W47" i="25"/>
  <c r="P46" i="25"/>
  <c r="P44" i="25"/>
  <c r="P47" i="25"/>
  <c r="P45" i="25"/>
  <c r="Y64" i="25"/>
  <c r="Y66" i="25"/>
  <c r="Y67" i="25"/>
  <c r="Y65" i="25"/>
  <c r="W64" i="25"/>
  <c r="W66" i="25"/>
  <c r="W65" i="25"/>
  <c r="W67" i="25"/>
  <c r="U16" i="25"/>
  <c r="U19" i="25"/>
  <c r="U18" i="25"/>
  <c r="U17" i="25"/>
  <c r="X16" i="25"/>
  <c r="X18" i="25"/>
  <c r="X17" i="25"/>
  <c r="X19" i="25"/>
  <c r="Q19" i="25"/>
  <c r="Q16" i="25"/>
  <c r="Q17" i="25"/>
  <c r="Q18" i="25"/>
  <c r="P32" i="25"/>
  <c r="P34" i="25"/>
  <c r="P35" i="25"/>
  <c r="P33" i="25"/>
  <c r="W32" i="25"/>
  <c r="W34" i="25"/>
  <c r="W33" i="25"/>
  <c r="W35" i="25"/>
  <c r="U48" i="25"/>
  <c r="U50" i="25"/>
  <c r="U51" i="25"/>
  <c r="U49" i="25"/>
  <c r="O50" i="25"/>
  <c r="O48" i="25"/>
  <c r="O49" i="25"/>
  <c r="O51" i="25"/>
  <c r="Q48" i="25"/>
  <c r="Q50" i="25"/>
  <c r="Q49" i="25"/>
  <c r="Q51" i="25"/>
  <c r="P23" i="25"/>
  <c r="P22" i="25"/>
  <c r="P21" i="25"/>
  <c r="P20" i="25"/>
  <c r="R23" i="25"/>
  <c r="R22" i="25"/>
  <c r="R20" i="25"/>
  <c r="R21" i="25"/>
  <c r="U38" i="25"/>
  <c r="U36" i="25"/>
  <c r="U37" i="25"/>
  <c r="U39" i="25"/>
  <c r="S38" i="25"/>
  <c r="S36" i="25"/>
  <c r="S39" i="25"/>
  <c r="S37" i="25"/>
  <c r="Q38" i="25"/>
  <c r="Q36" i="25"/>
  <c r="Q39" i="25"/>
  <c r="Q37" i="25"/>
  <c r="V52" i="25"/>
  <c r="V54" i="25"/>
  <c r="V53" i="25"/>
  <c r="V55" i="25"/>
  <c r="R52" i="25"/>
  <c r="R54" i="25"/>
  <c r="R53" i="25"/>
  <c r="R55" i="25"/>
  <c r="U68" i="25"/>
  <c r="U70" i="25"/>
  <c r="U69" i="25"/>
  <c r="U71" i="25"/>
  <c r="X68" i="25"/>
  <c r="X69" i="25"/>
  <c r="X71" i="25"/>
  <c r="X70" i="25"/>
  <c r="Q68" i="25"/>
  <c r="Q70" i="25"/>
  <c r="Q71" i="25"/>
  <c r="Q69" i="25"/>
  <c r="U25" i="25"/>
  <c r="U27" i="25"/>
  <c r="U24" i="25"/>
  <c r="U26" i="25"/>
  <c r="R24" i="25"/>
  <c r="R26" i="25"/>
  <c r="R25" i="25"/>
  <c r="R27" i="25"/>
  <c r="P24" i="25"/>
  <c r="P26" i="25"/>
  <c r="P25" i="25"/>
  <c r="P27" i="25"/>
  <c r="O40" i="25"/>
  <c r="O42" i="25"/>
  <c r="O43" i="25"/>
  <c r="O41" i="25"/>
  <c r="Q42" i="25"/>
  <c r="Q40" i="25"/>
  <c r="Q41" i="25"/>
  <c r="Q43" i="25"/>
  <c r="U56" i="25"/>
  <c r="U58" i="25"/>
  <c r="U57" i="25"/>
  <c r="U59" i="25"/>
  <c r="V56" i="25"/>
  <c r="V58" i="25"/>
  <c r="V57" i="25"/>
  <c r="V59" i="25"/>
  <c r="P56" i="25"/>
  <c r="P58" i="25"/>
  <c r="P59" i="25"/>
  <c r="P57" i="25"/>
  <c r="P60" i="25"/>
  <c r="P62" i="25"/>
  <c r="P61" i="25"/>
  <c r="P63" i="25"/>
  <c r="V60" i="25"/>
  <c r="V62" i="25"/>
  <c r="V61" i="25"/>
  <c r="V63" i="25"/>
  <c r="U14" i="25"/>
  <c r="U13" i="25"/>
  <c r="U15" i="25"/>
  <c r="U12" i="25"/>
  <c r="W14" i="25"/>
  <c r="W12" i="25"/>
  <c r="W13" i="25"/>
  <c r="W15" i="25"/>
  <c r="Y12" i="25"/>
  <c r="Y13" i="25"/>
  <c r="Y14" i="25"/>
  <c r="Y15" i="25"/>
  <c r="Y30" i="25"/>
  <c r="Y28" i="25"/>
  <c r="Y29" i="25"/>
  <c r="Y31" i="25"/>
  <c r="V30" i="25"/>
  <c r="V28" i="25"/>
  <c r="V31" i="25"/>
  <c r="V29" i="25"/>
  <c r="U46" i="25"/>
  <c r="U44" i="25"/>
  <c r="U45" i="25"/>
  <c r="U47" i="25"/>
  <c r="R44" i="25"/>
  <c r="R46" i="25"/>
  <c r="R45" i="25"/>
  <c r="R47" i="25"/>
  <c r="Y44" i="25"/>
  <c r="Y46" i="25"/>
  <c r="Y45" i="25"/>
  <c r="Y47" i="25"/>
  <c r="Q64" i="25"/>
  <c r="Q66" i="25"/>
  <c r="Q65" i="25"/>
  <c r="Q67" i="25"/>
  <c r="O64" i="25"/>
  <c r="O66" i="25"/>
  <c r="O65" i="25"/>
  <c r="O67" i="25"/>
  <c r="O18" i="25"/>
  <c r="O17" i="25"/>
  <c r="O16" i="25"/>
  <c r="O19" i="25"/>
  <c r="S19" i="25"/>
  <c r="S16" i="25"/>
  <c r="S18" i="25"/>
  <c r="S17" i="25"/>
  <c r="V16" i="25"/>
  <c r="V18" i="25"/>
  <c r="V19" i="25"/>
  <c r="V17" i="25"/>
  <c r="Y32" i="25"/>
  <c r="Y34" i="25"/>
  <c r="Y35" i="25"/>
  <c r="Y33" i="25"/>
  <c r="O32" i="25"/>
  <c r="O34" i="25"/>
  <c r="O33" i="25"/>
  <c r="O35" i="25"/>
  <c r="R48" i="25"/>
  <c r="R50" i="25"/>
  <c r="R49" i="25"/>
  <c r="R51" i="25"/>
  <c r="W48" i="25"/>
  <c r="W50" i="25"/>
  <c r="W51" i="25"/>
  <c r="W49" i="25"/>
  <c r="V48" i="25"/>
  <c r="V50" i="25"/>
  <c r="V49" i="25"/>
  <c r="V51" i="25"/>
  <c r="Y23" i="25"/>
  <c r="Y22" i="25"/>
  <c r="Y20" i="25"/>
  <c r="Y21" i="25"/>
  <c r="W23" i="25"/>
  <c r="W21" i="25"/>
  <c r="W22" i="25"/>
  <c r="W20" i="25"/>
  <c r="O36" i="25"/>
  <c r="O38" i="25"/>
  <c r="O39" i="25"/>
  <c r="O37" i="25"/>
  <c r="W36" i="25"/>
  <c r="W38" i="25"/>
  <c r="W37" i="25"/>
  <c r="W39" i="25"/>
  <c r="V36" i="25"/>
  <c r="V38" i="25"/>
  <c r="V37" i="25"/>
  <c r="V39" i="25"/>
  <c r="P52" i="25"/>
  <c r="P54" i="25"/>
  <c r="P53" i="25"/>
  <c r="P55" i="25"/>
  <c r="W52" i="25"/>
  <c r="W54" i="25"/>
  <c r="W53" i="25"/>
  <c r="W55" i="25"/>
  <c r="O70" i="25"/>
  <c r="O68" i="25"/>
  <c r="O69" i="25"/>
  <c r="O71" i="25"/>
  <c r="S68" i="25"/>
  <c r="S70" i="25"/>
  <c r="S71" i="25"/>
  <c r="S69" i="25"/>
  <c r="V68" i="25"/>
  <c r="V69" i="25"/>
  <c r="V71" i="25"/>
  <c r="V70" i="25"/>
  <c r="V24" i="25"/>
  <c r="V26" i="25"/>
  <c r="V25" i="25"/>
  <c r="V27" i="25"/>
  <c r="O24" i="25"/>
  <c r="O26" i="25"/>
  <c r="O25" i="25"/>
  <c r="O27" i="25"/>
  <c r="Y26" i="25"/>
  <c r="Y24" i="25"/>
  <c r="Y27" i="25"/>
  <c r="Y25" i="25"/>
  <c r="X40" i="25"/>
  <c r="X42" i="25"/>
  <c r="X41" i="25"/>
  <c r="X43" i="25"/>
  <c r="V40" i="25"/>
  <c r="V42" i="25"/>
  <c r="V43" i="25"/>
  <c r="V41" i="25"/>
  <c r="Q56" i="25"/>
  <c r="Q58" i="25"/>
  <c r="Q59" i="25"/>
  <c r="Q57" i="25"/>
  <c r="O56" i="25"/>
  <c r="O58" i="25"/>
  <c r="O57" i="25"/>
  <c r="O59" i="25"/>
  <c r="Y56" i="25"/>
  <c r="Y58" i="25"/>
  <c r="Y57" i="25"/>
  <c r="Y59" i="25"/>
  <c r="U60" i="25"/>
  <c r="U62" i="25"/>
  <c r="U61" i="25"/>
  <c r="U63" i="25"/>
  <c r="Y62" i="25"/>
  <c r="Y60" i="25"/>
  <c r="Y61" i="25"/>
  <c r="Y63" i="25"/>
  <c r="R60" i="25"/>
  <c r="R62" i="25"/>
  <c r="R63" i="25"/>
  <c r="R61" i="25"/>
  <c r="R13" i="25"/>
  <c r="R14" i="25"/>
  <c r="R12" i="25"/>
  <c r="R15" i="25"/>
  <c r="S12" i="25"/>
  <c r="S15" i="25"/>
  <c r="S14" i="25"/>
  <c r="S13" i="25"/>
  <c r="U28" i="25"/>
  <c r="U30" i="25"/>
  <c r="U31" i="25"/>
  <c r="U29" i="25"/>
  <c r="S28" i="25"/>
  <c r="S30" i="25"/>
  <c r="S29" i="25"/>
  <c r="S31" i="25"/>
  <c r="R28" i="25"/>
  <c r="R30" i="25"/>
  <c r="R29" i="25"/>
  <c r="R31" i="25"/>
  <c r="V44" i="25"/>
  <c r="V46" i="25"/>
  <c r="V45" i="25"/>
  <c r="V47" i="25"/>
  <c r="S44" i="25"/>
  <c r="S46" i="25"/>
  <c r="S45" i="25"/>
  <c r="S47" i="25"/>
  <c r="U64" i="25"/>
  <c r="U66" i="25"/>
  <c r="U65" i="25"/>
  <c r="U67" i="25"/>
  <c r="V66" i="25"/>
  <c r="V64" i="25"/>
  <c r="V67" i="25"/>
  <c r="V65" i="25"/>
  <c r="S66" i="25"/>
  <c r="S64" i="25"/>
  <c r="S67" i="25"/>
  <c r="S65" i="25"/>
  <c r="W16" i="25"/>
  <c r="W17" i="25"/>
  <c r="W18" i="25"/>
  <c r="W19" i="25"/>
  <c r="P18" i="25"/>
  <c r="P19" i="25"/>
  <c r="P17" i="25"/>
  <c r="P16" i="25"/>
  <c r="U32" i="25"/>
  <c r="U34" i="25"/>
  <c r="U33" i="25"/>
  <c r="U35" i="25"/>
  <c r="Q32" i="25"/>
  <c r="Q34" i="25"/>
  <c r="Q33" i="25"/>
  <c r="Q35" i="25"/>
  <c r="S34" i="25"/>
  <c r="S32" i="25"/>
  <c r="S33" i="25"/>
  <c r="S35" i="25"/>
  <c r="X50" i="25"/>
  <c r="X48" i="25"/>
  <c r="X51" i="25"/>
  <c r="X49" i="25"/>
  <c r="P48" i="25"/>
  <c r="P50" i="25"/>
  <c r="P51" i="25"/>
  <c r="P49" i="25"/>
  <c r="O23" i="25"/>
  <c r="O22" i="25"/>
  <c r="O21" i="25"/>
  <c r="O20" i="25"/>
  <c r="Q23" i="25"/>
  <c r="Q22" i="25"/>
  <c r="Q21" i="25"/>
  <c r="Q20" i="25"/>
  <c r="S23" i="25"/>
  <c r="S21" i="25"/>
  <c r="S22" i="25"/>
  <c r="S20" i="25"/>
  <c r="R36" i="25"/>
  <c r="R38" i="25"/>
  <c r="R39" i="25"/>
  <c r="R37" i="25"/>
  <c r="P36" i="25"/>
  <c r="P38" i="25"/>
  <c r="P37" i="25"/>
  <c r="P39" i="25"/>
  <c r="U52" i="25"/>
  <c r="U54" i="25"/>
  <c r="U53" i="25"/>
  <c r="U55" i="25"/>
  <c r="Y54" i="25"/>
  <c r="Y52" i="25"/>
  <c r="Y53" i="25"/>
  <c r="Y55" i="25"/>
  <c r="S54" i="25"/>
  <c r="S52" i="25"/>
  <c r="S55" i="25"/>
  <c r="S53" i="25"/>
  <c r="W68" i="25"/>
  <c r="W70" i="25"/>
  <c r="W69" i="25"/>
  <c r="W71" i="25"/>
  <c r="P68" i="25"/>
  <c r="P71" i="25"/>
  <c r="P70" i="25"/>
  <c r="P69" i="25"/>
  <c r="G160" i="25"/>
  <c r="J160" i="25"/>
  <c r="K103" i="25"/>
  <c r="K160" i="25" s="1"/>
  <c r="A71" i="25"/>
  <c r="A70" i="25"/>
  <c r="A69" i="25"/>
  <c r="A67" i="25"/>
  <c r="A66" i="25"/>
  <c r="A65" i="25"/>
  <c r="A63" i="25"/>
  <c r="A62" i="25"/>
  <c r="A61" i="25"/>
  <c r="A59" i="25"/>
  <c r="A58" i="25"/>
  <c r="A57" i="25"/>
  <c r="A55" i="25"/>
  <c r="A54" i="25"/>
  <c r="A53" i="25"/>
  <c r="A51" i="25"/>
  <c r="A50" i="25"/>
  <c r="A49" i="25"/>
  <c r="A47" i="25"/>
  <c r="A46" i="25"/>
  <c r="A45" i="25"/>
  <c r="A43" i="25"/>
  <c r="A42" i="25"/>
  <c r="A41" i="25"/>
  <c r="A39" i="25"/>
  <c r="A38" i="25"/>
  <c r="A37" i="25"/>
  <c r="A35" i="25"/>
  <c r="A34" i="25"/>
  <c r="A33" i="25"/>
  <c r="A31" i="25"/>
  <c r="A30" i="25"/>
  <c r="A29" i="25"/>
  <c r="A27" i="25"/>
  <c r="A26" i="25"/>
  <c r="A25" i="25"/>
  <c r="A23" i="25"/>
  <c r="A22" i="25"/>
  <c r="A21" i="25"/>
  <c r="A19" i="25"/>
  <c r="A18" i="25"/>
  <c r="A17" i="25"/>
  <c r="A15" i="25"/>
  <c r="A14" i="25"/>
  <c r="A13" i="25"/>
  <c r="B39" i="27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G12" i="25" l="1"/>
  <c r="K12" i="25" s="1"/>
  <c r="G48" i="25"/>
  <c r="K48" i="25" s="1"/>
  <c r="F60" i="25"/>
  <c r="J60" i="25" s="1"/>
  <c r="G60" i="25"/>
  <c r="K60" i="25" s="1"/>
  <c r="F242" i="25"/>
  <c r="J242" i="25" s="1"/>
  <c r="F231" i="25"/>
  <c r="F244" i="25"/>
  <c r="J244" i="25" s="1"/>
  <c r="F241" i="25"/>
  <c r="J241" i="25" s="1"/>
  <c r="G52" i="25"/>
  <c r="K52" i="25" s="1"/>
  <c r="G243" i="25"/>
  <c r="K243" i="25" s="1"/>
  <c r="G240" i="25"/>
  <c r="K240" i="25" s="1"/>
  <c r="G232" i="25"/>
  <c r="K232" i="25" s="1"/>
  <c r="F20" i="25"/>
  <c r="J20" i="25" s="1"/>
  <c r="F44" i="25"/>
  <c r="J44" i="25" s="1"/>
  <c r="F64" i="25"/>
  <c r="J64" i="25" s="1"/>
  <c r="F48" i="25"/>
  <c r="J48" i="25" s="1"/>
  <c r="G242" i="25"/>
  <c r="K242" i="25" s="1"/>
  <c r="G56" i="25"/>
  <c r="K56" i="25" s="1"/>
  <c r="G239" i="25"/>
  <c r="K239" i="25" s="1"/>
  <c r="G24" i="25"/>
  <c r="K24" i="25" s="1"/>
  <c r="G241" i="25"/>
  <c r="K241" i="25" s="1"/>
  <c r="F243" i="25"/>
  <c r="J243" i="25" s="1"/>
  <c r="F240" i="25"/>
  <c r="J240" i="25" s="1"/>
  <c r="G44" i="25"/>
  <c r="K44" i="25" s="1"/>
  <c r="G64" i="25"/>
  <c r="K64" i="25" s="1"/>
  <c r="G32" i="25"/>
  <c r="K32" i="25" s="1"/>
  <c r="F16" i="25"/>
  <c r="J16" i="25" s="1"/>
  <c r="F28" i="25"/>
  <c r="J28" i="25" s="1"/>
  <c r="F239" i="25"/>
  <c r="J239" i="25" s="1"/>
  <c r="F24" i="25"/>
  <c r="J24" i="25" s="1"/>
  <c r="G68" i="25"/>
  <c r="K68" i="25" s="1"/>
  <c r="F68" i="25"/>
  <c r="J68" i="25" s="1"/>
  <c r="F52" i="25"/>
  <c r="J52" i="25" s="1"/>
  <c r="G36" i="25"/>
  <c r="K36" i="25" s="1"/>
  <c r="F36" i="25"/>
  <c r="J36" i="25" s="1"/>
  <c r="G20" i="25"/>
  <c r="K20" i="25" s="1"/>
  <c r="F232" i="25"/>
  <c r="J232" i="25" s="1"/>
  <c r="G16" i="25"/>
  <c r="K16" i="25" s="1"/>
  <c r="F32" i="25"/>
  <c r="J32" i="25" s="1"/>
  <c r="G28" i="25"/>
  <c r="K28" i="25" s="1"/>
  <c r="F56" i="25"/>
  <c r="J56" i="25" s="1"/>
  <c r="G231" i="25"/>
  <c r="G40" i="25"/>
  <c r="K40" i="25" s="1"/>
  <c r="F40" i="25"/>
  <c r="J40" i="25" s="1"/>
  <c r="T13" i="25"/>
  <c r="N13" i="25"/>
  <c r="T15" i="25"/>
  <c r="N15" i="25"/>
  <c r="T18" i="25"/>
  <c r="N18" i="25"/>
  <c r="T21" i="25"/>
  <c r="N21" i="25"/>
  <c r="T23" i="25"/>
  <c r="N23" i="25"/>
  <c r="T26" i="25"/>
  <c r="N26" i="25"/>
  <c r="T29" i="25"/>
  <c r="N29" i="25"/>
  <c r="T31" i="25"/>
  <c r="N31" i="25"/>
  <c r="T34" i="25"/>
  <c r="N34" i="25"/>
  <c r="T37" i="25"/>
  <c r="N37" i="25"/>
  <c r="T39" i="25"/>
  <c r="N39" i="25"/>
  <c r="T42" i="25"/>
  <c r="N42" i="25"/>
  <c r="T45" i="25"/>
  <c r="N45" i="25"/>
  <c r="T47" i="25"/>
  <c r="N47" i="25"/>
  <c r="T50" i="25"/>
  <c r="N50" i="25"/>
  <c r="T53" i="25"/>
  <c r="N53" i="25"/>
  <c r="T55" i="25"/>
  <c r="N55" i="25"/>
  <c r="T58" i="25"/>
  <c r="N58" i="25"/>
  <c r="T61" i="25"/>
  <c r="N61" i="25"/>
  <c r="T63" i="25"/>
  <c r="N63" i="25"/>
  <c r="T66" i="25"/>
  <c r="N66" i="25"/>
  <c r="T69" i="25"/>
  <c r="N69" i="25"/>
  <c r="T71" i="25"/>
  <c r="N71" i="25"/>
  <c r="T14" i="25"/>
  <c r="N14" i="25"/>
  <c r="T17" i="25"/>
  <c r="N17" i="25"/>
  <c r="T19" i="25"/>
  <c r="N19" i="25"/>
  <c r="T22" i="25"/>
  <c r="N22" i="25"/>
  <c r="T25" i="25"/>
  <c r="N25" i="25"/>
  <c r="T27" i="25"/>
  <c r="N27" i="25"/>
  <c r="T30" i="25"/>
  <c r="N30" i="25"/>
  <c r="T33" i="25"/>
  <c r="N33" i="25"/>
  <c r="T35" i="25"/>
  <c r="N35" i="25"/>
  <c r="T38" i="25"/>
  <c r="N38" i="25"/>
  <c r="T41" i="25"/>
  <c r="N41" i="25"/>
  <c r="T43" i="25"/>
  <c r="N43" i="25"/>
  <c r="T46" i="25"/>
  <c r="N46" i="25"/>
  <c r="T49" i="25"/>
  <c r="N49" i="25"/>
  <c r="T51" i="25"/>
  <c r="N51" i="25"/>
  <c r="T54" i="25"/>
  <c r="N54" i="25"/>
  <c r="T57" i="25"/>
  <c r="N57" i="25"/>
  <c r="T59" i="25"/>
  <c r="N59" i="25"/>
  <c r="T62" i="25"/>
  <c r="N62" i="25"/>
  <c r="T65" i="25"/>
  <c r="N65" i="25"/>
  <c r="T67" i="25"/>
  <c r="N67" i="25"/>
  <c r="T70" i="25"/>
  <c r="N70" i="25"/>
  <c r="I111" i="25"/>
  <c r="I135" i="25"/>
  <c r="I134" i="25"/>
  <c r="I125" i="25"/>
  <c r="I103" i="25"/>
  <c r="I104" i="25"/>
  <c r="I112" i="25"/>
  <c r="I139" i="25"/>
  <c r="I140" i="25"/>
  <c r="I138" i="25"/>
  <c r="I110" i="25"/>
  <c r="I136" i="25"/>
  <c r="I124" i="25"/>
  <c r="I123" i="25"/>
  <c r="I122" i="25"/>
  <c r="I105" i="25"/>
  <c r="I102" i="25"/>
  <c r="I141" i="25"/>
  <c r="D252" i="25"/>
  <c r="D250" i="25"/>
  <c r="D251" i="25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5" i="27"/>
  <c r="F12" i="25" l="1"/>
  <c r="I12" i="25" s="1"/>
  <c r="K246" i="25"/>
  <c r="K231" i="25"/>
  <c r="K234" i="25" s="1"/>
  <c r="G234" i="25"/>
  <c r="G246" i="25"/>
  <c r="I44" i="25"/>
  <c r="I231" i="25"/>
  <c r="J231" i="25"/>
  <c r="J234" i="25" s="1"/>
  <c r="I239" i="25"/>
  <c r="I243" i="25"/>
  <c r="I244" i="25"/>
  <c r="I242" i="25"/>
  <c r="I240" i="25"/>
  <c r="I241" i="25"/>
  <c r="F13" i="25"/>
  <c r="J13" i="25" s="1"/>
  <c r="F70" i="25"/>
  <c r="J70" i="25" s="1"/>
  <c r="F67" i="25"/>
  <c r="J67" i="25" s="1"/>
  <c r="F65" i="25"/>
  <c r="F62" i="25"/>
  <c r="J62" i="25" s="1"/>
  <c r="F59" i="25"/>
  <c r="F57" i="25"/>
  <c r="F54" i="25"/>
  <c r="J54" i="25" s="1"/>
  <c r="F51" i="25"/>
  <c r="F49" i="25"/>
  <c r="J49" i="25" s="1"/>
  <c r="F46" i="25"/>
  <c r="F43" i="25"/>
  <c r="J43" i="25" s="1"/>
  <c r="F41" i="25"/>
  <c r="J41" i="25" s="1"/>
  <c r="F38" i="25"/>
  <c r="F35" i="25"/>
  <c r="J35" i="25" s="1"/>
  <c r="F33" i="25"/>
  <c r="J33" i="25" s="1"/>
  <c r="F30" i="25"/>
  <c r="F27" i="25"/>
  <c r="F25" i="25"/>
  <c r="J25" i="25" s="1"/>
  <c r="F22" i="25"/>
  <c r="F19" i="25"/>
  <c r="J19" i="25" s="1"/>
  <c r="F17" i="25"/>
  <c r="J17" i="25" s="1"/>
  <c r="F14" i="25"/>
  <c r="J14" i="25" s="1"/>
  <c r="F71" i="25"/>
  <c r="F69" i="25"/>
  <c r="F66" i="25"/>
  <c r="J66" i="25" s="1"/>
  <c r="F63" i="25"/>
  <c r="F61" i="25"/>
  <c r="F58" i="25"/>
  <c r="J58" i="25" s="1"/>
  <c r="F55" i="25"/>
  <c r="F53" i="25"/>
  <c r="F50" i="25"/>
  <c r="F47" i="25"/>
  <c r="J47" i="25" s="1"/>
  <c r="F45" i="25"/>
  <c r="J45" i="25" s="1"/>
  <c r="F42" i="25"/>
  <c r="J42" i="25" s="1"/>
  <c r="F39" i="25"/>
  <c r="J39" i="25" s="1"/>
  <c r="F37" i="25"/>
  <c r="J37" i="25" s="1"/>
  <c r="F34" i="25"/>
  <c r="F31" i="25"/>
  <c r="F29" i="25"/>
  <c r="F26" i="25"/>
  <c r="J26" i="25" s="1"/>
  <c r="F23" i="25"/>
  <c r="F21" i="25"/>
  <c r="J21" i="25" s="1"/>
  <c r="F18" i="25"/>
  <c r="J18" i="25" s="1"/>
  <c r="F15" i="25"/>
  <c r="G70" i="25"/>
  <c r="K70" i="25" s="1"/>
  <c r="G67" i="25"/>
  <c r="K67" i="25" s="1"/>
  <c r="G65" i="25"/>
  <c r="K65" i="25" s="1"/>
  <c r="G62" i="25"/>
  <c r="K62" i="25" s="1"/>
  <c r="G59" i="25"/>
  <c r="K59" i="25" s="1"/>
  <c r="G57" i="25"/>
  <c r="K57" i="25" s="1"/>
  <c r="G54" i="25"/>
  <c r="K54" i="25" s="1"/>
  <c r="G51" i="25"/>
  <c r="K51" i="25" s="1"/>
  <c r="G49" i="25"/>
  <c r="K49" i="25" s="1"/>
  <c r="G46" i="25"/>
  <c r="K46" i="25" s="1"/>
  <c r="G43" i="25"/>
  <c r="K43" i="25" s="1"/>
  <c r="G41" i="25"/>
  <c r="K41" i="25" s="1"/>
  <c r="G38" i="25"/>
  <c r="K38" i="25" s="1"/>
  <c r="G35" i="25"/>
  <c r="K35" i="25" s="1"/>
  <c r="G33" i="25"/>
  <c r="K33" i="25" s="1"/>
  <c r="G30" i="25"/>
  <c r="K30" i="25" s="1"/>
  <c r="G27" i="25"/>
  <c r="K27" i="25" s="1"/>
  <c r="G25" i="25"/>
  <c r="K25" i="25" s="1"/>
  <c r="G22" i="25"/>
  <c r="K22" i="25" s="1"/>
  <c r="G19" i="25"/>
  <c r="K19" i="25" s="1"/>
  <c r="G17" i="25"/>
  <c r="K17" i="25" s="1"/>
  <c r="G14" i="25"/>
  <c r="K14" i="25" s="1"/>
  <c r="G71" i="25"/>
  <c r="K71" i="25" s="1"/>
  <c r="G69" i="25"/>
  <c r="K69" i="25" s="1"/>
  <c r="G66" i="25"/>
  <c r="K66" i="25" s="1"/>
  <c r="G63" i="25"/>
  <c r="K63" i="25" s="1"/>
  <c r="G61" i="25"/>
  <c r="K61" i="25" s="1"/>
  <c r="G58" i="25"/>
  <c r="K58" i="25" s="1"/>
  <c r="G55" i="25"/>
  <c r="K55" i="25" s="1"/>
  <c r="G53" i="25"/>
  <c r="K53" i="25" s="1"/>
  <c r="G50" i="25"/>
  <c r="K50" i="25" s="1"/>
  <c r="G47" i="25"/>
  <c r="K47" i="25" s="1"/>
  <c r="G45" i="25"/>
  <c r="K45" i="25" s="1"/>
  <c r="G42" i="25"/>
  <c r="K42" i="25" s="1"/>
  <c r="G39" i="25"/>
  <c r="K39" i="25" s="1"/>
  <c r="G37" i="25"/>
  <c r="K37" i="25" s="1"/>
  <c r="G34" i="25"/>
  <c r="K34" i="25" s="1"/>
  <c r="G31" i="25"/>
  <c r="K31" i="25" s="1"/>
  <c r="G29" i="25"/>
  <c r="K29" i="25" s="1"/>
  <c r="G26" i="25"/>
  <c r="K26" i="25" s="1"/>
  <c r="G23" i="25"/>
  <c r="K23" i="25" s="1"/>
  <c r="G21" i="25"/>
  <c r="K21" i="25" s="1"/>
  <c r="G18" i="25"/>
  <c r="K18" i="25" s="1"/>
  <c r="G15" i="25"/>
  <c r="K15" i="25" s="1"/>
  <c r="G13" i="25"/>
  <c r="K13" i="25" s="1"/>
  <c r="I232" i="25"/>
  <c r="I48" i="25"/>
  <c r="I20" i="25"/>
  <c r="I32" i="25"/>
  <c r="I133" i="25"/>
  <c r="I40" i="25"/>
  <c r="I143" i="25"/>
  <c r="I144" i="25"/>
  <c r="I52" i="25"/>
  <c r="I129" i="25"/>
  <c r="I126" i="25"/>
  <c r="I121" i="25"/>
  <c r="I149" i="25"/>
  <c r="I148" i="25"/>
  <c r="I56" i="25"/>
  <c r="I117" i="25"/>
  <c r="I24" i="25"/>
  <c r="I114" i="25"/>
  <c r="I151" i="25"/>
  <c r="I150" i="25"/>
  <c r="I158" i="25"/>
  <c r="I156" i="25"/>
  <c r="I109" i="25"/>
  <c r="I155" i="25"/>
  <c r="I64" i="25"/>
  <c r="I153" i="25"/>
  <c r="I131" i="25"/>
  <c r="I132" i="25"/>
  <c r="I130" i="25"/>
  <c r="I145" i="25"/>
  <c r="I142" i="25"/>
  <c r="I128" i="25"/>
  <c r="I127" i="25"/>
  <c r="I36" i="25"/>
  <c r="I120" i="25"/>
  <c r="I119" i="25"/>
  <c r="I28" i="25"/>
  <c r="I118" i="25"/>
  <c r="I147" i="25"/>
  <c r="I146" i="25"/>
  <c r="I115" i="25"/>
  <c r="I116" i="25"/>
  <c r="I152" i="25"/>
  <c r="I60" i="25"/>
  <c r="I157" i="25"/>
  <c r="I68" i="25"/>
  <c r="I107" i="25"/>
  <c r="I108" i="25"/>
  <c r="I16" i="25"/>
  <c r="I106" i="25"/>
  <c r="I154" i="25"/>
  <c r="I113" i="25"/>
  <c r="I137" i="25"/>
  <c r="K73" i="25" l="1"/>
  <c r="I160" i="25"/>
  <c r="G73" i="25"/>
  <c r="J12" i="25"/>
  <c r="I67" i="25"/>
  <c r="I21" i="25"/>
  <c r="I234" i="25"/>
  <c r="I246" i="25"/>
  <c r="J246" i="25"/>
  <c r="I14" i="25"/>
  <c r="I42" i="25"/>
  <c r="I23" i="25"/>
  <c r="J23" i="25"/>
  <c r="I34" i="25"/>
  <c r="J34" i="25"/>
  <c r="I55" i="25"/>
  <c r="J55" i="25"/>
  <c r="I27" i="25"/>
  <c r="J27" i="25"/>
  <c r="I38" i="25"/>
  <c r="J38" i="25"/>
  <c r="I59" i="25"/>
  <c r="J59" i="25"/>
  <c r="I15" i="25"/>
  <c r="J15" i="25"/>
  <c r="I69" i="25"/>
  <c r="J69" i="25"/>
  <c r="I30" i="25"/>
  <c r="J30" i="25"/>
  <c r="I51" i="25"/>
  <c r="J51" i="25"/>
  <c r="I29" i="25"/>
  <c r="J29" i="25"/>
  <c r="I50" i="25"/>
  <c r="J50" i="25"/>
  <c r="I61" i="25"/>
  <c r="J61" i="25"/>
  <c r="I71" i="25"/>
  <c r="J71" i="25"/>
  <c r="I22" i="25"/>
  <c r="J22" i="25"/>
  <c r="I65" i="25"/>
  <c r="J65" i="25"/>
  <c r="I31" i="25"/>
  <c r="J31" i="25"/>
  <c r="I53" i="25"/>
  <c r="J53" i="25"/>
  <c r="I63" i="25"/>
  <c r="J63" i="25"/>
  <c r="I46" i="25"/>
  <c r="J46" i="25"/>
  <c r="I57" i="25"/>
  <c r="J57" i="25"/>
  <c r="I58" i="25"/>
  <c r="I19" i="25"/>
  <c r="I13" i="25"/>
  <c r="I26" i="25"/>
  <c r="I94" i="25"/>
  <c r="J94" i="25"/>
  <c r="I17" i="25"/>
  <c r="I18" i="25"/>
  <c r="I70" i="25"/>
  <c r="I33" i="25"/>
  <c r="I49" i="25"/>
  <c r="I39" i="25"/>
  <c r="I41" i="25"/>
  <c r="I47" i="25"/>
  <c r="I35" i="25"/>
  <c r="I43" i="25"/>
  <c r="I54" i="25"/>
  <c r="I45" i="25"/>
  <c r="I66" i="25"/>
  <c r="I62" i="25"/>
  <c r="I25" i="25"/>
  <c r="I37" i="25"/>
  <c r="J73" i="25" l="1"/>
  <c r="I73" i="25"/>
  <c r="F144" i="29" l="1"/>
  <c r="F146" i="29" s="1"/>
  <c r="F145" i="29"/>
  <c r="X4" i="37"/>
  <c r="Y177" i="25" l="1"/>
  <c r="Y176" i="25"/>
  <c r="V180" i="25"/>
  <c r="V215" i="25"/>
  <c r="W189" i="25"/>
  <c r="P206" i="25"/>
  <c r="V220" i="25"/>
  <c r="W216" i="25"/>
  <c r="Q174" i="25"/>
  <c r="Y185" i="25"/>
  <c r="Q207" i="25"/>
  <c r="W190" i="25"/>
  <c r="O201" i="25"/>
  <c r="U168" i="25"/>
  <c r="V211" i="25"/>
  <c r="Y208" i="25"/>
  <c r="Q192" i="25"/>
  <c r="S199" i="25"/>
  <c r="R194" i="25"/>
  <c r="R191" i="25"/>
  <c r="Y224" i="25"/>
  <c r="R203" i="25"/>
  <c r="W210" i="25"/>
  <c r="P221" i="25"/>
  <c r="P189" i="25"/>
  <c r="F133" i="29"/>
  <c r="F135" i="29" s="1"/>
  <c r="F134" i="29"/>
  <c r="S174" i="25" l="1"/>
  <c r="S177" i="25"/>
  <c r="S211" i="25"/>
  <c r="O220" i="25"/>
  <c r="S207" i="25"/>
  <c r="P194" i="25"/>
  <c r="S210" i="25"/>
  <c r="P224" i="25"/>
  <c r="X220" i="25"/>
  <c r="O180" i="25"/>
  <c r="X201" i="25"/>
  <c r="W177" i="25"/>
  <c r="O192" i="25"/>
  <c r="O224" i="25"/>
  <c r="O174" i="25"/>
  <c r="O207" i="25"/>
  <c r="V207" i="25"/>
  <c r="V210" i="25"/>
  <c r="V174" i="25"/>
  <c r="V224" i="25"/>
  <c r="S220" i="25"/>
  <c r="O211" i="25"/>
  <c r="Y211" i="25"/>
  <c r="W180" i="25"/>
  <c r="V201" i="25"/>
  <c r="U177" i="25"/>
  <c r="X177" i="25"/>
  <c r="P177" i="25"/>
  <c r="X194" i="25"/>
  <c r="O189" i="25"/>
  <c r="O216" i="25"/>
  <c r="R208" i="25"/>
  <c r="U174" i="25"/>
  <c r="U224" i="25"/>
  <c r="W207" i="25"/>
  <c r="X207" i="25"/>
  <c r="Q210" i="25"/>
  <c r="X210" i="25"/>
  <c r="Y174" i="25"/>
  <c r="X174" i="25"/>
  <c r="W224" i="25"/>
  <c r="R224" i="25"/>
  <c r="P220" i="25"/>
  <c r="R220" i="25"/>
  <c r="W211" i="25"/>
  <c r="P211" i="25"/>
  <c r="S180" i="25"/>
  <c r="Y180" i="25"/>
  <c r="X180" i="25"/>
  <c r="U201" i="25"/>
  <c r="P201" i="25"/>
  <c r="S201" i="25"/>
  <c r="O194" i="25"/>
  <c r="Y194" i="25"/>
  <c r="S194" i="25"/>
  <c r="W192" i="25"/>
  <c r="Y189" i="25"/>
  <c r="W185" i="25"/>
  <c r="X190" i="25"/>
  <c r="Q168" i="25"/>
  <c r="S221" i="25"/>
  <c r="Q203" i="25"/>
  <c r="V191" i="25"/>
  <c r="O208" i="25"/>
  <c r="Q215" i="25"/>
  <c r="V176" i="25"/>
  <c r="Y164" i="25"/>
  <c r="U164" i="25"/>
  <c r="Q164" i="25"/>
  <c r="X164" i="25"/>
  <c r="P164" i="25"/>
  <c r="W164" i="25"/>
  <c r="S164" i="25"/>
  <c r="O164" i="25"/>
  <c r="V164" i="25"/>
  <c r="R164" i="25"/>
  <c r="X165" i="25"/>
  <c r="P165" i="25"/>
  <c r="Y165" i="25"/>
  <c r="U165" i="25"/>
  <c r="Q165" i="25"/>
  <c r="V165" i="25"/>
  <c r="R165" i="25"/>
  <c r="W165" i="25"/>
  <c r="S165" i="25"/>
  <c r="O165" i="25"/>
  <c r="U207" i="25"/>
  <c r="O210" i="25"/>
  <c r="U210" i="25"/>
  <c r="P207" i="25"/>
  <c r="Y207" i="25"/>
  <c r="R207" i="25"/>
  <c r="P210" i="25"/>
  <c r="R210" i="25"/>
  <c r="Y210" i="25"/>
  <c r="P174" i="25"/>
  <c r="R174" i="25"/>
  <c r="W174" i="25"/>
  <c r="S224" i="25"/>
  <c r="Q224" i="25"/>
  <c r="X224" i="25"/>
  <c r="U220" i="25"/>
  <c r="Q220" i="25"/>
  <c r="Y220" i="25"/>
  <c r="W220" i="25"/>
  <c r="U211" i="25"/>
  <c r="X211" i="25"/>
  <c r="R211" i="25"/>
  <c r="Q211" i="25"/>
  <c r="U180" i="25"/>
  <c r="P180" i="25"/>
  <c r="R180" i="25"/>
  <c r="Q180" i="25"/>
  <c r="W201" i="25"/>
  <c r="Y201" i="25"/>
  <c r="Q201" i="25"/>
  <c r="R201" i="25"/>
  <c r="O177" i="25"/>
  <c r="R177" i="25"/>
  <c r="Q177" i="25"/>
  <c r="V177" i="25"/>
  <c r="U194" i="25"/>
  <c r="W194" i="25"/>
  <c r="Q194" i="25"/>
  <c r="V194" i="25"/>
  <c r="P192" i="25"/>
  <c r="X192" i="25"/>
  <c r="R192" i="25"/>
  <c r="R189" i="25"/>
  <c r="Q189" i="25"/>
  <c r="Y166" i="25"/>
  <c r="U166" i="25"/>
  <c r="Q166" i="25"/>
  <c r="X166" i="25"/>
  <c r="P166" i="25"/>
  <c r="W166" i="25"/>
  <c r="S166" i="25"/>
  <c r="O166" i="25"/>
  <c r="V166" i="25"/>
  <c r="R166" i="25"/>
  <c r="X167" i="25"/>
  <c r="P167" i="25"/>
  <c r="Y167" i="25"/>
  <c r="U167" i="25"/>
  <c r="Q167" i="25"/>
  <c r="V167" i="25"/>
  <c r="R167" i="25"/>
  <c r="W167" i="25"/>
  <c r="S167" i="25"/>
  <c r="O167" i="25"/>
  <c r="W206" i="25"/>
  <c r="X221" i="25"/>
  <c r="R185" i="25"/>
  <c r="X203" i="25"/>
  <c r="V216" i="25"/>
  <c r="S191" i="25"/>
  <c r="W208" i="25"/>
  <c r="S215" i="25"/>
  <c r="U190" i="25"/>
  <c r="S190" i="25"/>
  <c r="O168" i="25"/>
  <c r="O176" i="25"/>
  <c r="Q176" i="25"/>
  <c r="W199" i="25"/>
  <c r="Y206" i="25"/>
  <c r="O199" i="25"/>
  <c r="R199" i="25"/>
  <c r="U203" i="25"/>
  <c r="U216" i="25"/>
  <c r="U191" i="25"/>
  <c r="Q221" i="25"/>
  <c r="R221" i="25"/>
  <c r="S216" i="25"/>
  <c r="P185" i="25"/>
  <c r="V185" i="25"/>
  <c r="V203" i="25"/>
  <c r="W203" i="25"/>
  <c r="Q216" i="25"/>
  <c r="R216" i="25"/>
  <c r="P191" i="25"/>
  <c r="Y191" i="25"/>
  <c r="X208" i="25"/>
  <c r="Q208" i="25"/>
  <c r="O215" i="25"/>
  <c r="X215" i="25"/>
  <c r="W215" i="25"/>
  <c r="V190" i="25"/>
  <c r="Q190" i="25"/>
  <c r="X168" i="25"/>
  <c r="W168" i="25"/>
  <c r="P176" i="25"/>
  <c r="R176" i="25"/>
  <c r="V199" i="25"/>
  <c r="X199" i="25"/>
  <c r="U206" i="25"/>
  <c r="S206" i="25"/>
  <c r="X206" i="25"/>
  <c r="O185" i="25"/>
  <c r="O191" i="25"/>
  <c r="U221" i="25"/>
  <c r="O221" i="25"/>
  <c r="U185" i="25"/>
  <c r="O203" i="25"/>
  <c r="W221" i="25"/>
  <c r="V221" i="25"/>
  <c r="Y221" i="25"/>
  <c r="P216" i="25"/>
  <c r="X185" i="25"/>
  <c r="Q185" i="25"/>
  <c r="S185" i="25"/>
  <c r="Y203" i="25"/>
  <c r="S203" i="25"/>
  <c r="P203" i="25"/>
  <c r="X216" i="25"/>
  <c r="Y216" i="25"/>
  <c r="Q191" i="25"/>
  <c r="X191" i="25"/>
  <c r="W191" i="25"/>
  <c r="U208" i="25"/>
  <c r="S208" i="25"/>
  <c r="V208" i="25"/>
  <c r="P208" i="25"/>
  <c r="U215" i="25"/>
  <c r="R215" i="25"/>
  <c r="P215" i="25"/>
  <c r="Y215" i="25"/>
  <c r="O190" i="25"/>
  <c r="R190" i="25"/>
  <c r="P190" i="25"/>
  <c r="Y190" i="25"/>
  <c r="P168" i="25"/>
  <c r="S168" i="25"/>
  <c r="Y168" i="25"/>
  <c r="V168" i="25"/>
  <c r="R168" i="25"/>
  <c r="U176" i="25"/>
  <c r="S176" i="25"/>
  <c r="W176" i="25"/>
  <c r="X176" i="25"/>
  <c r="U199" i="25"/>
  <c r="Q199" i="25"/>
  <c r="P199" i="25"/>
  <c r="Y199" i="25"/>
  <c r="O206" i="25"/>
  <c r="R206" i="25"/>
  <c r="Q206" i="25"/>
  <c r="V206" i="25"/>
  <c r="U192" i="25"/>
  <c r="S192" i="25"/>
  <c r="V192" i="25"/>
  <c r="Y192" i="25"/>
  <c r="U189" i="25"/>
  <c r="X189" i="25"/>
  <c r="V189" i="25"/>
  <c r="S189" i="25"/>
  <c r="X209" i="25"/>
  <c r="V209" i="25"/>
  <c r="R209" i="25"/>
  <c r="S209" i="25"/>
  <c r="W209" i="25"/>
  <c r="Y209" i="25"/>
  <c r="P209" i="25"/>
  <c r="Q209" i="25"/>
  <c r="O209" i="25"/>
  <c r="U209" i="25"/>
  <c r="Q196" i="25"/>
  <c r="R196" i="25"/>
  <c r="Y196" i="25"/>
  <c r="V196" i="25"/>
  <c r="X196" i="25"/>
  <c r="W196" i="25"/>
  <c r="P196" i="25"/>
  <c r="O196" i="25"/>
  <c r="S196" i="25"/>
  <c r="U196" i="25"/>
  <c r="R213" i="25"/>
  <c r="P213" i="25"/>
  <c r="Q213" i="25"/>
  <c r="Y213" i="25"/>
  <c r="X213" i="25"/>
  <c r="S213" i="25"/>
  <c r="W213" i="25"/>
  <c r="V213" i="25"/>
  <c r="U213" i="25"/>
  <c r="O213" i="25"/>
  <c r="Q195" i="25"/>
  <c r="R195" i="25"/>
  <c r="X195" i="25"/>
  <c r="P195" i="25"/>
  <c r="V195" i="25"/>
  <c r="Y195" i="25"/>
  <c r="S195" i="25"/>
  <c r="W195" i="25"/>
  <c r="U195" i="25"/>
  <c r="O195" i="25"/>
  <c r="R204" i="25"/>
  <c r="Y204" i="25"/>
  <c r="V204" i="25"/>
  <c r="Q204" i="25"/>
  <c r="O204" i="25"/>
  <c r="X204" i="25"/>
  <c r="W204" i="25"/>
  <c r="U204" i="25"/>
  <c r="P204" i="25"/>
  <c r="S204" i="25"/>
  <c r="Y179" i="25"/>
  <c r="Q179" i="25"/>
  <c r="X179" i="25"/>
  <c r="P179" i="25"/>
  <c r="S179" i="25"/>
  <c r="V179" i="25"/>
  <c r="R179" i="25"/>
  <c r="W179" i="25"/>
  <c r="O179" i="25"/>
  <c r="U179" i="25"/>
  <c r="S205" i="25"/>
  <c r="W205" i="25"/>
  <c r="P205" i="25"/>
  <c r="R205" i="25"/>
  <c r="Q205" i="25"/>
  <c r="V205" i="25"/>
  <c r="X205" i="25"/>
  <c r="Y205" i="25"/>
  <c r="O205" i="25"/>
  <c r="U205" i="25"/>
  <c r="W217" i="25"/>
  <c r="Y217" i="25"/>
  <c r="X217" i="25"/>
  <c r="R217" i="25"/>
  <c r="P217" i="25"/>
  <c r="V217" i="25"/>
  <c r="S217" i="25"/>
  <c r="Q217" i="25"/>
  <c r="O217" i="25"/>
  <c r="U217" i="25"/>
  <c r="Q222" i="25"/>
  <c r="S222" i="25"/>
  <c r="X222" i="25"/>
  <c r="V222" i="25"/>
  <c r="W222" i="25"/>
  <c r="Y222" i="25"/>
  <c r="R222" i="25"/>
  <c r="P222" i="25"/>
  <c r="O222" i="25"/>
  <c r="U222" i="25"/>
  <c r="V212" i="25"/>
  <c r="R212" i="25"/>
  <c r="W212" i="25"/>
  <c r="X212" i="25"/>
  <c r="Q212" i="25"/>
  <c r="Y212" i="25"/>
  <c r="O212" i="25"/>
  <c r="S212" i="25"/>
  <c r="P212" i="25"/>
  <c r="U212" i="25"/>
  <c r="X198" i="25"/>
  <c r="P198" i="25"/>
  <c r="S198" i="25"/>
  <c r="V198" i="25"/>
  <c r="Q198" i="25"/>
  <c r="W198" i="25"/>
  <c r="R198" i="25"/>
  <c r="Y198" i="25"/>
  <c r="U198" i="25"/>
  <c r="O198" i="25"/>
  <c r="S218" i="25"/>
  <c r="Q218" i="25"/>
  <c r="W218" i="25"/>
  <c r="Y218" i="25"/>
  <c r="R218" i="25"/>
  <c r="P218" i="25"/>
  <c r="V218" i="25"/>
  <c r="X218" i="25"/>
  <c r="O218" i="25"/>
  <c r="U218" i="25"/>
  <c r="Y173" i="25"/>
  <c r="S173" i="25"/>
  <c r="V173" i="25"/>
  <c r="X173" i="25"/>
  <c r="Q173" i="25"/>
  <c r="W173" i="25"/>
  <c r="R173" i="25"/>
  <c r="P173" i="25"/>
  <c r="O173" i="25"/>
  <c r="U173" i="25"/>
  <c r="S169" i="25"/>
  <c r="X169" i="25"/>
  <c r="Q169" i="25"/>
  <c r="V169" i="25"/>
  <c r="P169" i="25"/>
  <c r="W169" i="25"/>
  <c r="R169" i="25"/>
  <c r="Y169" i="25"/>
  <c r="O169" i="25"/>
  <c r="U169" i="25"/>
  <c r="P193" i="25"/>
  <c r="X193" i="25"/>
  <c r="Y193" i="25"/>
  <c r="S193" i="25"/>
  <c r="W193" i="25"/>
  <c r="V193" i="25"/>
  <c r="Q193" i="25"/>
  <c r="R193" i="25"/>
  <c r="O193" i="25"/>
  <c r="U193" i="25"/>
  <c r="S171" i="25"/>
  <c r="X171" i="25"/>
  <c r="Y171" i="25"/>
  <c r="W171" i="25"/>
  <c r="R171" i="25"/>
  <c r="P171" i="25"/>
  <c r="Q171" i="25"/>
  <c r="V171" i="25"/>
  <c r="U171" i="25"/>
  <c r="O171" i="25"/>
  <c r="R186" i="25"/>
  <c r="V186" i="25"/>
  <c r="W186" i="25"/>
  <c r="P186" i="25"/>
  <c r="Q186" i="25"/>
  <c r="X186" i="25"/>
  <c r="S186" i="25"/>
  <c r="Y186" i="25"/>
  <c r="O186" i="25"/>
  <c r="U186" i="25"/>
  <c r="S178" i="25"/>
  <c r="Y178" i="25"/>
  <c r="V178" i="25"/>
  <c r="R178" i="25"/>
  <c r="W178" i="25"/>
  <c r="X178" i="25"/>
  <c r="Q178" i="25"/>
  <c r="P178" i="25"/>
  <c r="O178" i="25"/>
  <c r="U178" i="25"/>
  <c r="S170" i="25"/>
  <c r="Q170" i="25"/>
  <c r="X170" i="25"/>
  <c r="R170" i="25"/>
  <c r="Y170" i="25"/>
  <c r="V170" i="25"/>
  <c r="P170" i="25"/>
  <c r="W170" i="25"/>
  <c r="U170" i="25"/>
  <c r="O170" i="25"/>
  <c r="W200" i="25"/>
  <c r="O200" i="25"/>
  <c r="Q200" i="25"/>
  <c r="X200" i="25"/>
  <c r="V200" i="25"/>
  <c r="Y200" i="25"/>
  <c r="R200" i="25"/>
  <c r="S200" i="25"/>
  <c r="P200" i="25"/>
  <c r="U200" i="25"/>
  <c r="P182" i="25"/>
  <c r="W182" i="25"/>
  <c r="V182" i="25"/>
  <c r="Q182" i="25"/>
  <c r="R182" i="25"/>
  <c r="Y182" i="25"/>
  <c r="X182" i="25"/>
  <c r="S182" i="25"/>
  <c r="O182" i="25"/>
  <c r="U182" i="25"/>
  <c r="Y181" i="25"/>
  <c r="P181" i="25"/>
  <c r="W181" i="25"/>
  <c r="X181" i="25"/>
  <c r="R181" i="25"/>
  <c r="V181" i="25"/>
  <c r="Q181" i="25"/>
  <c r="S181" i="25"/>
  <c r="O181" i="25"/>
  <c r="U181" i="25"/>
  <c r="Q214" i="25"/>
  <c r="V214" i="25"/>
  <c r="S214" i="25"/>
  <c r="Y214" i="25"/>
  <c r="X214" i="25"/>
  <c r="W214" i="25"/>
  <c r="P214" i="25"/>
  <c r="R214" i="25"/>
  <c r="O214" i="25"/>
  <c r="U214" i="25"/>
  <c r="W219" i="25"/>
  <c r="X219" i="25"/>
  <c r="R219" i="25"/>
  <c r="Q219" i="25"/>
  <c r="Y219" i="25"/>
  <c r="V219" i="25"/>
  <c r="O219" i="25"/>
  <c r="P219" i="25"/>
  <c r="S219" i="25"/>
  <c r="U219" i="25"/>
  <c r="V187" i="25"/>
  <c r="R187" i="25"/>
  <c r="Q187" i="25"/>
  <c r="Y187" i="25"/>
  <c r="X187" i="25"/>
  <c r="W187" i="25"/>
  <c r="S187" i="25"/>
  <c r="P187" i="25"/>
  <c r="O187" i="25"/>
  <c r="U187" i="25"/>
  <c r="Q223" i="25"/>
  <c r="P223" i="25"/>
  <c r="X223" i="25"/>
  <c r="S223" i="25"/>
  <c r="V223" i="25"/>
  <c r="R223" i="25"/>
  <c r="Y223" i="25"/>
  <c r="W223" i="25"/>
  <c r="O223" i="25"/>
  <c r="U223" i="25"/>
  <c r="R175" i="25"/>
  <c r="W175" i="25"/>
  <c r="V175" i="25"/>
  <c r="Q175" i="25"/>
  <c r="S175" i="25"/>
  <c r="X175" i="25"/>
  <c r="P175" i="25"/>
  <c r="Y175" i="25"/>
  <c r="U175" i="25"/>
  <c r="O175" i="25"/>
  <c r="P197" i="25"/>
  <c r="Y197" i="25"/>
  <c r="X197" i="25"/>
  <c r="V197" i="25"/>
  <c r="S197" i="25"/>
  <c r="R197" i="25"/>
  <c r="Q197" i="25"/>
  <c r="W197" i="25"/>
  <c r="U197" i="25"/>
  <c r="O197" i="25"/>
  <c r="Y202" i="25"/>
  <c r="X202" i="25"/>
  <c r="P202" i="25"/>
  <c r="W202" i="25"/>
  <c r="V202" i="25"/>
  <c r="Q202" i="25"/>
  <c r="R202" i="25"/>
  <c r="S202" i="25"/>
  <c r="O202" i="25"/>
  <c r="U202" i="25"/>
  <c r="Y172" i="25"/>
  <c r="W172" i="25"/>
  <c r="R172" i="25"/>
  <c r="V172" i="25"/>
  <c r="X172" i="25"/>
  <c r="Q172" i="25"/>
  <c r="S172" i="25"/>
  <c r="U172" i="25"/>
  <c r="O172" i="25"/>
  <c r="P172" i="25"/>
  <c r="X183" i="25"/>
  <c r="S183" i="25"/>
  <c r="Q183" i="25"/>
  <c r="R183" i="25"/>
  <c r="V183" i="25"/>
  <c r="P183" i="25"/>
  <c r="Y183" i="25"/>
  <c r="W183" i="25"/>
  <c r="O183" i="25"/>
  <c r="U183" i="25"/>
  <c r="Q184" i="25"/>
  <c r="X184" i="25"/>
  <c r="W184" i="25"/>
  <c r="V184" i="25"/>
  <c r="R184" i="25"/>
  <c r="Y184" i="25"/>
  <c r="U184" i="25"/>
  <c r="P184" i="25"/>
  <c r="S184" i="25"/>
  <c r="O184" i="25"/>
  <c r="P188" i="25"/>
  <c r="Q188" i="25"/>
  <c r="R188" i="25"/>
  <c r="X188" i="25"/>
  <c r="Y188" i="25"/>
  <c r="W188" i="25"/>
  <c r="V188" i="25"/>
  <c r="S188" i="25"/>
  <c r="U188" i="25"/>
  <c r="O188" i="25"/>
  <c r="AA35" i="27" l="1"/>
  <c r="AA27" i="27"/>
  <c r="F169" i="25"/>
  <c r="I169" i="25" s="1"/>
  <c r="G169" i="25"/>
  <c r="K169" i="25" s="1"/>
  <c r="F192" i="25"/>
  <c r="J192" i="25" s="1"/>
  <c r="G189" i="25"/>
  <c r="K189" i="25" s="1"/>
  <c r="AG27" i="27"/>
  <c r="AA31" i="27"/>
  <c r="AD15" i="27"/>
  <c r="G190" i="25"/>
  <c r="K190" i="25" s="1"/>
  <c r="G194" i="25"/>
  <c r="K194" i="25" s="1"/>
  <c r="F180" i="25"/>
  <c r="J180" i="25" s="1"/>
  <c r="G177" i="25"/>
  <c r="K177" i="25" s="1"/>
  <c r="AG7" i="27"/>
  <c r="AA11" i="27"/>
  <c r="AD31" i="27"/>
  <c r="AA15" i="27"/>
  <c r="G210" i="25"/>
  <c r="K210" i="25" s="1"/>
  <c r="F194" i="25"/>
  <c r="J194" i="25" s="1"/>
  <c r="G180" i="25"/>
  <c r="K180" i="25" s="1"/>
  <c r="G174" i="25"/>
  <c r="K174" i="25" s="1"/>
  <c r="F211" i="25"/>
  <c r="I211" i="25" s="1"/>
  <c r="F220" i="25"/>
  <c r="I220" i="25" s="1"/>
  <c r="G224" i="25"/>
  <c r="K224" i="25" s="1"/>
  <c r="AA7" i="27"/>
  <c r="AG25" i="27"/>
  <c r="AG35" i="27"/>
  <c r="G206" i="25"/>
  <c r="K206" i="25" s="1"/>
  <c r="F177" i="25"/>
  <c r="J177" i="25" s="1"/>
  <c r="G201" i="25"/>
  <c r="K201" i="25" s="1"/>
  <c r="G211" i="25"/>
  <c r="K211" i="25" s="1"/>
  <c r="G220" i="25"/>
  <c r="K220" i="25" s="1"/>
  <c r="AG11" i="27"/>
  <c r="G208" i="25"/>
  <c r="K208" i="25" s="1"/>
  <c r="F189" i="25"/>
  <c r="J189" i="25" s="1"/>
  <c r="F224" i="25"/>
  <c r="J224" i="25" s="1"/>
  <c r="F174" i="25"/>
  <c r="I174" i="25" s="1"/>
  <c r="G207" i="25"/>
  <c r="K207" i="25" s="1"/>
  <c r="I189" i="25"/>
  <c r="AD11" i="27"/>
  <c r="F208" i="25"/>
  <c r="I208" i="25" s="1"/>
  <c r="F167" i="25"/>
  <c r="J167" i="25" s="1"/>
  <c r="F201" i="25"/>
  <c r="I201" i="25" s="1"/>
  <c r="F207" i="25"/>
  <c r="J207" i="25" s="1"/>
  <c r="F210" i="25"/>
  <c r="I210" i="25" s="1"/>
  <c r="F165" i="25"/>
  <c r="J165" i="25" s="1"/>
  <c r="I194" i="25"/>
  <c r="G167" i="25"/>
  <c r="K167" i="25" s="1"/>
  <c r="F166" i="25"/>
  <c r="G166" i="25"/>
  <c r="K166" i="25" s="1"/>
  <c r="G165" i="25"/>
  <c r="K165" i="25" s="1"/>
  <c r="F164" i="25"/>
  <c r="AA24" i="27"/>
  <c r="AA4" i="27"/>
  <c r="G164" i="25"/>
  <c r="AG24" i="27"/>
  <c r="AG4" i="27"/>
  <c r="AD24" i="27"/>
  <c r="AD4" i="27"/>
  <c r="F215" i="25"/>
  <c r="I215" i="25" s="1"/>
  <c r="F168" i="25"/>
  <c r="I168" i="25" s="1"/>
  <c r="F216" i="25"/>
  <c r="J216" i="25" s="1"/>
  <c r="G182" i="25"/>
  <c r="K182" i="25" s="1"/>
  <c r="G200" i="25"/>
  <c r="K200" i="25" s="1"/>
  <c r="G192" i="25"/>
  <c r="K192" i="25" s="1"/>
  <c r="AG15" i="27"/>
  <c r="G185" i="25"/>
  <c r="K185" i="25" s="1"/>
  <c r="AG37" i="27"/>
  <c r="F221" i="25"/>
  <c r="J221" i="25" s="1"/>
  <c r="F199" i="25"/>
  <c r="I199" i="25" s="1"/>
  <c r="F176" i="25"/>
  <c r="J176" i="25" s="1"/>
  <c r="I224" i="25"/>
  <c r="AD35" i="27"/>
  <c r="G203" i="25"/>
  <c r="K203" i="25" s="1"/>
  <c r="F206" i="25"/>
  <c r="J206" i="25" s="1"/>
  <c r="G176" i="25"/>
  <c r="K176" i="25" s="1"/>
  <c r="G168" i="25"/>
  <c r="K168" i="25" s="1"/>
  <c r="G215" i="25"/>
  <c r="K215" i="25" s="1"/>
  <c r="F185" i="25"/>
  <c r="J185" i="25" s="1"/>
  <c r="AD25" i="27"/>
  <c r="AD7" i="27"/>
  <c r="AD17" i="27"/>
  <c r="F191" i="25"/>
  <c r="I191" i="25" s="1"/>
  <c r="G199" i="25"/>
  <c r="K199" i="25" s="1"/>
  <c r="F190" i="25"/>
  <c r="I190" i="25" s="1"/>
  <c r="G191" i="25"/>
  <c r="K191" i="25" s="1"/>
  <c r="G216" i="25"/>
  <c r="K216" i="25" s="1"/>
  <c r="F203" i="25"/>
  <c r="J203" i="25" s="1"/>
  <c r="G221" i="25"/>
  <c r="K221" i="25" s="1"/>
  <c r="G170" i="25"/>
  <c r="K170" i="25" s="1"/>
  <c r="F178" i="25"/>
  <c r="I178" i="25" s="1"/>
  <c r="F186" i="25"/>
  <c r="I186" i="25" s="1"/>
  <c r="G171" i="25"/>
  <c r="K171" i="25" s="1"/>
  <c r="F193" i="25"/>
  <c r="I193" i="25" s="1"/>
  <c r="F173" i="25"/>
  <c r="I173" i="25" s="1"/>
  <c r="F218" i="25"/>
  <c r="I218" i="25" s="1"/>
  <c r="G198" i="25"/>
  <c r="K198" i="25" s="1"/>
  <c r="F217" i="25"/>
  <c r="I217" i="25" s="1"/>
  <c r="G183" i="25"/>
  <c r="K183" i="25" s="1"/>
  <c r="G172" i="25"/>
  <c r="K172" i="25" s="1"/>
  <c r="G202" i="25"/>
  <c r="K202" i="25" s="1"/>
  <c r="F197" i="25"/>
  <c r="J197" i="25" s="1"/>
  <c r="F175" i="25"/>
  <c r="I175" i="25" s="1"/>
  <c r="G223" i="25"/>
  <c r="K223" i="25" s="1"/>
  <c r="G187" i="25"/>
  <c r="K187" i="25" s="1"/>
  <c r="G219" i="25"/>
  <c r="K219" i="25" s="1"/>
  <c r="G214" i="25"/>
  <c r="K214" i="25" s="1"/>
  <c r="G181" i="25"/>
  <c r="K181" i="25" s="1"/>
  <c r="AD8" i="27"/>
  <c r="AA17" i="27"/>
  <c r="AD5" i="27"/>
  <c r="AG5" i="27"/>
  <c r="AG17" i="27"/>
  <c r="AD37" i="27"/>
  <c r="F205" i="25"/>
  <c r="I205" i="25" s="1"/>
  <c r="F179" i="25"/>
  <c r="I179" i="25" s="1"/>
  <c r="AD27" i="27"/>
  <c r="AG31" i="27"/>
  <c r="AA5" i="27"/>
  <c r="AA25" i="27"/>
  <c r="AA37" i="27"/>
  <c r="AD28" i="27"/>
  <c r="G195" i="25"/>
  <c r="K195" i="25" s="1"/>
  <c r="G213" i="25"/>
  <c r="K213" i="25" s="1"/>
  <c r="F209" i="25"/>
  <c r="I209" i="25" s="1"/>
  <c r="AG8" i="27"/>
  <c r="G188" i="25"/>
  <c r="K188" i="25" s="1"/>
  <c r="AD10" i="27"/>
  <c r="AD30" i="27"/>
  <c r="AG9" i="27"/>
  <c r="AG29" i="27"/>
  <c r="G184" i="25"/>
  <c r="K184" i="25" s="1"/>
  <c r="F183" i="25"/>
  <c r="AA26" i="27"/>
  <c r="F172" i="25"/>
  <c r="AA6" i="27"/>
  <c r="AG6" i="27"/>
  <c r="AG26" i="27"/>
  <c r="F202" i="25"/>
  <c r="G197" i="25"/>
  <c r="K197" i="25" s="1"/>
  <c r="G175" i="25"/>
  <c r="K175" i="25" s="1"/>
  <c r="F223" i="25"/>
  <c r="F187" i="25"/>
  <c r="AG38" i="27"/>
  <c r="AG18" i="27"/>
  <c r="AA38" i="27"/>
  <c r="AA18" i="27"/>
  <c r="F219" i="25"/>
  <c r="F214" i="25"/>
  <c r="F181" i="25"/>
  <c r="F182" i="25"/>
  <c r="AD13" i="27"/>
  <c r="AD33" i="27"/>
  <c r="J199" i="25"/>
  <c r="AA28" i="27"/>
  <c r="AG28" i="27"/>
  <c r="F170" i="25"/>
  <c r="G178" i="25"/>
  <c r="K178" i="25" s="1"/>
  <c r="G186" i="25"/>
  <c r="K186" i="25" s="1"/>
  <c r="F171" i="25"/>
  <c r="G193" i="25"/>
  <c r="K193" i="25" s="1"/>
  <c r="G173" i="25"/>
  <c r="K173" i="25" s="1"/>
  <c r="G218" i="25"/>
  <c r="K218" i="25" s="1"/>
  <c r="F198" i="25"/>
  <c r="G212" i="25"/>
  <c r="K212" i="25" s="1"/>
  <c r="AG16" i="27"/>
  <c r="AG36" i="27"/>
  <c r="G222" i="25"/>
  <c r="K222" i="25" s="1"/>
  <c r="AD19" i="27"/>
  <c r="AD39" i="27"/>
  <c r="AG19" i="27"/>
  <c r="AG39" i="27"/>
  <c r="G217" i="25"/>
  <c r="K217" i="25" s="1"/>
  <c r="G205" i="25"/>
  <c r="K205" i="25" s="1"/>
  <c r="G179" i="25"/>
  <c r="K179" i="25" s="1"/>
  <c r="AG14" i="27"/>
  <c r="AG34" i="27"/>
  <c r="G204" i="25"/>
  <c r="K204" i="25" s="1"/>
  <c r="F195" i="25"/>
  <c r="F213" i="25"/>
  <c r="G196" i="25"/>
  <c r="K196" i="25" s="1"/>
  <c r="AA12" i="27"/>
  <c r="AA32" i="27"/>
  <c r="F196" i="25"/>
  <c r="G209" i="25"/>
  <c r="K209" i="25" s="1"/>
  <c r="I192" i="25"/>
  <c r="F188" i="25"/>
  <c r="AA30" i="27"/>
  <c r="AA10" i="27"/>
  <c r="AG30" i="27"/>
  <c r="AG10" i="27"/>
  <c r="F184" i="25"/>
  <c r="AA29" i="27"/>
  <c r="AA9" i="27"/>
  <c r="AD29" i="27"/>
  <c r="AD9" i="27"/>
  <c r="AD26" i="27"/>
  <c r="AD6" i="27"/>
  <c r="AD18" i="27"/>
  <c r="AD38" i="27"/>
  <c r="AG13" i="27"/>
  <c r="AG33" i="27"/>
  <c r="AA13" i="27"/>
  <c r="F200" i="25"/>
  <c r="AA33" i="27"/>
  <c r="J168" i="25"/>
  <c r="AA8" i="27"/>
  <c r="J169" i="25"/>
  <c r="AD36" i="27"/>
  <c r="AD16" i="27"/>
  <c r="AA36" i="27"/>
  <c r="AA16" i="27"/>
  <c r="F212" i="25"/>
  <c r="AA19" i="27"/>
  <c r="F222" i="25"/>
  <c r="AA39" i="27"/>
  <c r="AD14" i="27"/>
  <c r="AD34" i="27"/>
  <c r="F204" i="25"/>
  <c r="AA34" i="27"/>
  <c r="AA14" i="27"/>
  <c r="AG12" i="27"/>
  <c r="AG32" i="27"/>
  <c r="AD12" i="27"/>
  <c r="AD32" i="27"/>
  <c r="I216" i="25" l="1"/>
  <c r="I180" i="25"/>
  <c r="J218" i="25"/>
  <c r="J211" i="25"/>
  <c r="K164" i="25"/>
  <c r="K226" i="25" s="1"/>
  <c r="K262" i="25" s="1"/>
  <c r="B23" i="37" s="1"/>
  <c r="G226" i="25"/>
  <c r="G261" i="25" s="1"/>
  <c r="J209" i="25"/>
  <c r="J208" i="25"/>
  <c r="I177" i="25"/>
  <c r="J186" i="25"/>
  <c r="J215" i="25"/>
  <c r="J179" i="25"/>
  <c r="J217" i="25"/>
  <c r="J193" i="25"/>
  <c r="I197" i="25"/>
  <c r="J205" i="25"/>
  <c r="J178" i="25"/>
  <c r="I176" i="25"/>
  <c r="J175" i="25"/>
  <c r="J220" i="25"/>
  <c r="J173" i="25"/>
  <c r="C8" i="31"/>
  <c r="C19" i="31"/>
  <c r="C16" i="31"/>
  <c r="C5" i="31"/>
  <c r="C4" i="31"/>
  <c r="C15" i="31"/>
  <c r="C18" i="31"/>
  <c r="C7" i="31"/>
  <c r="C17" i="31"/>
  <c r="C6" i="31"/>
  <c r="C22" i="31"/>
  <c r="C11" i="31"/>
  <c r="C21" i="31"/>
  <c r="C10" i="31"/>
  <c r="C13" i="31"/>
  <c r="C24" i="31"/>
  <c r="C23" i="31"/>
  <c r="C12" i="31"/>
  <c r="C9" i="31"/>
  <c r="C20" i="31"/>
  <c r="I203" i="25"/>
  <c r="J210" i="25"/>
  <c r="J201" i="25"/>
  <c r="I185" i="25"/>
  <c r="I206" i="25"/>
  <c r="J174" i="25"/>
  <c r="I221" i="25"/>
  <c r="J191" i="25"/>
  <c r="I165" i="25"/>
  <c r="I167" i="25"/>
  <c r="I207" i="25"/>
  <c r="J166" i="25"/>
  <c r="I166" i="25"/>
  <c r="J164" i="25"/>
  <c r="I164" i="25"/>
  <c r="J190" i="25"/>
  <c r="J204" i="25"/>
  <c r="I204" i="25"/>
  <c r="J222" i="25"/>
  <c r="I222" i="25"/>
  <c r="J212" i="25"/>
  <c r="I212" i="25"/>
  <c r="J188" i="25"/>
  <c r="I188" i="25"/>
  <c r="I195" i="25"/>
  <c r="J195" i="25"/>
  <c r="J170" i="25"/>
  <c r="I170" i="25"/>
  <c r="I181" i="25"/>
  <c r="J181" i="25"/>
  <c r="J219" i="25"/>
  <c r="I219" i="25"/>
  <c r="J223" i="25"/>
  <c r="I223" i="25"/>
  <c r="I200" i="25"/>
  <c r="J200" i="25"/>
  <c r="J184" i="25"/>
  <c r="I184" i="25"/>
  <c r="I196" i="25"/>
  <c r="J196" i="25"/>
  <c r="J213" i="25"/>
  <c r="I213" i="25"/>
  <c r="I198" i="25"/>
  <c r="J198" i="25"/>
  <c r="J171" i="25"/>
  <c r="I171" i="25"/>
  <c r="I182" i="25"/>
  <c r="J182" i="25"/>
  <c r="J214" i="25"/>
  <c r="I214" i="25"/>
  <c r="I187" i="25"/>
  <c r="J187" i="25"/>
  <c r="I202" i="25"/>
  <c r="J202" i="25"/>
  <c r="I172" i="25"/>
  <c r="J172" i="25"/>
  <c r="J183" i="25"/>
  <c r="I183" i="25"/>
  <c r="D20" i="31" l="1"/>
  <c r="EU4" i="37"/>
  <c r="D12" i="31"/>
  <c r="EJ4" i="37"/>
  <c r="D24" i="31"/>
  <c r="EZ4" i="37"/>
  <c r="EI4" i="37"/>
  <c r="D10" i="31"/>
  <c r="D11" i="31"/>
  <c r="EK4" i="37"/>
  <c r="EC4" i="37"/>
  <c r="D6" i="31"/>
  <c r="D7" i="31"/>
  <c r="EE4" i="37"/>
  <c r="EO4" i="37"/>
  <c r="D15" i="31"/>
  <c r="D5" i="31"/>
  <c r="EB4" i="37"/>
  <c r="D19" i="31"/>
  <c r="ET4" i="37"/>
  <c r="D9" i="31"/>
  <c r="EG4" i="37"/>
  <c r="EY4" i="37"/>
  <c r="D23" i="31"/>
  <c r="D13" i="31"/>
  <c r="EL4" i="37"/>
  <c r="EW4" i="37"/>
  <c r="D21" i="31"/>
  <c r="D22" i="31"/>
  <c r="EX4" i="37"/>
  <c r="EQ4" i="37"/>
  <c r="D17" i="31"/>
  <c r="D18" i="31"/>
  <c r="ES4" i="37"/>
  <c r="D4" i="31"/>
  <c r="EA4" i="37"/>
  <c r="D16" i="31"/>
  <c r="EP4" i="37"/>
  <c r="D8" i="31"/>
  <c r="EF4" i="37"/>
  <c r="I226" i="25"/>
  <c r="I261" i="25" s="1"/>
  <c r="J226" i="25"/>
  <c r="J261" i="25" s="1"/>
  <c r="J4" i="37"/>
  <c r="C26" i="31"/>
  <c r="B20" i="37" l="1"/>
  <c r="FA4" i="37"/>
  <c r="D26" i="31"/>
  <c r="D25" i="31" s="1"/>
  <c r="D14" i="31"/>
  <c r="D3" i="31"/>
  <c r="G4" i="37"/>
  <c r="H4" i="37"/>
  <c r="D143" i="29" l="1"/>
  <c r="C13" i="37" s="1"/>
  <c r="D132" i="29"/>
  <c r="Q4" i="37" s="1"/>
  <c r="D134" i="29" l="1"/>
  <c r="G134" i="29" s="1"/>
  <c r="N4" i="37" s="1"/>
  <c r="D133" i="29"/>
  <c r="D135" i="29" s="1"/>
  <c r="G135" i="29" s="1"/>
  <c r="M4" i="37" s="1"/>
  <c r="D145" i="29"/>
  <c r="G145" i="29" s="1"/>
  <c r="E21" i="37"/>
  <c r="E22" i="37" s="1"/>
  <c r="V4" i="37"/>
  <c r="D144" i="29"/>
  <c r="D146" i="29" s="1"/>
  <c r="G146" i="29" s="1"/>
  <c r="K4" i="37" l="1"/>
  <c r="B21" i="37"/>
  <c r="L4" i="37"/>
  <c r="B22" i="37"/>
</calcChain>
</file>

<file path=xl/sharedStrings.xml><?xml version="1.0" encoding="utf-8"?>
<sst xmlns="http://schemas.openxmlformats.org/spreadsheetml/2006/main" count="1853" uniqueCount="511">
  <si>
    <t>HEIGHT</t>
  </si>
  <si>
    <t>600 mm</t>
  </si>
  <si>
    <t>800 mm</t>
  </si>
  <si>
    <t>1000 mm</t>
  </si>
  <si>
    <t>WIDTH</t>
  </si>
  <si>
    <t>400A</t>
  </si>
  <si>
    <t>600A</t>
  </si>
  <si>
    <t>1000A</t>
  </si>
  <si>
    <t>1200A</t>
  </si>
  <si>
    <t>2000A</t>
  </si>
  <si>
    <t>2500A</t>
  </si>
  <si>
    <t>3000A</t>
  </si>
  <si>
    <t>4000A</t>
  </si>
  <si>
    <t>5000A</t>
  </si>
  <si>
    <t>RATING AMPS</t>
  </si>
  <si>
    <t>COST</t>
  </si>
  <si>
    <t>1650 MM</t>
  </si>
  <si>
    <t>1850 MM</t>
  </si>
  <si>
    <t>250 A</t>
  </si>
  <si>
    <t>400 A</t>
  </si>
  <si>
    <t>LENGTH</t>
  </si>
  <si>
    <t>THICK</t>
  </si>
  <si>
    <t>QTY.</t>
  </si>
  <si>
    <t>1250A</t>
  </si>
  <si>
    <t>1600A</t>
  </si>
  <si>
    <t>3200A</t>
  </si>
  <si>
    <t>RATING</t>
  </si>
  <si>
    <t>1200 mm</t>
  </si>
  <si>
    <t>630A</t>
  </si>
  <si>
    <t xml:space="preserve">800A </t>
  </si>
  <si>
    <t xml:space="preserve">630A </t>
  </si>
  <si>
    <t>2150 MM</t>
  </si>
  <si>
    <t>2300 MM</t>
  </si>
  <si>
    <t>630 A</t>
  </si>
  <si>
    <t>C-LINK</t>
  </si>
  <si>
    <t>Z-LINK</t>
  </si>
  <si>
    <t xml:space="preserve">800 A </t>
  </si>
  <si>
    <t>1000 A</t>
  </si>
  <si>
    <t>1250 A</t>
  </si>
  <si>
    <t>1600 A</t>
  </si>
  <si>
    <t>CNC (Hrs)</t>
  </si>
  <si>
    <t>SILVER PLATING PER SQ MTR THC 3 TO 5 MIC</t>
  </si>
  <si>
    <t xml:space="preserve">Current density (A/mm2) </t>
  </si>
  <si>
    <t>BUSBAR SELECTION TABLE AS PER OLD IEC</t>
  </si>
  <si>
    <t>BUSBAR SELECTION TABLE AS PER NEW IEC</t>
  </si>
  <si>
    <t>TIN</t>
  </si>
  <si>
    <t>SILVER</t>
  </si>
  <si>
    <t>TIN WITH SLEEVE</t>
  </si>
  <si>
    <t>SILVER WITH SLEEVE</t>
  </si>
  <si>
    <t>FORM1 / FORM2</t>
  </si>
  <si>
    <t>FORM3 / FORM4</t>
  </si>
  <si>
    <t>50% OF MAIN B.B</t>
  </si>
  <si>
    <t>100% OF MAIN B.B</t>
  </si>
  <si>
    <t>50% OF MAIN N.B</t>
  </si>
  <si>
    <t>100% OF MAIN N.B</t>
  </si>
  <si>
    <t xml:space="preserve">MIAN INCOMER MCCB/ACB TO HORIZ. BUS BAR </t>
  </si>
  <si>
    <t>AS PER OLD IEC</t>
  </si>
  <si>
    <t>AS PER NEW IEC</t>
  </si>
  <si>
    <t>OLD/NEW IEC</t>
  </si>
  <si>
    <t xml:space="preserve">FORM OF SEPERATIONS </t>
  </si>
  <si>
    <t>NUTERAL</t>
  </si>
  <si>
    <t>EARTH</t>
  </si>
  <si>
    <t>Busbar System</t>
  </si>
  <si>
    <t>LME COST (PER KG) (As of 19.05.2012)</t>
  </si>
  <si>
    <t>3P/4P</t>
  </si>
  <si>
    <t>3 Pole</t>
  </si>
  <si>
    <t>4 Pole</t>
  </si>
  <si>
    <t>COST OF VERTICAL BUSBAR IN MF PANEL - (3P/4P)</t>
  </si>
  <si>
    <t>HORIZONTAL BREAKER LINKS - (3P/4P)</t>
  </si>
  <si>
    <t>VERTICAL BREAKER LINKS - (3P/4P)</t>
  </si>
  <si>
    <t>UNIT COST OF HORIZONTAL BUS BAR - (3P/4P+N+E)</t>
  </si>
  <si>
    <t>UNIT COST OF MAIN INCOMING LINKS - (3P/4P)</t>
  </si>
  <si>
    <t>MIAN INCOMER MCCB/ACB TO HORIZ. BUS BAR - (3P/4P)</t>
  </si>
  <si>
    <t>M</t>
  </si>
  <si>
    <t xml:space="preserve"> (W:"1",W/O:"0")</t>
  </si>
  <si>
    <t xml:space="preserve">SLEEVES ( PER MTR)            </t>
  </si>
  <si>
    <t>WEIGHT(KG)</t>
  </si>
  <si>
    <t>6300A</t>
  </si>
  <si>
    <t>COPPER CROSS LINK WITH SILVER PLATING</t>
  </si>
  <si>
    <t>COPPER LINK Z TYPE 200A NA80123</t>
  </si>
  <si>
    <t>COPPER LINK C TYPE 200A NA80124</t>
  </si>
  <si>
    <t>COPPER CROSS LINK-TQD/TED NA80122</t>
  </si>
  <si>
    <t>COPPER LINK Z TYPE WITH SILVER PLTG 200A</t>
  </si>
  <si>
    <t>COPPER LINK C TYPE WITH SILVER PLTG 200A</t>
  </si>
  <si>
    <t xml:space="preserve">SILVER PLATING ( PER SQ MTR)            </t>
  </si>
  <si>
    <t xml:space="preserve"> TIN PLATING ( PER KG)</t>
  </si>
  <si>
    <t>(W*T*Q*P)</t>
  </si>
  <si>
    <t>INPUT</t>
  </si>
  <si>
    <t>N/A</t>
  </si>
  <si>
    <t>CROSS LINK</t>
  </si>
  <si>
    <t>MAIN INCOMING LINKS</t>
  </si>
  <si>
    <t xml:space="preserve">HORIZONTAL BUS BAR </t>
  </si>
  <si>
    <t>VERTICAL BUSBAR IN MF PANEL</t>
  </si>
  <si>
    <t>Plated</t>
  </si>
  <si>
    <t>Un-Plated</t>
  </si>
  <si>
    <t>Description (For Busbar Only)</t>
  </si>
  <si>
    <t>No.of bars</t>
  </si>
  <si>
    <t>Sleeving (Hrs)</t>
  </si>
  <si>
    <t>Busbar Techn. (Hrs)</t>
  </si>
  <si>
    <t>Qty</t>
  </si>
  <si>
    <t>Total CNC (Hrs)</t>
  </si>
  <si>
    <t>≈5</t>
  </si>
  <si>
    <t>MAIN HORIZONTAL BUS BAR 1600-2500A (3Ph+N+E)</t>
  </si>
  <si>
    <t>≈9</t>
  </si>
  <si>
    <t>MAIN HORIZONTAL BUS BAR 3000-4000A (3Ph+N+E)</t>
  </si>
  <si>
    <t>≈15</t>
  </si>
  <si>
    <t>MAIN HORIZONTAL BUS BAR 5000A (3Ph+N+E)</t>
  </si>
  <si>
    <t>≈21</t>
  </si>
  <si>
    <t>MAIN HORIZONTAL BUS BAR 6300A (3Ph+N+E)</t>
  </si>
  <si>
    <t>≈29</t>
  </si>
  <si>
    <t>≈4</t>
  </si>
  <si>
    <t>MAIN INCOMING LINKS 1600-2500A (3Ph+N)</t>
  </si>
  <si>
    <t>≈8</t>
  </si>
  <si>
    <t>MAIN INCOMING LINKS 3000-4000A (3Ph+N)</t>
  </si>
  <si>
    <t>≈14</t>
  </si>
  <si>
    <t>MAIN INCOMING LINKS 5000A  (3Ph+N)</t>
  </si>
  <si>
    <t>≈20</t>
  </si>
  <si>
    <t>MAIN INCOMING LINKS 6300A  (3Ph+N)</t>
  </si>
  <si>
    <t>≈27</t>
  </si>
  <si>
    <t>MIAN INCOMER TO HORIZ.BUS BAR 1600-2500A (3Ph+N)</t>
  </si>
  <si>
    <t>MIAN INCOMER TO HORIZ.BUS BAR 3000-4000A (3Ph+N)</t>
  </si>
  <si>
    <t>MIAN INCOMER TO HORIZ.BUS BAR 5000A (3Ph+N)</t>
  </si>
  <si>
    <t>MIAN INCOMER TO HORIZ.BUS BAR 6300A (3Ph+N)</t>
  </si>
  <si>
    <t>VERTICAL BUSBAR 1600-2500A (3Ph+N)</t>
  </si>
  <si>
    <t>VERTICAL BUSBAR 3000-4000A (3Ph+N)</t>
  </si>
  <si>
    <t>VERTICAL BUSBAR 5000A (3Ph+N)</t>
  </si>
  <si>
    <t>VERTICAL BUSBAR 6300A (3Ph+N)</t>
  </si>
  <si>
    <t xml:space="preserve">Description </t>
  </si>
  <si>
    <t>Assembly (Hrs)</t>
  </si>
  <si>
    <t>Layer + AF</t>
  </si>
  <si>
    <t>MF Enclosure Assembly ( One cubical ) -FORM-1/2</t>
  </si>
  <si>
    <t>MF Assembly  ( One cubical )-FORM-3/4</t>
  </si>
  <si>
    <t>Fixing Vertical breaker (ACB 1600-2500) , DO/FIX</t>
  </si>
  <si>
    <t>Fixing Vertical breaker (ACB 3000-3200) , DO/FIX</t>
  </si>
  <si>
    <t>Fixing Vertical breaker (ACB 4000-6300) , DO/FIX</t>
  </si>
  <si>
    <t>Note : Add the percentage to breaker time</t>
  </si>
  <si>
    <t>If there is the below so we should multiply by working factor as below</t>
  </si>
  <si>
    <t>double layer : *0.8  triple :1.2 more : *1.4</t>
  </si>
  <si>
    <t>4 pole : * 0.1</t>
  </si>
  <si>
    <t>AF : 800-1600: *.1  (MCCB only ) ,  1600-3000: * 0.3 , 3000+ *0.4</t>
  </si>
  <si>
    <t>more support: *0.2</t>
  </si>
  <si>
    <t>for sections have mccb's more than five, the total assembly = 13.5 Hr (power panel)</t>
  </si>
  <si>
    <t>for sections have mccbs and the AF less than 400A the total time =11 HR</t>
  </si>
  <si>
    <t xml:space="preserve">Lazer Engraving Machine </t>
  </si>
  <si>
    <t xml:space="preserve">Ferrule Machine </t>
  </si>
  <si>
    <t xml:space="preserve">15 letter * 15 MM = 7 min </t>
  </si>
  <si>
    <t>1.5 Meter = 2 min</t>
  </si>
  <si>
    <t>operation = 5 min</t>
  </si>
  <si>
    <t>operation = .25 Hr</t>
  </si>
  <si>
    <t>The below time includes the time of wiring + installation of wiring material in HRs</t>
  </si>
  <si>
    <t>Description</t>
  </si>
  <si>
    <t>Wiring (Hrs)</t>
  </si>
  <si>
    <t>Total WIRING time</t>
  </si>
  <si>
    <t>I.Lamps (R-Y-B)</t>
  </si>
  <si>
    <t>I.Lamps (ON-OFF-TRIP)</t>
  </si>
  <si>
    <t>Lamp Test for one Cubical</t>
  </si>
  <si>
    <t>Control for Lighting (Contactor+Timer+Photocell+ S.S)</t>
  </si>
  <si>
    <t>RCBO</t>
  </si>
  <si>
    <t>RCCB-2P</t>
  </si>
  <si>
    <t>RCCB-4P</t>
  </si>
  <si>
    <t>DIGITAL  METERING (DM + 3 CT + R-Y-B)</t>
  </si>
  <si>
    <t>ANALOGE  METERING (3 A + 1 V + V.S.S + 3 CT + R-Y-B)</t>
  </si>
  <si>
    <t>ANALOGE  METERING (1 A + A.S.S+1 V + V.S.S +3 CT + R-Y-B)</t>
  </si>
  <si>
    <t>BREAKER MOTOR</t>
  </si>
  <si>
    <t xml:space="preserve">AUX/SHUNT/UVR </t>
  </si>
  <si>
    <t>VMR (Protec relay) + SHUNT</t>
  </si>
  <si>
    <t>Earth Leakage (TRIOD + RELAY+SHUNT)</t>
  </si>
  <si>
    <t>D.O.L STARTER  (Breaker + Cont + OLR + Acess)</t>
  </si>
  <si>
    <t>Y-D STARTER (Breaker +3 Cont + OLR + Acess)</t>
  </si>
  <si>
    <t>D.O.L STARTER for D/O Module</t>
  </si>
  <si>
    <t>Y-D STARTER for D/O Module</t>
  </si>
  <si>
    <t>SOFT STARTER (Breaker + Cont +Softstarter + Acess)</t>
  </si>
  <si>
    <t>VSD STARTER (Breaker + Cont + VSD + Acess)</t>
  </si>
  <si>
    <t>FVNR STARTER SIZE 1 &amp; 2</t>
  </si>
  <si>
    <t>FVNR STARTER SIZE 3</t>
  </si>
  <si>
    <t>FVNR STARTER SIZE 4 TO 6</t>
  </si>
  <si>
    <t>AMMETER FOR STARTER (1 A +1 CT )</t>
  </si>
  <si>
    <t>ATS Controller (DATAKOM) + Battery Charger</t>
  </si>
  <si>
    <t>ATS Convenantial (Relay Type+ Acess)</t>
  </si>
  <si>
    <t>Control for 2 out of 3 (Relay Type+ Acess)</t>
  </si>
  <si>
    <t>Syncronizing Module (One Genset) + Battery Charger</t>
  </si>
  <si>
    <t>Syncro check relay</t>
  </si>
  <si>
    <t xml:space="preserve">PFC Controller </t>
  </si>
  <si>
    <t>PFC-For one Step (Fuse + Contactor + 2 Cap)</t>
  </si>
  <si>
    <t>Control TRF</t>
  </si>
  <si>
    <t>Fan</t>
  </si>
  <si>
    <t>Thermostat/Hygrostat</t>
  </si>
  <si>
    <t>Heater</t>
  </si>
  <si>
    <t>Floursent Lamp + Door Limit Switch</t>
  </si>
  <si>
    <t>PLC (16 I/P - 10 O/P) + Power Supply</t>
  </si>
  <si>
    <t>((W+T)*2*Q)*P</t>
  </si>
  <si>
    <t>Terminal (20 Term./Hrs)</t>
  </si>
  <si>
    <t>UN-PLATED</t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</si>
  <si>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SHEET/2MM FRAME</t>
    </r>
  </si>
  <si>
    <t>H=1650 mm</t>
  </si>
  <si>
    <t>H=1850 mm</t>
  </si>
  <si>
    <t>H=2150 mm</t>
  </si>
  <si>
    <t>H=2300 mm</t>
  </si>
  <si>
    <t>W=400</t>
  </si>
  <si>
    <t>W=600</t>
  </si>
  <si>
    <t>W=800</t>
  </si>
  <si>
    <t>W=1000</t>
  </si>
  <si>
    <t>W=1200</t>
  </si>
  <si>
    <t>D=450mm</t>
  </si>
  <si>
    <t>D=600mm</t>
  </si>
  <si>
    <t>D=800mm</t>
  </si>
  <si>
    <t>D=1000mm</t>
  </si>
  <si>
    <t>D=1200mm</t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</si>
  <si>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</si>
  <si>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</si>
  <si>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</si>
  <si>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</si>
  <si>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</si>
  <si>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</si>
  <si>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</si>
  <si>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</si>
  <si>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</si>
  <si>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</si>
  <si>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OUTDOOR/NEMA-4X</t>
    </r>
    <r>
      <rPr>
        <b/>
        <sz val="12"/>
        <rFont val="Verdana"/>
        <family val="2"/>
      </rPr>
      <t>)2.0MM SHEET/2.0MM SHEET</t>
    </r>
  </si>
  <si>
    <t>(A) MF-MACHINE RATE(INDOOR/NEMA-1)</t>
  </si>
  <si>
    <t>(A) MF-MACHINE RATE(INDOOR/NEMA-12)</t>
  </si>
  <si>
    <t>(A) MF-MACHINE RATE(OUTDOOR/NEMA-3R)</t>
  </si>
  <si>
    <t>(A) MF-MACHINE RATE(OUTDOOR/NEMA-4)</t>
  </si>
  <si>
    <t>(A) MF-MACHINE RATE(OUTDOOR/NEMA-4X)</t>
  </si>
  <si>
    <t>EG Steel (SR/KG)</t>
  </si>
  <si>
    <t xml:space="preserve">EG H.WARE </t>
  </si>
  <si>
    <t>Assy.Cost</t>
  </si>
  <si>
    <t>S.S Steel (SR/KG)</t>
  </si>
  <si>
    <t xml:space="preserve">S.S.H.WARE </t>
  </si>
  <si>
    <t>X(E.G)</t>
  </si>
  <si>
    <t>Z(S.S)</t>
  </si>
  <si>
    <t>FORM3 &amp; FORM4</t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</si>
  <si>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SHEET/2.0MM FRAME</t>
    </r>
  </si>
  <si>
    <t>FORM1 &amp; FORM2</t>
  </si>
  <si>
    <t>VERTICAL BREAKERS</t>
  </si>
  <si>
    <t>HORZINTAL BREAKERS</t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</si>
  <si>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</si>
  <si>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</si>
  <si>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</si>
  <si>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</si>
  <si>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</si>
  <si>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</si>
  <si>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</si>
  <si>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</si>
  <si>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</si>
  <si>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</si>
  <si>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DOOR/NEMA-4X</t>
    </r>
    <r>
      <rPr>
        <b/>
        <sz val="12"/>
        <rFont val="Verdana"/>
        <family val="2"/>
      </rPr>
      <t>)2.0MM SHEET/2.0MM FRAME</t>
    </r>
  </si>
  <si>
    <t>Y=</t>
  </si>
  <si>
    <t>FORM 1&amp;2</t>
  </si>
  <si>
    <t>1.6MM SHEET/2.0MM FRAME</t>
  </si>
  <si>
    <t>NEMA-1</t>
  </si>
  <si>
    <t>NEMA-12</t>
  </si>
  <si>
    <t>NEMA-3R</t>
  </si>
  <si>
    <t>2.0MM SHEET/2.0MM FRAME</t>
  </si>
  <si>
    <t>NEMA-4</t>
  </si>
  <si>
    <t>NEMA-4X</t>
  </si>
  <si>
    <t>2.0MM SHEET/3.0MM FRAME</t>
  </si>
  <si>
    <t>FORM 3&amp;4</t>
  </si>
  <si>
    <t>FORM1</t>
  </si>
  <si>
    <t>FORM2</t>
  </si>
  <si>
    <t>FORM3</t>
  </si>
  <si>
    <t>FORM4</t>
  </si>
  <si>
    <t>Machine Rate for Side Cover only</t>
  </si>
  <si>
    <t>N100%</t>
  </si>
  <si>
    <t xml:space="preserve">N50% </t>
  </si>
  <si>
    <t>E 100%</t>
  </si>
  <si>
    <t>E 50%</t>
  </si>
  <si>
    <t>MACHINE COST</t>
  </si>
  <si>
    <t>LABOR COST</t>
  </si>
  <si>
    <t>Cost Per Hour (SAR)</t>
  </si>
  <si>
    <t>Assembly (Bb)</t>
  </si>
  <si>
    <t>Basbar  Cell</t>
  </si>
  <si>
    <t>Wiring</t>
  </si>
  <si>
    <t>Lazer Engraving M/C</t>
  </si>
  <si>
    <t>Busbar Techn</t>
  </si>
  <si>
    <t>10A12G0002</t>
  </si>
  <si>
    <t>10A12G0003</t>
  </si>
  <si>
    <t>10A12G0004</t>
  </si>
  <si>
    <t>10A12G0006</t>
  </si>
  <si>
    <t>10A12G0007</t>
  </si>
  <si>
    <t>LABHRS rate</t>
  </si>
  <si>
    <t>MCNHRS rate</t>
  </si>
  <si>
    <t>Assembly (HRS)</t>
  </si>
  <si>
    <t>Wiring (HRS)</t>
  </si>
  <si>
    <t>Busbar Techn (HRS)</t>
  </si>
  <si>
    <t>CNC &amp; Basbar Cell (HRS)</t>
  </si>
  <si>
    <t>START</t>
  </si>
  <si>
    <t>MF</t>
  </si>
  <si>
    <t>Frame Member (H)</t>
  </si>
  <si>
    <t>Frame Member (W)</t>
  </si>
  <si>
    <t>Frame Member (D)</t>
  </si>
  <si>
    <t>CORNER</t>
  </si>
  <si>
    <t xml:space="preserve">BUS BAR SUB ASY </t>
  </si>
  <si>
    <t>Tin Plated CU</t>
  </si>
  <si>
    <t>Un-Plated CU</t>
  </si>
  <si>
    <t>MA COPPER LINK</t>
  </si>
  <si>
    <t>PNL FORM</t>
  </si>
  <si>
    <t>4 WAY</t>
  </si>
  <si>
    <t>6 WAY</t>
  </si>
  <si>
    <t>8 WAY</t>
  </si>
  <si>
    <t>10 WAY</t>
  </si>
  <si>
    <t>12 WAY</t>
  </si>
  <si>
    <t>14 WAY</t>
  </si>
  <si>
    <t>12WAY</t>
  </si>
  <si>
    <t>18 WAY</t>
  </si>
  <si>
    <t>24 WAY</t>
  </si>
  <si>
    <t>30 WAY</t>
  </si>
  <si>
    <t>36WAY</t>
  </si>
  <si>
    <t>42 WAY</t>
  </si>
  <si>
    <t>48 WAY</t>
  </si>
  <si>
    <t>54 WAY</t>
  </si>
  <si>
    <t>60 WAY</t>
  </si>
  <si>
    <t>15X5x5500</t>
  </si>
  <si>
    <t>20X5x5500</t>
  </si>
  <si>
    <t>30X5x5500</t>
  </si>
  <si>
    <t>40X5x5500</t>
  </si>
  <si>
    <t>15X10x5500</t>
  </si>
  <si>
    <t>20X10x5500</t>
  </si>
  <si>
    <t>30X10x5500</t>
  </si>
  <si>
    <t>40X10x5500</t>
  </si>
  <si>
    <t>50X10x5500</t>
  </si>
  <si>
    <t>55X10x5500</t>
  </si>
  <si>
    <t>85X10x5500</t>
  </si>
  <si>
    <t>70X10x5500</t>
  </si>
  <si>
    <t>100X10x5500</t>
  </si>
  <si>
    <t>120x10X5500</t>
  </si>
  <si>
    <t>Z TYPE WITH TIN PLTG 200A</t>
  </si>
  <si>
    <t>C TYPE WITH TIN PLTG 200A</t>
  </si>
  <si>
    <t xml:space="preserve">CROSS  TYPE WITH TIN PLTG </t>
  </si>
  <si>
    <t>Z TYPE WITH TIN PLTG 100A</t>
  </si>
  <si>
    <t>C TYPE WITH TIN PLTG 100A</t>
  </si>
  <si>
    <t>Z TYPE WITH SILVER PLTG 200A</t>
  </si>
  <si>
    <t>C TYPE WITH SILVER PLTG 200A</t>
  </si>
  <si>
    <t xml:space="preserve">CROSS  TYPE WITH SILVER PLTG </t>
  </si>
  <si>
    <t>Universal MF Panel Height 1650 mm</t>
  </si>
  <si>
    <t>COPPER LINK</t>
  </si>
  <si>
    <t>LAB (HRS)</t>
  </si>
  <si>
    <t>MCN (HRS)</t>
  </si>
  <si>
    <t>TOTAL MCN COST</t>
  </si>
  <si>
    <t>TOTAL LAB COST</t>
  </si>
  <si>
    <t>No.Of Sec</t>
  </si>
  <si>
    <t>NO. OF SECTION (FORM1/2)</t>
  </si>
  <si>
    <t>No. of Sections</t>
  </si>
  <si>
    <t>HIGHT</t>
  </si>
  <si>
    <t>DEPTH</t>
  </si>
  <si>
    <t>F 1/2</t>
  </si>
  <si>
    <t>F 3/4</t>
  </si>
  <si>
    <t>OUT GOING BRANCHES (MCCB ONLY)</t>
  </si>
  <si>
    <t xml:space="preserve">TIN </t>
  </si>
  <si>
    <t>COST  100A-250A MA ARRANGEMENT - (3P/4P)</t>
  </si>
  <si>
    <t>X</t>
  </si>
  <si>
    <t>END</t>
  </si>
  <si>
    <t>E 25%</t>
  </si>
  <si>
    <t>MF PANEL</t>
  </si>
  <si>
    <t xml:space="preserve">SILVER PLATING </t>
  </si>
  <si>
    <t>Copper Busbar 40 x10 x 5500MM Tin Plated</t>
  </si>
  <si>
    <t>Copper Busbar 55x10 x 5500MM Tin Plated</t>
  </si>
  <si>
    <t>Copper Busbar 70 x10 x 5500MM Tin Plated</t>
  </si>
  <si>
    <t>Copper Busbar 85x10x 5500MM Tin Plated</t>
  </si>
  <si>
    <t>Copper Busbar 100x10 x 5500MM Tin Plated</t>
  </si>
  <si>
    <t>COPPER BUSBAR 30 x 5 x 5500mm Tin Plated</t>
  </si>
  <si>
    <t>Copper Busbar 20 x 5 x 5500MM Tin Plated</t>
  </si>
  <si>
    <t xml:space="preserve"> </t>
  </si>
  <si>
    <t>100 -250A</t>
  </si>
  <si>
    <t>100-250 A</t>
  </si>
  <si>
    <t>MAIN (KG)</t>
  </si>
  <si>
    <t>N100% (KG)</t>
  </si>
  <si>
    <t>N50% (KG)</t>
  </si>
  <si>
    <t>E 100% (KG)</t>
  </si>
  <si>
    <t>E 50% (KG)</t>
  </si>
  <si>
    <t>E 25% (KG)</t>
  </si>
  <si>
    <t>MAIN (M2)</t>
  </si>
  <si>
    <t>N100% (M2)</t>
  </si>
  <si>
    <t>N50% (M2)</t>
  </si>
  <si>
    <t>E 100% (M2)</t>
  </si>
  <si>
    <t>E 50% (M2)</t>
  </si>
  <si>
    <t>E 25% (M2)</t>
  </si>
  <si>
    <t>COPPER BUSBAR 40 x 5 x 5500mm Tin Plated</t>
  </si>
  <si>
    <t>COPPER BUSBAR 30x10 x 5500mm Tin Plated</t>
  </si>
  <si>
    <t>N/E (Length for one section )</t>
  </si>
  <si>
    <t>250A</t>
  </si>
  <si>
    <t>FLEXIBLE BUSBAR</t>
  </si>
  <si>
    <t>Flex.Copper Busbar 2 Nos,20 x 1 MM x 2 M</t>
  </si>
  <si>
    <t>Qty / BRK</t>
  </si>
  <si>
    <t>FLEXIBLE COPPER BUSBAR</t>
  </si>
  <si>
    <t>INPUT CODE</t>
  </si>
  <si>
    <t>QTY</t>
  </si>
  <si>
    <t>BUSBAR SYSTEM</t>
  </si>
  <si>
    <t>EARTHE B.B SIZE</t>
  </si>
  <si>
    <t>NEUTRAL B.B SIZE</t>
  </si>
  <si>
    <t>DEPTH\WIDTH</t>
  </si>
  <si>
    <t>PANEL FORM</t>
  </si>
  <si>
    <t xml:space="preserve"> THICKENS</t>
  </si>
  <si>
    <t>PROTECTION DEGREE</t>
  </si>
  <si>
    <t>BUSBAR SELECTION</t>
  </si>
  <si>
    <t>FORM OF SEPERATION</t>
  </si>
  <si>
    <t>BUSBAR PLATING</t>
  </si>
  <si>
    <t>ENCLOSURE ACCESSORIES</t>
  </si>
  <si>
    <t>BREAKER ACCESSORIES</t>
  </si>
  <si>
    <t>SPECIAL CONTROLLERS</t>
  </si>
  <si>
    <t>PLC AND ITS ACCESSORIES</t>
  </si>
  <si>
    <t>MOTOR STARTERS</t>
  </si>
  <si>
    <t>BREAKERS WITH WIRING</t>
  </si>
  <si>
    <t>DEVICES REQUIRE WIRING</t>
  </si>
  <si>
    <t>HORIZN. BRAKERS</t>
  </si>
  <si>
    <t>MA.</t>
  </si>
  <si>
    <t>LV SWGR OEM</t>
  </si>
  <si>
    <t>FEEDER BREAKERS 1600AF/2000AF</t>
  </si>
  <si>
    <t>MAIN BREAKER 4000A</t>
  </si>
  <si>
    <t>MAIN-TIE-MAIN</t>
  </si>
  <si>
    <t>SLEEVES</t>
  </si>
  <si>
    <t>TIN COST</t>
  </si>
  <si>
    <t>SILVER COST</t>
  </si>
  <si>
    <t>S.A. (Sq.m)</t>
  </si>
  <si>
    <t>LME COST (PER KG) (As of 01.03.2013)</t>
  </si>
  <si>
    <t>MAIN INCOMING LINKS 250-1250A (3Ph+N)</t>
  </si>
  <si>
    <t>MA. BRAKER 100-250A (3Ph+N)</t>
  </si>
  <si>
    <t>HORIZN. BRAKER 100-630A (3Ph+N)</t>
  </si>
  <si>
    <t>VERT. BRAKER )100-630A (3Ph+N)</t>
  </si>
  <si>
    <t xml:space="preserve">Sleeving : *0.3 </t>
  </si>
  <si>
    <t>Fixing Vertical breaker (ACB 800-1250) , DO/FIX</t>
  </si>
  <si>
    <t>COPPER BUSBAR 20x10 x 5500mm Tin Plated</t>
  </si>
  <si>
    <t>Sleeve Cutting</t>
  </si>
  <si>
    <t>ROH</t>
  </si>
  <si>
    <t>SFG</t>
  </si>
  <si>
    <t>ROUTING WITH SLEEVE</t>
  </si>
  <si>
    <t>ROUTING WITHOUT SLEEVE</t>
  </si>
  <si>
    <t>Copper Busbar 40 x 5 x 5500 MM UnPlated</t>
  </si>
  <si>
    <t>Copper Busbar 20x10 x 5500 MM UnPlated</t>
  </si>
  <si>
    <t>Copper Busbar 30 x10 x 5500 MM UnPlated</t>
  </si>
  <si>
    <t>COPPER BUSBAR 20 x 5 x 5500mm , UnPlated</t>
  </si>
  <si>
    <t>COPPER BUSBAR 30 x 5 x 5500mm , UnPlated</t>
  </si>
  <si>
    <t>COPPER BUSBAR 40x10 x 5500 MM, UnPlated</t>
  </si>
  <si>
    <t>COPPER BUSBAR 55x10 x 5500 MM, UnPlated</t>
  </si>
  <si>
    <t>COPPER BUSBAR 70x10 x 5500 MM, UnPlated</t>
  </si>
  <si>
    <t>COPPER BUSBAR 85x10 x 5500 MM, UnPlated</t>
  </si>
  <si>
    <t>Copper Busbar 100x10 x 5500MM , UnPlated</t>
  </si>
  <si>
    <t xml:space="preserve">Y </t>
  </si>
  <si>
    <t>Cost of Steel (MF/MB/LC)</t>
  </si>
  <si>
    <t>Cost of Copper</t>
  </si>
  <si>
    <t>Bare Copper (ROH)</t>
  </si>
  <si>
    <t>TIN (ROH)</t>
  </si>
  <si>
    <t>TIN (SFG)</t>
  </si>
  <si>
    <t>SILVER (SFG)</t>
  </si>
  <si>
    <t>MACHINE COST (Sleeve)</t>
  </si>
  <si>
    <t>LABOR COST (Sleeve)</t>
  </si>
  <si>
    <t>Cost of MACHINE &amp; LABOR</t>
  </si>
  <si>
    <t>MB INDOOR (NEMA1/NEMA12-DEPTH-250m)</t>
  </si>
  <si>
    <t>MB OUT DOOR (NEMA3R-DEPTH-250m)</t>
  </si>
  <si>
    <t>MB INDOOR (NEMA1/NEMA12-DEPTH-350m)</t>
  </si>
  <si>
    <t>MB OUTDOOR (NEMA3R-DEPTH-350m)</t>
  </si>
  <si>
    <t>DIN RAIL LC LC-250A (OUTDOOR -NEMA12/NEMA3R)</t>
  </si>
  <si>
    <t>DIN RAIL LC-250A (INDOOR -NEMA1)</t>
  </si>
  <si>
    <t>DIN RAIL LC-400A (INDOOR -NEMA1)</t>
  </si>
  <si>
    <t>DIN RAIL LC LC-400A (OUTDOOR -NEMA12/NEMA3R)</t>
  </si>
  <si>
    <t>BOLT ON LC-250A (INDOOR-NEMA1)</t>
  </si>
  <si>
    <t>BOLT ON LC-250A (OUTDOOR-NEMA12/NEMA3R)</t>
  </si>
  <si>
    <t>WITHOUT SLEEVES</t>
  </si>
  <si>
    <t>WITH SLEEVES</t>
  </si>
  <si>
    <r>
      <t xml:space="preserve">Fixing </t>
    </r>
    <r>
      <rPr>
        <b/>
        <sz val="14"/>
        <color rgb="FF000000"/>
        <rFont val="Calibri"/>
        <family val="2"/>
      </rPr>
      <t>Vert</t>
    </r>
    <r>
      <rPr>
        <sz val="14"/>
        <color rgb="FF000000"/>
        <rFont val="Calibri"/>
        <family val="2"/>
      </rPr>
      <t xml:space="preserve"> breaker (MCCB 250-1250-FIX)</t>
    </r>
  </si>
  <si>
    <r>
      <t xml:space="preserve">Fixing </t>
    </r>
    <r>
      <rPr>
        <b/>
        <sz val="14"/>
        <color rgb="FF000000"/>
        <rFont val="Calibri"/>
        <family val="2"/>
      </rPr>
      <t>Horz</t>
    </r>
    <r>
      <rPr>
        <sz val="14"/>
        <color rgb="FF000000"/>
        <rFont val="Calibri"/>
        <family val="2"/>
      </rPr>
      <t xml:space="preserve"> breaker (MCCB-100-630 FIX/DO/PLUG-IN)</t>
    </r>
  </si>
  <si>
    <r>
      <t xml:space="preserve">Fixing </t>
    </r>
    <r>
      <rPr>
        <b/>
        <sz val="14"/>
        <color rgb="FF000000"/>
        <rFont val="Calibri"/>
        <family val="2"/>
      </rPr>
      <t>MA</t>
    </r>
    <r>
      <rPr>
        <sz val="14"/>
        <color rgb="FF000000"/>
        <rFont val="Calibri"/>
        <family val="2"/>
      </rPr>
      <t xml:space="preserve"> breaker (MCCB-FIX) (1 pc)</t>
    </r>
  </si>
  <si>
    <t>Assembly Time With Sleeve (Hrs)</t>
  </si>
  <si>
    <t>Assembly Time Without Sleeve (Hrs)</t>
  </si>
  <si>
    <t>B.B Tech Time With Sleeve (Hrs)</t>
  </si>
  <si>
    <t>B.B Tech  Time Without Sleeve (Hrs)</t>
  </si>
  <si>
    <t>SILVER PLATING AREA (m2)</t>
  </si>
  <si>
    <t>Lazer Engraving (HRS)</t>
  </si>
  <si>
    <t>Lazer Engraving  (HRS)</t>
  </si>
  <si>
    <t>Universal MF(NEMA-1)</t>
  </si>
  <si>
    <t>Universal MF(NEMA-12)</t>
  </si>
  <si>
    <t>Universal MF(NEMA-3R)</t>
  </si>
  <si>
    <t>Universal MF(NEMA-4)</t>
  </si>
  <si>
    <t>Universal MF(NEMA-4X)</t>
  </si>
  <si>
    <t>MAIN HORIZONTAL BUS BAR 250-1250A (3Ph+N+E)</t>
  </si>
  <si>
    <t>MIAN INCOMER TO HORIZ.BUS BAR 250-1250A (3Ph+N)</t>
  </si>
  <si>
    <t>VERTICAL BUSBAR 250-1250A (3Ph+N)</t>
  </si>
  <si>
    <t>As of 30.03.2013</t>
  </si>
  <si>
    <t>LME Copper</t>
  </si>
  <si>
    <t>Fab of Copper</t>
  </si>
  <si>
    <t>Tin plating</t>
  </si>
  <si>
    <t>TIN PLATING PER SQ MTR THICK 3 TO 5 MIC</t>
  </si>
  <si>
    <t>MF &amp; Plating</t>
  </si>
  <si>
    <t>COPY ALL THE GRAY AREA ABOVE (BETWEEN START AND END)</t>
  </si>
  <si>
    <t># OF SEC</t>
  </si>
  <si>
    <t>Cost</t>
  </si>
  <si>
    <t xml:space="preserve">Routing </t>
  </si>
  <si>
    <t>LABHRS RATE</t>
  </si>
  <si>
    <t>MCNHRS RATE</t>
  </si>
  <si>
    <t>SFG COST (STEEL)</t>
  </si>
  <si>
    <t xml:space="preserve"> (W:"1", W/O:"0")</t>
  </si>
  <si>
    <t xml:space="preserve"> (FORM1/2:"1", FORM3/4:"2")</t>
  </si>
  <si>
    <t xml:space="preserve"> (OLD:"1", NEW:"2")</t>
  </si>
  <si>
    <t xml:space="preserve"> (50% OF MAIN:"0", 100% OF MAIN:"1")</t>
  </si>
  <si>
    <t xml:space="preserve"> (50%:"0", 100%:"1")</t>
  </si>
  <si>
    <t xml:space="preserve"> (3P:"3", 4P:"4")</t>
  </si>
  <si>
    <t>MCB-2P (AC/DC)</t>
  </si>
  <si>
    <t>MCB-4P (AC/DC)</t>
  </si>
  <si>
    <t>MCCB-3P (AC/DC)</t>
  </si>
  <si>
    <t>MCCB-4P (AC/DC)</t>
  </si>
  <si>
    <t>ATS ACDB</t>
  </si>
  <si>
    <t>ROH COST (COPPER)</t>
  </si>
  <si>
    <t>KHWM Direct operated</t>
  </si>
  <si>
    <t>KHWM CT operated</t>
  </si>
  <si>
    <t xml:space="preserve">Control transformer.---4 wire </t>
  </si>
  <si>
    <t>One ammeter (direct connect).up to 100A</t>
  </si>
  <si>
    <t>SURGE ARRESTER.—up to 35 sq mm</t>
  </si>
  <si>
    <t>TOGGLE SWITCH + 1NO CONTACT BLOCK</t>
  </si>
  <si>
    <t>One voltmeter (direct connect).</t>
  </si>
  <si>
    <t>Socket Outlet, 2P+E, 16A</t>
  </si>
  <si>
    <t>Limit switch (DOOR LIMIT SWITCH, PC600P), or HORN (BELL ALARM) or RUN HOUR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</si>
</sst>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_-* #,##0.00\-;_-* &quot;-&quot;??_-;_-@_-"/>
    <numFmt numFmtId="165" formatCode="[$SAR]\ #,##0.00"/>
    <numFmt numFmtId="166" formatCode="0.000"/>
    <numFmt numFmtId="167" formatCode="0.0000"/>
    <numFmt numFmtId="168" formatCode="[$SAR]\ #,##0.00_);[Red]\([$SAR]\ #,##0.00\)"/>
    <numFmt numFmtId="169" formatCode="_(* #,##0_);_(* \(#,##0\);_(* &quot;-&quot;??_);_(@_)"/>
    <numFmt numFmtId="170" formatCode="_(* #,##0.0_);_(* \(#,##0.0\);_(* &quot;-&quot;??_);_(@_)"/>
    <numFmt numFmtId="171" formatCode="_([$SAR]\ * #,##0_);_([$SAR]\ * \(#,##0\);_([$SAR]\ * &quot;-&quot;_);_(@_)"/>
    <numFmt numFmtId="172" formatCode="_(&quot;$&quot;* #,##0_);_(&quot;$&quot;* \(#,##0\);_(&quot;$&quot;* &quot;-&quot;??_);_(@_)"/>
  </numFmts>
  <fonts count="75">
    <font>
      <sz val="10"/>
      <name val="Arial"/>
      <charset val="178"/>
    </font>
    <font>
      <sz val="10"/>
      <name val="Arial"/>
      <family val="2"/>
    </font>
    <font>
      <b/>
      <sz val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sz val="10"/>
      <name val="Times New Roman"/>
      <family val="1"/>
    </font>
    <font>
      <sz val="12"/>
      <color rgb="FF000000"/>
      <name val="Calibri"/>
      <family val="2"/>
    </font>
    <font>
      <b/>
      <sz val="10"/>
      <name val="Times New Roman"/>
      <family val="1"/>
    </font>
    <font>
      <b/>
      <sz val="12"/>
      <color theme="1"/>
      <name val="Calibri"/>
      <family val="2"/>
      <scheme val="minor"/>
    </font>
    <font>
      <sz val="10"/>
      <name val="System"/>
      <family val="2"/>
      <charset val="204"/>
    </font>
    <font>
      <b/>
      <sz val="11"/>
      <color theme="0"/>
      <name val="Segoe UI"/>
      <family val="2"/>
    </font>
    <font>
      <b/>
      <sz val="12"/>
      <name val="Verdana"/>
      <family val="2"/>
    </font>
    <font>
      <b/>
      <sz val="12"/>
      <color indexed="10"/>
      <name val="Verdana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color rgb="FF0000FF"/>
      <name val="Segoe UI"/>
      <family val="2"/>
    </font>
    <font>
      <sz val="10"/>
      <name val="Segoe UI"/>
      <family val="2"/>
    </font>
    <font>
      <b/>
      <sz val="12"/>
      <color rgb="FF0000FF"/>
      <name val="Segoe UI"/>
      <family val="2"/>
    </font>
    <font>
      <b/>
      <sz val="9"/>
      <color theme="1"/>
      <name val="Segoe UI"/>
      <family val="2"/>
    </font>
    <font>
      <b/>
      <sz val="9"/>
      <color rgb="FF000000"/>
      <name val="Segoe UI"/>
      <family val="2"/>
    </font>
    <font>
      <sz val="10"/>
      <color theme="1"/>
      <name val="Segoe UI"/>
      <family val="2"/>
    </font>
    <font>
      <sz val="9"/>
      <name val="Segoe UI"/>
      <family val="2"/>
    </font>
    <font>
      <sz val="9"/>
      <color theme="1"/>
      <name val="Segoe UI"/>
      <family val="2"/>
    </font>
    <font>
      <b/>
      <sz val="10"/>
      <name val="Segoe UI"/>
      <family val="2"/>
    </font>
    <font>
      <b/>
      <sz val="9"/>
      <name val="Segoe UI"/>
      <family val="2"/>
    </font>
    <font>
      <b/>
      <sz val="12"/>
      <color indexed="12"/>
      <name val="Segoe UI"/>
      <family val="2"/>
    </font>
    <font>
      <sz val="9"/>
      <color indexed="10"/>
      <name val="Segoe UI"/>
      <family val="2"/>
    </font>
    <font>
      <sz val="9"/>
      <color rgb="FF0000FF"/>
      <name val="Segoe UI"/>
      <family val="2"/>
    </font>
    <font>
      <sz val="9"/>
      <color theme="0"/>
      <name val="Segoe UI"/>
      <family val="2"/>
    </font>
    <font>
      <b/>
      <sz val="9"/>
      <color rgb="FF0000FF"/>
      <name val="Segoe UI"/>
      <family val="2"/>
    </font>
    <font>
      <b/>
      <sz val="11"/>
      <color theme="1"/>
      <name val="Segoe UI"/>
      <family val="2"/>
    </font>
    <font>
      <b/>
      <sz val="10"/>
      <color rgb="FFFF0000"/>
      <name val="Segoe UI"/>
      <family val="2"/>
    </font>
    <font>
      <sz val="11"/>
      <color theme="1"/>
      <name val="Tahoma"/>
      <family val="2"/>
    </font>
    <font>
      <sz val="14"/>
      <color indexed="9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9"/>
      <color theme="0"/>
      <name val="Tahoma"/>
      <family val="2"/>
    </font>
    <font>
      <sz val="9"/>
      <color theme="1"/>
      <name val="Tahoma"/>
      <family val="2"/>
    </font>
    <font>
      <b/>
      <sz val="9"/>
      <color rgb="FFFF0000"/>
      <name val="Tahoma"/>
      <family val="2"/>
    </font>
    <font>
      <b/>
      <sz val="11"/>
      <color theme="0"/>
      <name val="Tahoma"/>
      <family val="2"/>
    </font>
    <font>
      <b/>
      <sz val="14"/>
      <name val="Tahoma"/>
      <family val="2"/>
    </font>
    <font>
      <b/>
      <sz val="11"/>
      <color indexed="12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u/>
      <sz val="11"/>
      <name val="Tahoma"/>
      <family val="2"/>
    </font>
    <font>
      <b/>
      <sz val="10"/>
      <color theme="0"/>
      <name val="Tahoma"/>
      <family val="2"/>
    </font>
    <font>
      <sz val="9"/>
      <name val="Tahoma"/>
      <family val="2"/>
    </font>
    <font>
      <b/>
      <sz val="11"/>
      <color rgb="FFFFFF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sz val="14"/>
      <color theme="1"/>
      <name val="Tahoma"/>
      <family val="2"/>
    </font>
    <font>
      <sz val="14"/>
      <name val="Tahoma"/>
      <family val="2"/>
    </font>
    <font>
      <sz val="14"/>
      <name val="Arial"/>
      <family val="2"/>
    </font>
    <font>
      <sz val="14"/>
      <color rgb="FF000000"/>
      <name val="Calibri"/>
      <family val="2"/>
    </font>
    <font>
      <sz val="14"/>
      <name val="Segoe UI"/>
      <family val="2"/>
    </font>
    <font>
      <b/>
      <sz val="14"/>
      <color rgb="FF000000"/>
      <name val="Calibri"/>
      <family val="2"/>
    </font>
    <font>
      <b/>
      <sz val="14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Tahoma"/>
      <family val="2"/>
    </font>
    <font>
      <b/>
      <sz val="9"/>
      <name val="Tahoma"/>
      <family val="2"/>
    </font>
    <font>
      <b/>
      <sz val="8"/>
      <color theme="1"/>
      <name val="Segoe UI"/>
      <family val="2"/>
    </font>
    <font>
      <b/>
      <sz val="14"/>
      <color theme="0"/>
      <name val="Tahoma"/>
      <family val="2"/>
    </font>
    <font>
      <sz val="10"/>
      <color theme="0"/>
      <name val="Tahoma"/>
      <family val="2"/>
    </font>
    <font>
      <b/>
      <sz val="8"/>
      <color theme="0"/>
      <name val="Segoe UI"/>
      <family val="2"/>
    </font>
  </fonts>
  <fills count="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4F4B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3">
    <xf numFmtId="0" fontId="0" fillId="0" borderId="0" applyNumberFormat="0"/>
    <xf numFmtId="0" fontId="1" fillId="0" borderId="0"/>
    <xf numFmtId="0" fontId="1" fillId="0" borderId="0"/>
    <xf numFmtId="0" fontId="1" fillId="0" borderId="0" applyNumberFormat="0"/>
    <xf numFmtId="9" fontId="4" fillId="0" borderId="0" applyFont="0" applyFill="0" applyBorder="0" applyAlignment="0" applyProtection="0"/>
    <xf numFmtId="0" fontId="6" fillId="0" borderId="0"/>
    <xf numFmtId="0" fontId="15" fillId="0" borderId="0" applyNumberFormat="0"/>
    <xf numFmtId="0" fontId="6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6" fillId="0" borderId="0" applyFont="0" applyFill="0" applyBorder="0" applyAlignment="0" applyProtection="0"/>
    <xf numFmtId="44" fontId="67" fillId="0" borderId="0" applyFont="0" applyFill="0" applyBorder="0" applyAlignment="0" applyProtection="0"/>
  </cellStyleXfs>
  <cellXfs count="555">
    <xf numFmtId="0" fontId="0" fillId="0" borderId="0" xfId="0"/>
    <xf numFmtId="0" fontId="0" fillId="0" borderId="1" xfId="0" applyBorder="1"/>
    <xf numFmtId="0" fontId="8" fillId="17" borderId="6" xfId="2" applyFont="1" applyFill="1" applyBorder="1" applyAlignment="1">
      <alignment horizontal="center" vertical="center" wrapText="1"/>
    </xf>
    <xf numFmtId="0" fontId="9" fillId="0" borderId="0" xfId="2" applyFont="1" applyAlignment="1">
      <alignment vertical="center"/>
    </xf>
    <xf numFmtId="0" fontId="1" fillId="0" borderId="0" xfId="2"/>
    <xf numFmtId="0" fontId="11" fillId="0" borderId="0" xfId="2" applyFont="1"/>
    <xf numFmtId="0" fontId="12" fillId="0" borderId="25" xfId="2" applyFont="1" applyBorder="1" applyAlignment="1">
      <alignment vertical="center"/>
    </xf>
    <xf numFmtId="0" fontId="12" fillId="0" borderId="11" xfId="2" applyFont="1" applyBorder="1" applyAlignment="1">
      <alignment horizontal="center" vertical="center"/>
    </xf>
    <xf numFmtId="0" fontId="12" fillId="0" borderId="11" xfId="2" applyFont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19" borderId="0" xfId="2" applyFont="1" applyFill="1" applyAlignment="1">
      <alignment vertical="center"/>
    </xf>
    <xf numFmtId="0" fontId="13" fillId="19" borderId="0" xfId="2" applyFont="1" applyFill="1"/>
    <xf numFmtId="0" fontId="0" fillId="20" borderId="1" xfId="0" applyFill="1" applyBorder="1"/>
    <xf numFmtId="0" fontId="7" fillId="22" borderId="21" xfId="6" applyFont="1" applyFill="1" applyBorder="1" applyAlignment="1">
      <alignment horizontal="center" vertical="center" wrapText="1"/>
    </xf>
    <xf numFmtId="0" fontId="7" fillId="22" borderId="22" xfId="6" applyFont="1" applyFill="1" applyBorder="1" applyAlignment="1">
      <alignment horizontal="center" vertical="center" wrapText="1"/>
    </xf>
    <xf numFmtId="0" fontId="1" fillId="0" borderId="12" xfId="2" applyBorder="1" applyAlignment="1">
      <alignment vertical="center"/>
    </xf>
    <xf numFmtId="0" fontId="1" fillId="0" borderId="0" xfId="2" applyAlignment="1">
      <alignment vertical="center"/>
    </xf>
    <xf numFmtId="0" fontId="0" fillId="0" borderId="0" xfId="0" applyAlignment="1"/>
    <xf numFmtId="1" fontId="12" fillId="0" borderId="11" xfId="2" applyNumberFormat="1" applyFont="1" applyBorder="1" applyAlignment="1">
      <alignment horizontal="center" vertical="center"/>
    </xf>
    <xf numFmtId="0" fontId="1" fillId="0" borderId="0" xfId="3"/>
    <xf numFmtId="0" fontId="3" fillId="0" borderId="35" xfId="3" applyFont="1" applyFill="1" applyBorder="1" applyAlignment="1">
      <alignment horizontal="center" vertical="top" wrapText="1"/>
    </xf>
    <xf numFmtId="0" fontId="3" fillId="26" borderId="3" xfId="3" applyFont="1" applyFill="1" applyBorder="1" applyAlignment="1">
      <alignment horizontal="center" vertical="top" wrapText="1"/>
    </xf>
    <xf numFmtId="0" fontId="5" fillId="26" borderId="37" xfId="3" applyFont="1" applyFill="1" applyBorder="1" applyAlignment="1">
      <alignment horizontal="center" vertical="distributed" wrapText="1"/>
    </xf>
    <xf numFmtId="0" fontId="5" fillId="26" borderId="38" xfId="3" applyFont="1" applyFill="1" applyBorder="1" applyAlignment="1">
      <alignment horizontal="center" vertical="distributed" wrapText="1"/>
    </xf>
    <xf numFmtId="0" fontId="5" fillId="26" borderId="33" xfId="3" applyFont="1" applyFill="1" applyBorder="1" applyAlignment="1">
      <alignment horizontal="center" vertical="distributed" wrapText="1"/>
    </xf>
    <xf numFmtId="1" fontId="5" fillId="26" borderId="4" xfId="3" applyNumberFormat="1" applyFont="1" applyFill="1" applyBorder="1" applyAlignment="1">
      <alignment horizontal="center" vertical="top" wrapText="1"/>
    </xf>
    <xf numFmtId="1" fontId="5" fillId="0" borderId="15" xfId="3" applyNumberFormat="1" applyFont="1" applyFill="1" applyBorder="1" applyAlignment="1">
      <alignment horizontal="center" vertical="top" wrapText="1"/>
    </xf>
    <xf numFmtId="1" fontId="5" fillId="0" borderId="1" xfId="3" applyNumberFormat="1" applyFont="1" applyFill="1" applyBorder="1" applyAlignment="1">
      <alignment horizontal="center" vertical="top" wrapText="1"/>
    </xf>
    <xf numFmtId="1" fontId="5" fillId="0" borderId="16" xfId="3" applyNumberFormat="1" applyFont="1" applyFill="1" applyBorder="1" applyAlignment="1">
      <alignment horizontal="center" vertical="top" wrapText="1"/>
    </xf>
    <xf numFmtId="1" fontId="5" fillId="0" borderId="8" xfId="3" applyNumberFormat="1" applyFont="1" applyFill="1" applyBorder="1" applyAlignment="1">
      <alignment horizontal="center" vertical="top" wrapText="1"/>
    </xf>
    <xf numFmtId="1" fontId="5" fillId="0" borderId="7" xfId="3" applyNumberFormat="1" applyFont="1" applyFill="1" applyBorder="1" applyAlignment="1">
      <alignment horizontal="center" vertical="top" wrapText="1"/>
    </xf>
    <xf numFmtId="1" fontId="1" fillId="0" borderId="0" xfId="3" applyNumberFormat="1"/>
    <xf numFmtId="1" fontId="5" fillId="15" borderId="15" xfId="3" applyNumberFormat="1" applyFont="1" applyFill="1" applyBorder="1" applyAlignment="1">
      <alignment horizontal="center" vertical="top" wrapText="1"/>
    </xf>
    <xf numFmtId="1" fontId="5" fillId="15" borderId="1" xfId="3" applyNumberFormat="1" applyFont="1" applyFill="1" applyBorder="1" applyAlignment="1">
      <alignment horizontal="center" vertical="top" wrapText="1"/>
    </xf>
    <xf numFmtId="1" fontId="5" fillId="15" borderId="16" xfId="3" applyNumberFormat="1" applyFont="1" applyFill="1" applyBorder="1" applyAlignment="1">
      <alignment horizontal="center" vertical="top" wrapText="1"/>
    </xf>
    <xf numFmtId="1" fontId="5" fillId="15" borderId="8" xfId="3" applyNumberFormat="1" applyFont="1" applyFill="1" applyBorder="1" applyAlignment="1">
      <alignment horizontal="center" vertical="top" wrapText="1"/>
    </xf>
    <xf numFmtId="1" fontId="5" fillId="15" borderId="7" xfId="3" applyNumberFormat="1" applyFont="1" applyFill="1" applyBorder="1" applyAlignment="1">
      <alignment horizontal="center" vertical="top" wrapText="1"/>
    </xf>
    <xf numFmtId="1" fontId="5" fillId="0" borderId="0" xfId="3" applyNumberFormat="1" applyFont="1" applyFill="1" applyBorder="1" applyAlignment="1">
      <alignment horizontal="center" vertical="top" wrapText="1"/>
    </xf>
    <xf numFmtId="0" fontId="3" fillId="26" borderId="4" xfId="3" applyFont="1" applyFill="1" applyBorder="1" applyAlignment="1">
      <alignment horizontal="center" vertical="top" wrapText="1"/>
    </xf>
    <xf numFmtId="0" fontId="1" fillId="0" borderId="0" xfId="1" applyFont="1" applyFill="1" applyAlignment="1">
      <alignment horizontal="center" vertical="center"/>
    </xf>
    <xf numFmtId="0" fontId="2" fillId="19" borderId="0" xfId="3" applyFont="1" applyFill="1" applyAlignment="1">
      <alignment horizontal="center" vertical="center"/>
    </xf>
    <xf numFmtId="0" fontId="2" fillId="2" borderId="0" xfId="3" applyFont="1" applyFill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1" fillId="0" borderId="0" xfId="3" applyAlignment="1">
      <alignment horizontal="center" vertical="center"/>
    </xf>
    <xf numFmtId="0" fontId="2" fillId="9" borderId="0" xfId="3" applyFont="1" applyFill="1" applyAlignment="1">
      <alignment horizontal="center" vertical="center"/>
    </xf>
    <xf numFmtId="0" fontId="1" fillId="0" borderId="0" xfId="3" applyAlignment="1">
      <alignment horizontal="center"/>
    </xf>
    <xf numFmtId="0" fontId="5" fillId="26" borderId="3" xfId="3" applyFont="1" applyFill="1" applyBorder="1" applyAlignment="1">
      <alignment horizontal="center" vertical="distributed" wrapText="1"/>
    </xf>
    <xf numFmtId="0" fontId="5" fillId="26" borderId="4" xfId="3" applyFont="1" applyFill="1" applyBorder="1" applyAlignment="1">
      <alignment horizontal="center" vertical="distributed" wrapText="1"/>
    </xf>
    <xf numFmtId="0" fontId="5" fillId="26" borderId="6" xfId="3" applyFont="1" applyFill="1" applyBorder="1" applyAlignment="1">
      <alignment horizontal="center" vertical="distributed" wrapText="1"/>
    </xf>
    <xf numFmtId="0" fontId="1" fillId="13" borderId="0" xfId="3" applyFill="1" applyAlignment="1">
      <alignment horizontal="center"/>
    </xf>
    <xf numFmtId="1" fontId="1" fillId="0" borderId="0" xfId="3" applyNumberFormat="1" applyAlignment="1">
      <alignment horizontal="center"/>
    </xf>
    <xf numFmtId="0" fontId="1" fillId="0" borderId="0" xfId="3" applyFill="1" applyAlignment="1">
      <alignment horizontal="center"/>
    </xf>
    <xf numFmtId="0" fontId="1" fillId="0" borderId="0" xfId="3" applyFill="1"/>
    <xf numFmtId="0" fontId="2" fillId="0" borderId="0" xfId="3" applyFont="1" applyAlignment="1">
      <alignment horizontal="center" vertical="center"/>
    </xf>
    <xf numFmtId="167" fontId="2" fillId="0" borderId="0" xfId="3" applyNumberFormat="1" applyFont="1" applyAlignment="1">
      <alignment horizontal="center" vertical="center"/>
    </xf>
    <xf numFmtId="1" fontId="17" fillId="25" borderId="34" xfId="3" applyNumberFormat="1" applyFont="1" applyFill="1" applyBorder="1" applyAlignment="1">
      <alignment wrapText="1"/>
    </xf>
    <xf numFmtId="0" fontId="12" fillId="28" borderId="11" xfId="2" applyFont="1" applyFill="1" applyBorder="1" applyAlignment="1">
      <alignment horizontal="center" vertical="center"/>
    </xf>
    <xf numFmtId="0" fontId="1" fillId="0" borderId="0" xfId="0" applyFont="1"/>
    <xf numFmtId="0" fontId="21" fillId="0" borderId="0" xfId="0" applyFont="1" applyBorder="1" applyAlignment="1">
      <alignment horizontal="center" vertical="center"/>
    </xf>
    <xf numFmtId="0" fontId="25" fillId="16" borderId="13" xfId="5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0" borderId="0" xfId="5" applyFont="1" applyBorder="1" applyAlignment="1">
      <alignment horizontal="center" vertical="center"/>
    </xf>
    <xf numFmtId="0" fontId="27" fillId="0" borderId="0" xfId="0" applyFont="1" applyAlignment="1">
      <alignment vertical="center" wrapText="1"/>
    </xf>
    <xf numFmtId="0" fontId="27" fillId="0" borderId="31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9" fontId="27" fillId="0" borderId="0" xfId="4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30" fillId="23" borderId="3" xfId="0" applyFont="1" applyFill="1" applyBorder="1" applyAlignment="1">
      <alignment horizontal="center" vertical="center" wrapText="1"/>
    </xf>
    <xf numFmtId="9" fontId="30" fillId="23" borderId="3" xfId="4" applyFont="1" applyFill="1" applyBorder="1" applyAlignment="1">
      <alignment horizontal="center" vertical="center" wrapText="1"/>
    </xf>
    <xf numFmtId="0" fontId="32" fillId="0" borderId="1" xfId="1" applyFont="1" applyBorder="1" applyAlignment="1">
      <alignment horizontal="center"/>
    </xf>
    <xf numFmtId="167" fontId="27" fillId="0" borderId="1" xfId="1" applyNumberFormat="1" applyFont="1" applyBorder="1" applyAlignment="1">
      <alignment horizontal="center"/>
    </xf>
    <xf numFmtId="2" fontId="27" fillId="0" borderId="1" xfId="1" applyNumberFormat="1" applyFont="1" applyBorder="1" applyAlignment="1">
      <alignment horizontal="center"/>
    </xf>
    <xf numFmtId="1" fontId="33" fillId="0" borderId="1" xfId="1" applyNumberFormat="1" applyFont="1" applyBorder="1" applyAlignment="1">
      <alignment horizontal="center"/>
    </xf>
    <xf numFmtId="9" fontId="27" fillId="0" borderId="1" xfId="4" applyFont="1" applyBorder="1" applyAlignment="1">
      <alignment horizontal="center"/>
    </xf>
    <xf numFmtId="0" fontId="27" fillId="0" borderId="1" xfId="1" applyNumberFormat="1" applyFont="1" applyBorder="1" applyAlignment="1">
      <alignment horizontal="center"/>
    </xf>
    <xf numFmtId="0" fontId="34" fillId="0" borderId="1" xfId="1" applyFont="1" applyBorder="1" applyAlignment="1">
      <alignment horizontal="center"/>
    </xf>
    <xf numFmtId="0" fontId="23" fillId="0" borderId="0" xfId="0" applyFont="1" applyAlignment="1">
      <alignment horizontal="center"/>
    </xf>
    <xf numFmtId="2" fontId="23" fillId="0" borderId="0" xfId="0" applyNumberFormat="1" applyFont="1" applyAlignment="1">
      <alignment horizontal="center"/>
    </xf>
    <xf numFmtId="9" fontId="27" fillId="0" borderId="0" xfId="4" applyFont="1" applyAlignment="1">
      <alignment horizontal="center"/>
    </xf>
    <xf numFmtId="166" fontId="27" fillId="0" borderId="1" xfId="1" applyNumberFormat="1" applyFont="1" applyBorder="1" applyAlignment="1">
      <alignment horizontal="center"/>
    </xf>
    <xf numFmtId="2" fontId="35" fillId="0" borderId="1" xfId="1" applyNumberFormat="1" applyFont="1" applyBorder="1" applyAlignment="1">
      <alignment horizontal="center"/>
    </xf>
    <xf numFmtId="9" fontId="35" fillId="0" borderId="1" xfId="4" applyFont="1" applyBorder="1" applyAlignment="1">
      <alignment horizontal="center"/>
    </xf>
    <xf numFmtId="0" fontId="35" fillId="3" borderId="1" xfId="1" applyNumberFormat="1" applyFont="1" applyFill="1" applyBorder="1" applyAlignment="1">
      <alignment horizontal="center"/>
    </xf>
    <xf numFmtId="3" fontId="36" fillId="18" borderId="46" xfId="7" applyNumberFormat="1" applyFont="1" applyFill="1" applyBorder="1"/>
    <xf numFmtId="3" fontId="36" fillId="18" borderId="48" xfId="7" applyNumberFormat="1" applyFont="1" applyFill="1" applyBorder="1"/>
    <xf numFmtId="3" fontId="36" fillId="18" borderId="1" xfId="7" applyNumberFormat="1" applyFont="1" applyFill="1" applyBorder="1"/>
    <xf numFmtId="3" fontId="36" fillId="18" borderId="16" xfId="7" applyNumberFormat="1" applyFont="1" applyFill="1" applyBorder="1"/>
    <xf numFmtId="0" fontId="36" fillId="0" borderId="15" xfId="7" applyFont="1" applyBorder="1"/>
    <xf numFmtId="0" fontId="36" fillId="0" borderId="17" xfId="7" applyFont="1" applyBorder="1"/>
    <xf numFmtId="0" fontId="22" fillId="0" borderId="0" xfId="0" applyFont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170" fontId="37" fillId="0" borderId="1" xfId="8" applyNumberFormat="1" applyFont="1" applyBorder="1" applyAlignment="1">
      <alignment horizontal="center"/>
    </xf>
    <xf numFmtId="170" fontId="37" fillId="0" borderId="16" xfId="8" applyNumberFormat="1" applyFont="1" applyBorder="1" applyAlignment="1">
      <alignment horizontal="center"/>
    </xf>
    <xf numFmtId="170" fontId="37" fillId="0" borderId="18" xfId="8" applyNumberFormat="1" applyFont="1" applyBorder="1" applyAlignment="1">
      <alignment horizontal="center"/>
    </xf>
    <xf numFmtId="170" fontId="37" fillId="0" borderId="19" xfId="8" applyNumberFormat="1" applyFont="1" applyBorder="1" applyAlignment="1">
      <alignment horizontal="center"/>
    </xf>
    <xf numFmtId="170" fontId="0" fillId="0" borderId="0" xfId="0" applyNumberFormat="1"/>
    <xf numFmtId="0" fontId="36" fillId="13" borderId="15" xfId="7" applyFont="1" applyFill="1" applyBorder="1"/>
    <xf numFmtId="169" fontId="37" fillId="13" borderId="1" xfId="8" applyNumberFormat="1" applyFont="1" applyFill="1" applyBorder="1" applyAlignment="1">
      <alignment horizontal="center"/>
    </xf>
    <xf numFmtId="0" fontId="36" fillId="0" borderId="50" xfId="7" applyFont="1" applyBorder="1"/>
    <xf numFmtId="0" fontId="32" fillId="0" borderId="0" xfId="1" applyFont="1" applyBorder="1" applyAlignment="1">
      <alignment horizontal="center"/>
    </xf>
    <xf numFmtId="167" fontId="27" fillId="0" borderId="0" xfId="1" applyNumberFormat="1" applyFont="1" applyBorder="1" applyAlignment="1">
      <alignment horizontal="center"/>
    </xf>
    <xf numFmtId="2" fontId="27" fillId="0" borderId="0" xfId="1" applyNumberFormat="1" applyFont="1" applyBorder="1" applyAlignment="1">
      <alignment horizontal="center"/>
    </xf>
    <xf numFmtId="0" fontId="33" fillId="0" borderId="0" xfId="1" applyNumberFormat="1" applyFont="1" applyBorder="1" applyAlignment="1">
      <alignment horizontal="center"/>
    </xf>
    <xf numFmtId="2" fontId="35" fillId="0" borderId="0" xfId="1" applyNumberFormat="1" applyFont="1" applyBorder="1" applyAlignment="1">
      <alignment horizontal="center"/>
    </xf>
    <xf numFmtId="9" fontId="35" fillId="0" borderId="0" xfId="4" applyFont="1" applyBorder="1" applyAlignment="1">
      <alignment horizontal="center"/>
    </xf>
    <xf numFmtId="0" fontId="27" fillId="0" borderId="0" xfId="1" applyNumberFormat="1" applyFont="1" applyBorder="1" applyAlignment="1">
      <alignment horizontal="center"/>
    </xf>
    <xf numFmtId="2" fontId="23" fillId="0" borderId="4" xfId="0" applyNumberFormat="1" applyFont="1" applyBorder="1" applyAlignment="1">
      <alignment horizontal="center"/>
    </xf>
    <xf numFmtId="2" fontId="23" fillId="0" borderId="5" xfId="0" applyNumberFormat="1" applyFont="1" applyBorder="1" applyAlignment="1">
      <alignment horizontal="center"/>
    </xf>
    <xf numFmtId="2" fontId="23" fillId="0" borderId="6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0" fontId="25" fillId="16" borderId="39" xfId="5" applyFont="1" applyFill="1" applyBorder="1" applyAlignment="1">
      <alignment horizontal="center" vertical="center"/>
    </xf>
    <xf numFmtId="0" fontId="24" fillId="12" borderId="2" xfId="1" applyFont="1" applyFill="1" applyBorder="1" applyAlignment="1">
      <alignment horizontal="center" vertical="center"/>
    </xf>
    <xf numFmtId="0" fontId="24" fillId="4" borderId="2" xfId="1" applyFont="1" applyFill="1" applyBorder="1" applyAlignment="1">
      <alignment horizontal="center" vertical="center"/>
    </xf>
    <xf numFmtId="0" fontId="30" fillId="23" borderId="4" xfId="0" applyFont="1" applyFill="1" applyBorder="1" applyAlignment="1">
      <alignment horizontal="center" vertical="center" wrapText="1"/>
    </xf>
    <xf numFmtId="0" fontId="27" fillId="0" borderId="7" xfId="1" applyNumberFormat="1" applyFont="1" applyBorder="1" applyAlignment="1">
      <alignment horizontal="center"/>
    </xf>
    <xf numFmtId="0" fontId="35" fillId="3" borderId="7" xfId="1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2" fontId="27" fillId="13" borderId="1" xfId="1" applyNumberFormat="1" applyFont="1" applyFill="1" applyBorder="1" applyAlignment="1">
      <alignment horizontal="center"/>
    </xf>
    <xf numFmtId="1" fontId="27" fillId="13" borderId="1" xfId="1" applyNumberFormat="1" applyFont="1" applyFill="1" applyBorder="1" applyAlignment="1">
      <alignment horizontal="center"/>
    </xf>
    <xf numFmtId="2" fontId="27" fillId="12" borderId="1" xfId="1" applyNumberFormat="1" applyFont="1" applyFill="1" applyBorder="1" applyAlignment="1">
      <alignment horizontal="center"/>
    </xf>
    <xf numFmtId="2" fontId="33" fillId="12" borderId="1" xfId="1" applyNumberFormat="1" applyFont="1" applyFill="1" applyBorder="1" applyAlignment="1">
      <alignment horizontal="center"/>
    </xf>
    <xf numFmtId="0" fontId="21" fillId="0" borderId="4" xfId="0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45" fillId="19" borderId="44" xfId="0" applyFont="1" applyFill="1" applyBorder="1" applyAlignment="1">
      <alignment vertical="center"/>
    </xf>
    <xf numFmtId="0" fontId="41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vertical="center"/>
    </xf>
    <xf numFmtId="0" fontId="47" fillId="0" borderId="28" xfId="3" applyFont="1" applyFill="1" applyBorder="1" applyAlignment="1">
      <alignment vertical="center"/>
    </xf>
    <xf numFmtId="0" fontId="49" fillId="0" borderId="0" xfId="3" applyFont="1" applyAlignment="1">
      <alignment horizontal="center" vertical="center"/>
    </xf>
    <xf numFmtId="0" fontId="50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horizontal="left" vertical="center"/>
    </xf>
    <xf numFmtId="0" fontId="49" fillId="0" borderId="0" xfId="3" applyFont="1" applyBorder="1" applyAlignment="1">
      <alignment horizontal="center" vertical="center"/>
    </xf>
    <xf numFmtId="0" fontId="47" fillId="0" borderId="0" xfId="3" applyFont="1" applyFill="1" applyBorder="1" applyAlignment="1">
      <alignment vertical="center"/>
    </xf>
    <xf numFmtId="0" fontId="49" fillId="0" borderId="0" xfId="3" applyFont="1" applyFill="1" applyBorder="1" applyAlignment="1" applyProtection="1">
      <alignment horizontal="center" vertical="center"/>
    </xf>
    <xf numFmtId="0" fontId="50" fillId="0" borderId="0" xfId="3" applyFont="1" applyFill="1" applyBorder="1" applyAlignment="1" applyProtection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0" fontId="52" fillId="19" borderId="0" xfId="0" applyFont="1" applyFill="1" applyBorder="1" applyAlignment="1">
      <alignment horizontal="left" vertical="center"/>
    </xf>
    <xf numFmtId="0" fontId="40" fillId="0" borderId="0" xfId="0" applyFont="1" applyFill="1" applyAlignment="1">
      <alignment vertical="center"/>
    </xf>
    <xf numFmtId="0" fontId="7" fillId="13" borderId="3" xfId="0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vertical="center"/>
    </xf>
    <xf numFmtId="0" fontId="53" fillId="0" borderId="0" xfId="0" applyFont="1" applyFill="1" applyAlignment="1">
      <alignment vertical="center"/>
    </xf>
    <xf numFmtId="0" fontId="40" fillId="0" borderId="0" xfId="0" applyFont="1" applyFill="1" applyBorder="1" applyAlignment="1">
      <alignment vertical="center"/>
    </xf>
    <xf numFmtId="0" fontId="48" fillId="0" borderId="0" xfId="0" applyFont="1" applyFill="1" applyAlignment="1">
      <alignment vertical="center"/>
    </xf>
    <xf numFmtId="0" fontId="45" fillId="19" borderId="38" xfId="0" applyFont="1" applyFill="1" applyBorder="1" applyAlignment="1">
      <alignment horizontal="left" vertical="center"/>
    </xf>
    <xf numFmtId="0" fontId="45" fillId="19" borderId="44" xfId="0" applyFont="1" applyFill="1" applyBorder="1" applyAlignment="1">
      <alignment horizontal="left" vertical="center"/>
    </xf>
    <xf numFmtId="0" fontId="45" fillId="19" borderId="33" xfId="0" applyFont="1" applyFill="1" applyBorder="1" applyAlignment="1">
      <alignment horizontal="left" vertical="center"/>
    </xf>
    <xf numFmtId="0" fontId="45" fillId="19" borderId="13" xfId="0" applyFont="1" applyFill="1" applyBorder="1" applyAlignment="1">
      <alignment horizontal="left" vertical="center"/>
    </xf>
    <xf numFmtId="0" fontId="49" fillId="0" borderId="0" xfId="3" applyFont="1" applyAlignment="1">
      <alignment vertical="center"/>
    </xf>
    <xf numFmtId="0" fontId="50" fillId="19" borderId="34" xfId="0" applyFont="1" applyFill="1" applyBorder="1" applyAlignment="1">
      <alignment horizontal="left" vertical="center"/>
    </xf>
    <xf numFmtId="0" fontId="45" fillId="19" borderId="28" xfId="0" applyFont="1" applyFill="1" applyBorder="1" applyAlignment="1">
      <alignment horizontal="left" vertical="center"/>
    </xf>
    <xf numFmtId="0" fontId="45" fillId="19" borderId="11" xfId="0" applyFont="1" applyFill="1" applyBorder="1" applyAlignment="1">
      <alignment horizontal="left" vertical="center"/>
    </xf>
    <xf numFmtId="0" fontId="49" fillId="0" borderId="0" xfId="3" applyFont="1" applyFill="1" applyBorder="1" applyAlignment="1" applyProtection="1">
      <alignment vertical="center"/>
      <protection locked="0"/>
    </xf>
    <xf numFmtId="0" fontId="49" fillId="0" borderId="13" xfId="3" applyFont="1" applyFill="1" applyBorder="1" applyAlignment="1">
      <alignment vertical="center"/>
    </xf>
    <xf numFmtId="1" fontId="50" fillId="0" borderId="15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6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7" xfId="3" applyNumberFormat="1" applyFont="1" applyFill="1" applyBorder="1" applyAlignment="1" applyProtection="1">
      <alignment horizontal="center" vertical="center" wrapText="1"/>
      <protection locked="0"/>
    </xf>
    <xf numFmtId="0" fontId="51" fillId="0" borderId="13" xfId="3" applyFont="1" applyFill="1" applyBorder="1" applyAlignment="1">
      <alignment horizontal="center" vertical="center"/>
    </xf>
    <xf numFmtId="0" fontId="49" fillId="0" borderId="13" xfId="3" applyFont="1" applyFill="1" applyBorder="1" applyAlignment="1">
      <alignment horizontal="center" vertical="center"/>
    </xf>
    <xf numFmtId="1" fontId="50" fillId="0" borderId="17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4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30" xfId="3" applyNumberFormat="1" applyFont="1" applyFill="1" applyBorder="1" applyAlignment="1" applyProtection="1">
      <alignment horizontal="center" vertical="center" wrapText="1"/>
      <protection locked="0"/>
    </xf>
    <xf numFmtId="0" fontId="49" fillId="0" borderId="28" xfId="3" applyFont="1" applyFill="1" applyBorder="1" applyAlignment="1">
      <alignment vertical="center"/>
    </xf>
    <xf numFmtId="0" fontId="49" fillId="0" borderId="28" xfId="3" applyFont="1" applyFill="1" applyBorder="1" applyAlignment="1" applyProtection="1">
      <alignment vertical="center"/>
      <protection locked="0"/>
    </xf>
    <xf numFmtId="0" fontId="49" fillId="0" borderId="11" xfId="3" applyFont="1" applyFill="1" applyBorder="1" applyAlignment="1">
      <alignment vertical="center"/>
    </xf>
    <xf numFmtId="0" fontId="50" fillId="0" borderId="28" xfId="3" applyFont="1" applyFill="1" applyBorder="1" applyAlignment="1">
      <alignment horizontal="center" vertical="center"/>
    </xf>
    <xf numFmtId="0" fontId="49" fillId="0" borderId="11" xfId="3" applyFont="1" applyFill="1" applyBorder="1" applyAlignment="1">
      <alignment horizontal="center" vertical="center"/>
    </xf>
    <xf numFmtId="0" fontId="50" fillId="19" borderId="38" xfId="0" applyFont="1" applyFill="1" applyBorder="1" applyAlignment="1">
      <alignment horizontal="left" vertical="center"/>
    </xf>
    <xf numFmtId="0" fontId="50" fillId="19" borderId="44" xfId="0" applyFont="1" applyFill="1" applyBorder="1" applyAlignment="1">
      <alignment horizontal="left" vertical="center"/>
    </xf>
    <xf numFmtId="0" fontId="50" fillId="19" borderId="28" xfId="0" applyFont="1" applyFill="1" applyBorder="1" applyAlignment="1">
      <alignment horizontal="left" vertical="center"/>
    </xf>
    <xf numFmtId="0" fontId="50" fillId="19" borderId="3" xfId="0" applyFont="1" applyFill="1" applyBorder="1" applyAlignment="1">
      <alignment horizontal="center" vertical="center" wrapText="1"/>
    </xf>
    <xf numFmtId="1" fontId="50" fillId="0" borderId="4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20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4" xfId="3" applyNumberFormat="1" applyFont="1" applyFill="1" applyBorder="1" applyAlignment="1" applyProtection="1">
      <alignment horizontal="center" vertical="center" wrapText="1"/>
      <protection locked="0"/>
    </xf>
    <xf numFmtId="0" fontId="7" fillId="3" borderId="21" xfId="3" applyFont="1" applyFill="1" applyBorder="1" applyAlignment="1">
      <alignment horizontal="center" vertical="center" wrapText="1"/>
    </xf>
    <xf numFmtId="0" fontId="7" fillId="3" borderId="22" xfId="3" applyFont="1" applyFill="1" applyBorder="1" applyAlignment="1">
      <alignment horizontal="center" vertical="center" wrapText="1"/>
    </xf>
    <xf numFmtId="0" fontId="7" fillId="3" borderId="2" xfId="3" applyFont="1" applyFill="1" applyBorder="1" applyAlignment="1">
      <alignment horizontal="center" vertical="center" wrapText="1"/>
    </xf>
    <xf numFmtId="1" fontId="50" fillId="0" borderId="23" xfId="3" applyNumberFormat="1" applyFont="1" applyFill="1" applyBorder="1" applyAlignment="1" applyProtection="1">
      <alignment horizontal="center" vertical="center" wrapText="1"/>
      <protection locked="0"/>
    </xf>
    <xf numFmtId="0" fontId="7" fillId="19" borderId="3" xfId="0" applyFont="1" applyFill="1" applyBorder="1" applyAlignment="1">
      <alignment horizontal="center" vertical="center" wrapText="1"/>
    </xf>
    <xf numFmtId="0" fontId="40" fillId="0" borderId="44" xfId="0" applyFont="1" applyFill="1" applyBorder="1" applyAlignment="1">
      <alignment vertical="center"/>
    </xf>
    <xf numFmtId="0" fontId="40" fillId="0" borderId="13" xfId="0" applyFont="1" applyFill="1" applyBorder="1" applyAlignment="1">
      <alignment vertical="center"/>
    </xf>
    <xf numFmtId="0" fontId="53" fillId="0" borderId="13" xfId="0" applyFont="1" applyFill="1" applyBorder="1" applyAlignment="1">
      <alignment vertical="center"/>
    </xf>
    <xf numFmtId="0" fontId="40" fillId="0" borderId="12" xfId="0" applyFont="1" applyFill="1" applyBorder="1" applyAlignment="1">
      <alignment vertical="center"/>
    </xf>
    <xf numFmtId="0" fontId="40" fillId="0" borderId="12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vertical="center"/>
    </xf>
    <xf numFmtId="0" fontId="48" fillId="0" borderId="13" xfId="0" applyFont="1" applyFill="1" applyBorder="1" applyAlignment="1">
      <alignment vertical="center"/>
    </xf>
    <xf numFmtId="0" fontId="40" fillId="0" borderId="34" xfId="0" applyFont="1" applyFill="1" applyBorder="1" applyAlignment="1">
      <alignment vertical="center"/>
    </xf>
    <xf numFmtId="0" fontId="40" fillId="0" borderId="28" xfId="0" applyFont="1" applyFill="1" applyBorder="1" applyAlignment="1">
      <alignment vertical="center"/>
    </xf>
    <xf numFmtId="0" fontId="40" fillId="0" borderId="11" xfId="0" applyFont="1" applyFill="1" applyBorder="1" applyAlignment="1">
      <alignment vertical="center"/>
    </xf>
    <xf numFmtId="0" fontId="7" fillId="13" borderId="25" xfId="0" applyFont="1" applyFill="1" applyBorder="1" applyAlignment="1">
      <alignment horizontal="center" vertical="center" wrapText="1"/>
    </xf>
    <xf numFmtId="0" fontId="3" fillId="3" borderId="35" xfId="3" applyFont="1" applyFill="1" applyBorder="1" applyAlignment="1">
      <alignment horizontal="center" vertical="center" wrapText="1"/>
    </xf>
    <xf numFmtId="0" fontId="1" fillId="0" borderId="0" xfId="3" applyAlignment="1">
      <alignment vertical="center"/>
    </xf>
    <xf numFmtId="0" fontId="3" fillId="26" borderId="3" xfId="3" applyFont="1" applyFill="1" applyBorder="1" applyAlignment="1">
      <alignment horizontal="center" vertical="center" wrapText="1"/>
    </xf>
    <xf numFmtId="0" fontId="3" fillId="13" borderId="37" xfId="3" applyFont="1" applyFill="1" applyBorder="1" applyAlignment="1">
      <alignment horizontal="center" vertical="center" wrapText="1"/>
    </xf>
    <xf numFmtId="0" fontId="3" fillId="13" borderId="38" xfId="3" applyFont="1" applyFill="1" applyBorder="1" applyAlignment="1">
      <alignment horizontal="center" vertical="center" wrapText="1"/>
    </xf>
    <xf numFmtId="1" fontId="3" fillId="26" borderId="4" xfId="3" applyNumberFormat="1" applyFont="1" applyFill="1" applyBorder="1" applyAlignment="1">
      <alignment horizontal="center" vertical="center" wrapText="1"/>
    </xf>
    <xf numFmtId="0" fontId="5" fillId="25" borderId="0" xfId="3" applyFont="1" applyFill="1" applyBorder="1" applyAlignment="1" applyProtection="1">
      <alignment vertical="center"/>
      <protection locked="0"/>
    </xf>
    <xf numFmtId="0" fontId="2" fillId="0" borderId="39" xfId="3" applyFont="1" applyBorder="1" applyAlignment="1">
      <alignment horizontal="center" vertical="center"/>
    </xf>
    <xf numFmtId="0" fontId="3" fillId="8" borderId="40" xfId="3" applyFont="1" applyFill="1" applyBorder="1" applyAlignment="1">
      <alignment horizontal="left" vertical="center"/>
    </xf>
    <xf numFmtId="0" fontId="3" fillId="7" borderId="23" xfId="3" applyFont="1" applyFill="1" applyBorder="1" applyAlignment="1">
      <alignment horizontal="left" vertical="center"/>
    </xf>
    <xf numFmtId="0" fontId="3" fillId="0" borderId="39" xfId="3" applyFont="1" applyBorder="1" applyAlignment="1">
      <alignment horizontal="center" vertical="center"/>
    </xf>
    <xf numFmtId="0" fontId="1" fillId="0" borderId="0" xfId="3" applyBorder="1" applyAlignment="1">
      <alignment vertical="center"/>
    </xf>
    <xf numFmtId="0" fontId="3" fillId="7" borderId="7" xfId="3" applyFont="1" applyFill="1" applyBorder="1" applyAlignment="1">
      <alignment horizontal="left" vertical="center"/>
    </xf>
    <xf numFmtId="0" fontId="3" fillId="7" borderId="1" xfId="3" applyFont="1" applyFill="1" applyBorder="1" applyAlignment="1">
      <alignment horizontal="center" vertical="center"/>
    </xf>
    <xf numFmtId="0" fontId="3" fillId="7" borderId="1" xfId="3" applyFont="1" applyFill="1" applyBorder="1" applyAlignment="1">
      <alignment horizontal="left" vertical="center"/>
    </xf>
    <xf numFmtId="0" fontId="3" fillId="8" borderId="8" xfId="3" applyFont="1" applyFill="1" applyBorder="1" applyAlignment="1">
      <alignment horizontal="left" vertical="center"/>
    </xf>
    <xf numFmtId="0" fontId="3" fillId="8" borderId="0" xfId="3" applyFont="1" applyFill="1" applyAlignment="1">
      <alignment horizontal="center" vertical="center"/>
    </xf>
    <xf numFmtId="0" fontId="3" fillId="3" borderId="0" xfId="3" applyFont="1" applyFill="1" applyAlignment="1">
      <alignment horizontal="center" vertical="center"/>
    </xf>
    <xf numFmtId="0" fontId="3" fillId="0" borderId="0" xfId="3" applyFont="1" applyFill="1" applyAlignment="1">
      <alignment horizontal="center" vertical="center"/>
    </xf>
    <xf numFmtId="0" fontId="2" fillId="0" borderId="0" xfId="3" applyFont="1" applyBorder="1" applyAlignment="1">
      <alignment vertical="center"/>
    </xf>
    <xf numFmtId="0" fontId="3" fillId="8" borderId="1" xfId="3" applyFont="1" applyFill="1" applyBorder="1" applyAlignment="1">
      <alignment horizontal="center" vertical="center"/>
    </xf>
    <xf numFmtId="0" fontId="3" fillId="8" borderId="1" xfId="3" applyFont="1" applyFill="1" applyBorder="1" applyAlignment="1">
      <alignment horizontal="left" vertical="center"/>
    </xf>
    <xf numFmtId="0" fontId="2" fillId="0" borderId="25" xfId="3" applyFont="1" applyBorder="1" applyAlignment="1">
      <alignment horizontal="center" vertical="center"/>
    </xf>
    <xf numFmtId="0" fontId="3" fillId="8" borderId="41" xfId="3" applyFont="1" applyFill="1" applyBorder="1" applyAlignment="1">
      <alignment horizontal="left" vertical="center"/>
    </xf>
    <xf numFmtId="0" fontId="3" fillId="7" borderId="30" xfId="3" applyFont="1" applyFill="1" applyBorder="1" applyAlignment="1">
      <alignment horizontal="left" vertical="center"/>
    </xf>
    <xf numFmtId="0" fontId="3" fillId="0" borderId="25" xfId="3" applyFont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left" vertical="center"/>
    </xf>
    <xf numFmtId="0" fontId="2" fillId="0" borderId="37" xfId="3" applyFont="1" applyBorder="1" applyAlignment="1">
      <alignment horizontal="center" vertical="center"/>
    </xf>
    <xf numFmtId="0" fontId="3" fillId="8" borderId="42" xfId="3" applyFont="1" applyFill="1" applyBorder="1" applyAlignment="1">
      <alignment horizontal="left" vertical="center"/>
    </xf>
    <xf numFmtId="0" fontId="3" fillId="7" borderId="43" xfId="3" applyFont="1" applyFill="1" applyBorder="1" applyAlignment="1">
      <alignment horizontal="left" vertical="center"/>
    </xf>
    <xf numFmtId="0" fontId="3" fillId="0" borderId="37" xfId="3" applyFont="1" applyBorder="1" applyAlignment="1">
      <alignment horizontal="center" vertical="center"/>
    </xf>
    <xf numFmtId="0" fontId="2" fillId="0" borderId="28" xfId="3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4" fillId="4" borderId="21" xfId="1" applyFont="1" applyFill="1" applyBorder="1" applyAlignment="1">
      <alignment horizontal="center" vertical="center"/>
    </xf>
    <xf numFmtId="2" fontId="24" fillId="4" borderId="22" xfId="1" applyNumberFormat="1" applyFont="1" applyFill="1" applyBorder="1" applyAlignment="1">
      <alignment horizontal="center" vertical="center"/>
    </xf>
    <xf numFmtId="0" fontId="24" fillId="4" borderId="22" xfId="1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/>
    </xf>
    <xf numFmtId="2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/>
    </xf>
    <xf numFmtId="0" fontId="26" fillId="0" borderId="16" xfId="1" applyNumberFormat="1" applyFont="1" applyBorder="1" applyAlignment="1">
      <alignment horizontal="center" vertical="center"/>
    </xf>
    <xf numFmtId="0" fontId="26" fillId="0" borderId="7" xfId="1" applyNumberFormat="1" applyFont="1" applyBorder="1" applyAlignment="1">
      <alignment horizontal="center" vertical="center"/>
    </xf>
    <xf numFmtId="0" fontId="26" fillId="0" borderId="45" xfId="1" applyNumberFormat="1" applyFont="1" applyBorder="1" applyAlignment="1">
      <alignment horizontal="center" vertical="center"/>
    </xf>
    <xf numFmtId="0" fontId="26" fillId="0" borderId="24" xfId="1" applyNumberFormat="1" applyFont="1" applyBorder="1" applyAlignment="1">
      <alignment horizontal="center" vertical="center"/>
    </xf>
    <xf numFmtId="0" fontId="26" fillId="0" borderId="14" xfId="1" applyNumberFormat="1" applyFont="1" applyBorder="1" applyAlignment="1">
      <alignment horizontal="center" vertical="center"/>
    </xf>
    <xf numFmtId="0" fontId="26" fillId="0" borderId="29" xfId="1" applyNumberFormat="1" applyFont="1" applyBorder="1" applyAlignment="1">
      <alignment horizontal="center" vertical="center"/>
    </xf>
    <xf numFmtId="0" fontId="26" fillId="0" borderId="16" xfId="1" applyFont="1" applyBorder="1" applyAlignment="1">
      <alignment horizontal="center" vertical="center"/>
    </xf>
    <xf numFmtId="0" fontId="26" fillId="0" borderId="1" xfId="1" applyNumberFormat="1" applyFont="1" applyBorder="1" applyAlignment="1">
      <alignment horizontal="center" vertical="center"/>
    </xf>
    <xf numFmtId="0" fontId="26" fillId="0" borderId="15" xfId="1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0" fontId="26" fillId="0" borderId="23" xfId="1" applyNumberFormat="1" applyFont="1" applyBorder="1" applyAlignment="1">
      <alignment horizontal="center" vertical="center"/>
    </xf>
    <xf numFmtId="0" fontId="26" fillId="0" borderId="15" xfId="1" applyFont="1" applyFill="1" applyBorder="1" applyAlignment="1">
      <alignment horizontal="center" vertical="center"/>
    </xf>
    <xf numFmtId="2" fontId="26" fillId="0" borderId="1" xfId="1" applyNumberFormat="1" applyFont="1" applyFill="1" applyBorder="1" applyAlignment="1">
      <alignment horizontal="center" vertical="center"/>
    </xf>
    <xf numFmtId="0" fontId="26" fillId="0" borderId="1" xfId="1" applyFont="1" applyFill="1" applyBorder="1" applyAlignment="1">
      <alignment horizontal="center" vertical="center"/>
    </xf>
    <xf numFmtId="0" fontId="26" fillId="0" borderId="16" xfId="1" applyNumberFormat="1" applyFont="1" applyFill="1" applyBorder="1" applyAlignment="1">
      <alignment horizontal="center" vertical="center"/>
    </xf>
    <xf numFmtId="0" fontId="26" fillId="0" borderId="7" xfId="1" applyNumberFormat="1" applyFont="1" applyFill="1" applyBorder="1" applyAlignment="1">
      <alignment horizontal="center" vertical="center"/>
    </xf>
    <xf numFmtId="0" fontId="26" fillId="0" borderId="17" xfId="1" applyFont="1" applyFill="1" applyBorder="1" applyAlignment="1">
      <alignment horizontal="center" vertical="center"/>
    </xf>
    <xf numFmtId="2" fontId="26" fillId="0" borderId="18" xfId="1" applyNumberFormat="1" applyFont="1" applyFill="1" applyBorder="1" applyAlignment="1">
      <alignment horizontal="center" vertical="center"/>
    </xf>
    <xf numFmtId="0" fontId="26" fillId="0" borderId="18" xfId="1" applyFont="1" applyFill="1" applyBorder="1" applyAlignment="1">
      <alignment horizontal="center" vertical="center"/>
    </xf>
    <xf numFmtId="0" fontId="26" fillId="0" borderId="19" xfId="1" applyNumberFormat="1" applyFont="1" applyFill="1" applyBorder="1" applyAlignment="1">
      <alignment horizontal="center" vertical="center"/>
    </xf>
    <xf numFmtId="0" fontId="26" fillId="0" borderId="30" xfId="1" applyNumberFormat="1" applyFont="1" applyFill="1" applyBorder="1" applyAlignment="1">
      <alignment horizontal="center" vertical="center"/>
    </xf>
    <xf numFmtId="0" fontId="26" fillId="0" borderId="58" xfId="1" applyNumberFormat="1" applyFont="1" applyBorder="1" applyAlignment="1">
      <alignment horizontal="center" vertical="center"/>
    </xf>
    <xf numFmtId="0" fontId="26" fillId="0" borderId="19" xfId="1" applyNumberFormat="1" applyFont="1" applyBorder="1" applyAlignment="1">
      <alignment horizontal="center" vertical="center"/>
    </xf>
    <xf numFmtId="0" fontId="26" fillId="0" borderId="59" xfId="1" applyNumberFormat="1" applyFont="1" applyBorder="1" applyAlignment="1">
      <alignment horizontal="center" vertical="center"/>
    </xf>
    <xf numFmtId="0" fontId="26" fillId="0" borderId="17" xfId="1" applyFont="1" applyBorder="1" applyAlignment="1">
      <alignment horizontal="center" vertical="center"/>
    </xf>
    <xf numFmtId="0" fontId="26" fillId="0" borderId="18" xfId="1" applyFont="1" applyBorder="1" applyAlignment="1">
      <alignment horizontal="center" vertical="center"/>
    </xf>
    <xf numFmtId="0" fontId="26" fillId="0" borderId="19" xfId="1" applyFont="1" applyBorder="1" applyAlignment="1">
      <alignment horizontal="center" vertical="center"/>
    </xf>
    <xf numFmtId="0" fontId="26" fillId="0" borderId="17" xfId="1" applyNumberFormat="1" applyFont="1" applyBorder="1" applyAlignment="1">
      <alignment horizontal="center" vertical="center"/>
    </xf>
    <xf numFmtId="0" fontId="26" fillId="0" borderId="18" xfId="1" applyNumberFormat="1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0" fontId="22" fillId="0" borderId="28" xfId="0" applyFont="1" applyBorder="1" applyAlignment="1">
      <alignment vertical="center"/>
    </xf>
    <xf numFmtId="0" fontId="26" fillId="0" borderId="25" xfId="1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left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left" vertical="center"/>
    </xf>
    <xf numFmtId="0" fontId="29" fillId="9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left" vertical="center"/>
    </xf>
    <xf numFmtId="0" fontId="29" fillId="9" borderId="26" xfId="0" applyFont="1" applyFill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left" vertical="center"/>
    </xf>
    <xf numFmtId="0" fontId="29" fillId="6" borderId="20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left" vertical="center"/>
    </xf>
    <xf numFmtId="0" fontId="27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0" fillId="19" borderId="6" xfId="0" applyFont="1" applyFill="1" applyBorder="1" applyAlignment="1">
      <alignment horizontal="left" vertical="center"/>
    </xf>
    <xf numFmtId="0" fontId="7" fillId="19" borderId="4" xfId="0" applyFont="1" applyFill="1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2" fillId="7" borderId="0" xfId="3" applyFont="1" applyFill="1" applyAlignment="1">
      <alignment horizontal="left" vertical="center"/>
    </xf>
    <xf numFmtId="0" fontId="2" fillId="8" borderId="0" xfId="3" applyFont="1" applyFill="1" applyAlignment="1">
      <alignment horizontal="left" vertical="center"/>
    </xf>
    <xf numFmtId="0" fontId="2" fillId="3" borderId="0" xfId="3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1" fontId="29" fillId="8" borderId="1" xfId="0" applyNumberFormat="1" applyFont="1" applyFill="1" applyBorder="1" applyAlignment="1">
      <alignment horizontal="left" vertical="center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1" fontId="7" fillId="2" borderId="46" xfId="0" applyNumberFormat="1" applyFont="1" applyFill="1" applyBorder="1" applyAlignment="1">
      <alignment horizontal="center" vertical="center" wrapText="1"/>
    </xf>
    <xf numFmtId="1" fontId="7" fillId="2" borderId="48" xfId="0" applyNumberFormat="1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left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/>
    </xf>
    <xf numFmtId="0" fontId="40" fillId="0" borderId="0" xfId="0" applyFont="1" applyBorder="1" applyAlignment="1">
      <alignment horizontal="center"/>
    </xf>
    <xf numFmtId="0" fontId="54" fillId="2" borderId="61" xfId="0" applyFont="1" applyFill="1" applyBorder="1" applyAlignment="1">
      <alignment horizontal="center" vertical="center"/>
    </xf>
    <xf numFmtId="0" fontId="50" fillId="9" borderId="50" xfId="0" applyFont="1" applyFill="1" applyBorder="1" applyAlignment="1">
      <alignment horizontal="center" vertical="center"/>
    </xf>
    <xf numFmtId="0" fontId="50" fillId="9" borderId="48" xfId="0" applyFont="1" applyFill="1" applyBorder="1" applyAlignment="1">
      <alignment horizontal="center" vertical="center"/>
    </xf>
    <xf numFmtId="2" fontId="7" fillId="28" borderId="1" xfId="0" applyNumberFormat="1" applyFont="1" applyFill="1" applyBorder="1" applyAlignment="1">
      <alignment horizontal="center" vertical="center"/>
    </xf>
    <xf numFmtId="0" fontId="40" fillId="30" borderId="0" xfId="0" applyFont="1" applyFill="1" applyAlignment="1">
      <alignment vertical="center"/>
    </xf>
    <xf numFmtId="168" fontId="40" fillId="30" borderId="0" xfId="0" applyNumberFormat="1" applyFont="1" applyFill="1" applyAlignment="1">
      <alignment vertical="center"/>
    </xf>
    <xf numFmtId="9" fontId="40" fillId="30" borderId="0" xfId="4" applyFont="1" applyFill="1" applyAlignment="1">
      <alignment vertical="center"/>
    </xf>
    <xf numFmtId="3" fontId="55" fillId="23" borderId="51" xfId="7" applyNumberFormat="1" applyFont="1" applyFill="1" applyBorder="1" applyAlignment="1">
      <alignment horizontal="center" vertical="center"/>
    </xf>
    <xf numFmtId="3" fontId="55" fillId="23" borderId="52" xfId="7" applyNumberFormat="1" applyFont="1" applyFill="1" applyBorder="1" applyAlignment="1">
      <alignment horizontal="center" vertical="center"/>
    </xf>
    <xf numFmtId="3" fontId="55" fillId="23" borderId="47" xfId="7" applyNumberFormat="1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vertical="center"/>
    </xf>
    <xf numFmtId="2" fontId="44" fillId="2" borderId="3" xfId="0" applyNumberFormat="1" applyFont="1" applyFill="1" applyBorder="1" applyAlignment="1">
      <alignment vertical="center"/>
    </xf>
    <xf numFmtId="2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0" fontId="43" fillId="0" borderId="3" xfId="1" applyFont="1" applyBorder="1" applyAlignment="1">
      <alignment horizontal="center" vertical="center"/>
    </xf>
    <xf numFmtId="0" fontId="43" fillId="0" borderId="3" xfId="1" applyFont="1" applyBorder="1" applyAlignment="1">
      <alignment horizontal="left" vertical="center"/>
    </xf>
    <xf numFmtId="0" fontId="43" fillId="0" borderId="45" xfId="1" applyFont="1" applyBorder="1" applyAlignment="1">
      <alignment horizontal="center" vertical="center"/>
    </xf>
    <xf numFmtId="2" fontId="43" fillId="0" borderId="3" xfId="1" applyNumberFormat="1" applyFont="1" applyBorder="1" applyAlignment="1">
      <alignment horizontal="center" vertical="center"/>
    </xf>
    <xf numFmtId="0" fontId="43" fillId="0" borderId="45" xfId="1" applyFont="1" applyBorder="1" applyAlignment="1">
      <alignment horizontal="left" vertical="center"/>
    </xf>
    <xf numFmtId="2" fontId="43" fillId="0" borderId="45" xfId="1" applyNumberFormat="1" applyFont="1" applyBorder="1" applyAlignment="1">
      <alignment horizontal="center" vertical="center"/>
    </xf>
    <xf numFmtId="0" fontId="43" fillId="0" borderId="57" xfId="1" applyFont="1" applyBorder="1" applyAlignment="1">
      <alignment horizontal="center" vertical="center"/>
    </xf>
    <xf numFmtId="0" fontId="43" fillId="0" borderId="57" xfId="1" applyFont="1" applyBorder="1" applyAlignment="1">
      <alignment horizontal="left" vertical="center"/>
    </xf>
    <xf numFmtId="2" fontId="43" fillId="0" borderId="57" xfId="1" applyNumberFormat="1" applyFont="1" applyBorder="1" applyAlignment="1">
      <alignment horizontal="center" vertical="center"/>
    </xf>
    <xf numFmtId="0" fontId="43" fillId="0" borderId="57" xfId="1" applyNumberFormat="1" applyFont="1" applyBorder="1" applyAlignment="1">
      <alignment horizontal="center" vertical="center"/>
    </xf>
    <xf numFmtId="0" fontId="43" fillId="0" borderId="58" xfId="1" applyFont="1" applyBorder="1" applyAlignment="1">
      <alignment horizontal="center" vertical="center"/>
    </xf>
    <xf numFmtId="0" fontId="43" fillId="0" borderId="58" xfId="1" applyFont="1" applyBorder="1" applyAlignment="1">
      <alignment horizontal="left" vertical="center"/>
    </xf>
    <xf numFmtId="2" fontId="43" fillId="0" borderId="58" xfId="1" applyNumberFormat="1" applyFont="1" applyBorder="1" applyAlignment="1">
      <alignment horizontal="center" vertical="center"/>
    </xf>
    <xf numFmtId="0" fontId="43" fillId="0" borderId="60" xfId="1" applyFont="1" applyBorder="1" applyAlignment="1">
      <alignment horizontal="center" vertical="center"/>
    </xf>
    <xf numFmtId="0" fontId="43" fillId="0" borderId="60" xfId="1" applyFont="1" applyBorder="1" applyAlignment="1">
      <alignment horizontal="left" vertical="center"/>
    </xf>
    <xf numFmtId="2" fontId="43" fillId="0" borderId="60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27" borderId="0" xfId="3" applyFont="1" applyFill="1" applyAlignment="1">
      <alignment vertical="center"/>
    </xf>
    <xf numFmtId="0" fontId="50" fillId="27" borderId="3" xfId="0" applyNumberFormat="1" applyFont="1" applyFill="1" applyBorder="1" applyAlignment="1" applyProtection="1">
      <alignment horizontal="center" vertical="center"/>
    </xf>
    <xf numFmtId="171" fontId="50" fillId="27" borderId="3" xfId="0" applyNumberFormat="1" applyFont="1" applyFill="1" applyBorder="1" applyAlignment="1" applyProtection="1">
      <alignment horizontal="center" vertical="center"/>
    </xf>
    <xf numFmtId="1" fontId="50" fillId="27" borderId="3" xfId="0" applyNumberFormat="1" applyFont="1" applyFill="1" applyBorder="1" applyAlignment="1" applyProtection="1">
      <alignment horizontal="center" vertical="center"/>
    </xf>
    <xf numFmtId="49" fontId="50" fillId="27" borderId="3" xfId="0" applyNumberFormat="1" applyFont="1" applyFill="1" applyBorder="1" applyAlignment="1" applyProtection="1">
      <alignment horizontal="center" vertical="center"/>
    </xf>
    <xf numFmtId="0" fontId="54" fillId="2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vertical="center"/>
    </xf>
    <xf numFmtId="1" fontId="7" fillId="0" borderId="22" xfId="0" applyNumberFormat="1" applyFont="1" applyFill="1" applyBorder="1" applyAlignment="1">
      <alignment horizontal="center" vertical="center" wrapText="1"/>
    </xf>
    <xf numFmtId="0" fontId="56" fillId="0" borderId="16" xfId="0" applyFont="1" applyFill="1" applyBorder="1" applyAlignment="1">
      <alignment horizontal="center" vertical="center"/>
    </xf>
    <xf numFmtId="0" fontId="43" fillId="0" borderId="24" xfId="1" applyFont="1" applyBorder="1" applyAlignment="1">
      <alignment horizontal="center" vertical="center"/>
    </xf>
    <xf numFmtId="0" fontId="43" fillId="0" borderId="24" xfId="1" applyFont="1" applyBorder="1" applyAlignment="1">
      <alignment horizontal="left" vertical="center"/>
    </xf>
    <xf numFmtId="0" fontId="43" fillId="0" borderId="60" xfId="1" applyNumberFormat="1" applyFont="1" applyBorder="1" applyAlignment="1">
      <alignment horizontal="center" vertical="center"/>
    </xf>
    <xf numFmtId="3" fontId="55" fillId="3" borderId="3" xfId="7" applyNumberFormat="1" applyFont="1" applyFill="1" applyBorder="1" applyAlignment="1">
      <alignment horizontal="center" vertical="center"/>
    </xf>
    <xf numFmtId="0" fontId="57" fillId="0" borderId="0" xfId="3" applyFont="1" applyAlignment="1">
      <alignment vertical="center"/>
    </xf>
    <xf numFmtId="1" fontId="3" fillId="0" borderId="15" xfId="3" applyNumberFormat="1" applyFont="1" applyFill="1" applyBorder="1" applyAlignment="1">
      <alignment horizontal="center" vertical="center" wrapText="1"/>
    </xf>
    <xf numFmtId="1" fontId="3" fillId="0" borderId="1" xfId="3" applyNumberFormat="1" applyFont="1" applyFill="1" applyBorder="1" applyAlignment="1">
      <alignment horizontal="center" vertical="center" wrapText="1"/>
    </xf>
    <xf numFmtId="1" fontId="3" fillId="0" borderId="15" xfId="3" applyNumberFormat="1" applyFont="1" applyFill="1" applyBorder="1" applyAlignment="1" applyProtection="1">
      <alignment horizontal="center" vertical="center" wrapText="1"/>
    </xf>
    <xf numFmtId="1" fontId="3" fillId="0" borderId="1" xfId="3" applyNumberFormat="1" applyFont="1" applyFill="1" applyBorder="1" applyAlignment="1" applyProtection="1">
      <alignment horizontal="center" vertical="center" wrapText="1"/>
    </xf>
    <xf numFmtId="1" fontId="3" fillId="0" borderId="16" xfId="3" applyNumberFormat="1" applyFont="1" applyFill="1" applyBorder="1" applyAlignment="1" applyProtection="1">
      <alignment horizontal="center" vertical="center" wrapText="1"/>
    </xf>
    <xf numFmtId="1" fontId="3" fillId="0" borderId="49" xfId="3" applyNumberFormat="1" applyFont="1" applyFill="1" applyBorder="1" applyAlignment="1">
      <alignment horizontal="center" vertical="center" wrapText="1"/>
    </xf>
    <xf numFmtId="1" fontId="3" fillId="0" borderId="20" xfId="3" applyNumberFormat="1" applyFont="1" applyFill="1" applyBorder="1" applyAlignment="1">
      <alignment horizontal="center" vertical="center" wrapText="1"/>
    </xf>
    <xf numFmtId="0" fontId="3" fillId="13" borderId="3" xfId="3" applyFont="1" applyFill="1" applyBorder="1" applyAlignment="1">
      <alignment horizontal="center" vertical="center" wrapText="1"/>
    </xf>
    <xf numFmtId="0" fontId="3" fillId="13" borderId="4" xfId="3" applyFont="1" applyFill="1" applyBorder="1" applyAlignment="1">
      <alignment horizontal="center" vertical="center" wrapText="1"/>
    </xf>
    <xf numFmtId="0" fontId="3" fillId="13" borderId="6" xfId="3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167" fontId="2" fillId="0" borderId="1" xfId="3" applyNumberFormat="1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58" fillId="0" borderId="0" xfId="0" applyFont="1"/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2" fillId="5" borderId="1" xfId="0" applyFont="1" applyFill="1" applyBorder="1" applyAlignment="1">
      <alignment horizontal="center" vertical="center"/>
    </xf>
    <xf numFmtId="0" fontId="62" fillId="5" borderId="1" xfId="0" applyFont="1" applyFill="1" applyBorder="1" applyAlignment="1">
      <alignment vertical="center"/>
    </xf>
    <xf numFmtId="0" fontId="62" fillId="11" borderId="1" xfId="0" applyFont="1" applyFill="1" applyBorder="1" applyAlignment="1">
      <alignment horizontal="center" vertical="center"/>
    </xf>
    <xf numFmtId="0" fontId="62" fillId="11" borderId="1" xfId="0" applyFont="1" applyFill="1" applyBorder="1" applyAlignment="1">
      <alignment vertical="center"/>
    </xf>
    <xf numFmtId="0" fontId="62" fillId="14" borderId="1" xfId="0" applyFont="1" applyFill="1" applyBorder="1" applyAlignment="1">
      <alignment horizontal="center" vertical="center"/>
    </xf>
    <xf numFmtId="0" fontId="62" fillId="14" borderId="1" xfId="0" applyFont="1" applyFill="1" applyBorder="1" applyAlignment="1">
      <alignment vertical="center"/>
    </xf>
    <xf numFmtId="0" fontId="61" fillId="29" borderId="1" xfId="0" applyNumberFormat="1" applyFont="1" applyFill="1" applyBorder="1" applyAlignment="1">
      <alignment horizontal="center" vertical="center"/>
    </xf>
    <xf numFmtId="49" fontId="61" fillId="29" borderId="1" xfId="0" applyNumberFormat="1" applyFont="1" applyFill="1" applyBorder="1" applyAlignment="1">
      <alignment horizontal="left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3" fontId="55" fillId="23" borderId="38" xfId="7" applyNumberFormat="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/>
    </xf>
    <xf numFmtId="0" fontId="55" fillId="0" borderId="46" xfId="0" applyFont="1" applyBorder="1" applyAlignment="1">
      <alignment horizontal="center" vertical="center"/>
    </xf>
    <xf numFmtId="0" fontId="2" fillId="0" borderId="0" xfId="2" applyFont="1" applyFill="1" applyAlignment="1">
      <alignment horizontal="center"/>
    </xf>
    <xf numFmtId="0" fontId="46" fillId="3" borderId="3" xfId="0" applyFont="1" applyFill="1" applyBorder="1" applyAlignment="1">
      <alignment horizontal="center" vertical="center"/>
    </xf>
    <xf numFmtId="0" fontId="46" fillId="3" borderId="3" xfId="0" applyFont="1" applyFill="1" applyBorder="1" applyAlignment="1">
      <alignment horizontal="center" vertical="center" wrapText="1"/>
    </xf>
    <xf numFmtId="0" fontId="62" fillId="0" borderId="25" xfId="2" applyFont="1" applyBorder="1" applyAlignment="1">
      <alignment vertical="center"/>
    </xf>
    <xf numFmtId="0" fontId="62" fillId="0" borderId="11" xfId="2" applyFont="1" applyBorder="1" applyAlignment="1">
      <alignment horizontal="center" vertical="center"/>
    </xf>
    <xf numFmtId="0" fontId="62" fillId="28" borderId="11" xfId="2" applyFont="1" applyFill="1" applyBorder="1" applyAlignment="1">
      <alignment horizontal="center" vertical="center"/>
    </xf>
    <xf numFmtId="0" fontId="62" fillId="0" borderId="11" xfId="2" applyFont="1" applyBorder="1" applyAlignment="1">
      <alignment vertical="center"/>
    </xf>
    <xf numFmtId="1" fontId="62" fillId="0" borderId="11" xfId="2" applyNumberFormat="1" applyFont="1" applyBorder="1" applyAlignment="1">
      <alignment horizontal="center" vertical="center"/>
    </xf>
    <xf numFmtId="0" fontId="62" fillId="28" borderId="11" xfId="2" applyFont="1" applyFill="1" applyBorder="1" applyAlignment="1">
      <alignment vertical="center"/>
    </xf>
    <xf numFmtId="0" fontId="46" fillId="23" borderId="3" xfId="2" applyFont="1" applyFill="1" applyBorder="1" applyAlignment="1">
      <alignment horizontal="center" vertical="center" wrapText="1"/>
    </xf>
    <xf numFmtId="0" fontId="65" fillId="23" borderId="6" xfId="2" applyFont="1" applyFill="1" applyBorder="1" applyAlignment="1">
      <alignment horizontal="center" vertical="center" wrapText="1"/>
    </xf>
    <xf numFmtId="0" fontId="41" fillId="23" borderId="3" xfId="2" applyFont="1" applyFill="1" applyBorder="1" applyAlignment="1">
      <alignment horizontal="center" vertical="center"/>
    </xf>
    <xf numFmtId="0" fontId="41" fillId="23" borderId="6" xfId="2" applyFont="1" applyFill="1" applyBorder="1" applyAlignment="1">
      <alignment horizontal="center" vertical="center"/>
    </xf>
    <xf numFmtId="0" fontId="7" fillId="13" borderId="21" xfId="0" applyFont="1" applyFill="1" applyBorder="1" applyAlignment="1">
      <alignment horizontal="center" vertical="center" wrapText="1"/>
    </xf>
    <xf numFmtId="3" fontId="55" fillId="3" borderId="5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40" fillId="0" borderId="34" xfId="0" applyFont="1" applyFill="1" applyBorder="1" applyAlignment="1">
      <alignment horizontal="center" vertical="center"/>
    </xf>
    <xf numFmtId="3" fontId="55" fillId="0" borderId="46" xfId="7" applyNumberFormat="1" applyFont="1" applyFill="1" applyBorder="1" applyAlignment="1">
      <alignment horizontal="center" vertical="center"/>
    </xf>
    <xf numFmtId="0" fontId="7" fillId="15" borderId="46" xfId="0" applyNumberFormat="1" applyFont="1" applyFill="1" applyBorder="1" applyAlignment="1" applyProtection="1">
      <alignment horizontal="center" vertical="center"/>
    </xf>
    <xf numFmtId="0" fontId="40" fillId="30" borderId="1" xfId="0" applyFont="1" applyFill="1" applyBorder="1" applyAlignment="1">
      <alignment vertical="center"/>
    </xf>
    <xf numFmtId="0" fontId="55" fillId="0" borderId="46" xfId="7" applyNumberFormat="1" applyFont="1" applyFill="1" applyBorder="1" applyAlignment="1">
      <alignment horizontal="center" vertical="center"/>
    </xf>
    <xf numFmtId="164" fontId="7" fillId="28" borderId="1" xfId="1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 wrapText="1"/>
    </xf>
    <xf numFmtId="0" fontId="50" fillId="27" borderId="0" xfId="0" applyFont="1" applyFill="1" applyBorder="1" applyAlignment="1">
      <alignment horizontal="left" vertical="center"/>
    </xf>
    <xf numFmtId="0" fontId="50" fillId="27" borderId="0" xfId="0" applyFont="1" applyFill="1" applyBorder="1" applyAlignment="1">
      <alignment vertical="center"/>
    </xf>
    <xf numFmtId="3" fontId="55" fillId="23" borderId="21" xfId="7" applyNumberFormat="1" applyFont="1" applyFill="1" applyBorder="1" applyAlignment="1">
      <alignment horizontal="center" vertical="center"/>
    </xf>
    <xf numFmtId="3" fontId="55" fillId="23" borderId="22" xfId="7" applyNumberFormat="1" applyFont="1" applyFill="1" applyBorder="1" applyAlignment="1">
      <alignment horizontal="center" vertical="center" wrapText="1"/>
    </xf>
    <xf numFmtId="3" fontId="55" fillId="23" borderId="22" xfId="7" applyNumberFormat="1" applyFont="1" applyFill="1" applyBorder="1" applyAlignment="1">
      <alignment horizontal="center" vertical="center"/>
    </xf>
    <xf numFmtId="3" fontId="55" fillId="23" borderId="2" xfId="7" applyNumberFormat="1" applyFont="1" applyFill="1" applyBorder="1" applyAlignment="1">
      <alignment horizontal="center" vertical="center" wrapText="1"/>
    </xf>
    <xf numFmtId="0" fontId="41" fillId="19" borderId="0" xfId="0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center" vertical="center"/>
    </xf>
    <xf numFmtId="0" fontId="40" fillId="30" borderId="14" xfId="0" applyFont="1" applyFill="1" applyBorder="1" applyAlignment="1">
      <alignment horizontal="center" vertical="center"/>
    </xf>
    <xf numFmtId="0" fontId="68" fillId="0" borderId="3" xfId="0" applyFont="1" applyBorder="1" applyAlignment="1">
      <alignment vertical="center"/>
    </xf>
    <xf numFmtId="172" fontId="68" fillId="0" borderId="3" xfId="12" applyNumberFormat="1" applyFont="1" applyBorder="1" applyAlignment="1">
      <alignment vertical="center"/>
    </xf>
    <xf numFmtId="164" fontId="40" fillId="30" borderId="0" xfId="0" applyNumberFormat="1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62" fillId="0" borderId="20" xfId="0" applyFont="1" applyFill="1" applyBorder="1" applyAlignment="1">
      <alignment horizontal="center" vertical="center"/>
    </xf>
    <xf numFmtId="0" fontId="62" fillId="0" borderId="20" xfId="0" applyFont="1" applyFill="1" applyBorder="1" applyAlignment="1">
      <alignment vertical="center"/>
    </xf>
    <xf numFmtId="0" fontId="60" fillId="0" borderId="20" xfId="0" applyFont="1" applyFill="1" applyBorder="1" applyAlignment="1">
      <alignment horizontal="center" vertical="center"/>
    </xf>
    <xf numFmtId="1" fontId="69" fillId="3" borderId="3" xfId="0" applyNumberFormat="1" applyFont="1" applyFill="1" applyBorder="1" applyAlignment="1" applyProtection="1">
      <alignment horizontal="center" vertical="center"/>
    </xf>
    <xf numFmtId="0" fontId="70" fillId="0" borderId="8" xfId="6" applyFont="1" applyFill="1" applyBorder="1" applyAlignment="1" applyProtection="1">
      <alignment horizontal="center" vertical="center"/>
      <protection locked="0"/>
    </xf>
    <xf numFmtId="165" fontId="70" fillId="0" borderId="1" xfId="0" applyNumberFormat="1" applyFont="1" applyFill="1" applyBorder="1" applyAlignment="1" applyProtection="1">
      <alignment horizontal="center" vertical="center"/>
      <protection locked="0"/>
    </xf>
    <xf numFmtId="2" fontId="40" fillId="30" borderId="1" xfId="0" applyNumberFormat="1" applyFont="1" applyFill="1" applyBorder="1" applyAlignment="1">
      <alignment horizontal="center" vertical="center"/>
    </xf>
    <xf numFmtId="3" fontId="71" fillId="18" borderId="20" xfId="7" applyNumberFormat="1" applyFont="1" applyFill="1" applyBorder="1" applyAlignment="1">
      <alignment horizontal="center"/>
    </xf>
    <xf numFmtId="0" fontId="40" fillId="30" borderId="0" xfId="0" applyFont="1" applyFill="1" applyAlignment="1">
      <alignment horizontal="center" vertical="center"/>
    </xf>
    <xf numFmtId="0" fontId="7" fillId="30" borderId="1" xfId="0" applyFont="1" applyFill="1" applyBorder="1" applyAlignment="1">
      <alignment horizontal="center" vertical="center"/>
    </xf>
    <xf numFmtId="165" fontId="70" fillId="0" borderId="23" xfId="0" applyNumberFormat="1" applyFont="1" applyFill="1" applyBorder="1" applyAlignment="1" applyProtection="1">
      <alignment horizontal="center" vertical="center"/>
      <protection locked="0"/>
    </xf>
    <xf numFmtId="2" fontId="7" fillId="30" borderId="7" xfId="0" applyNumberFormat="1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vertical="center"/>
    </xf>
    <xf numFmtId="3" fontId="74" fillId="0" borderId="65" xfId="7" applyNumberFormat="1" applyFont="1" applyFill="1" applyBorder="1" applyAlignment="1">
      <alignment horizontal="center"/>
    </xf>
    <xf numFmtId="3" fontId="74" fillId="0" borderId="0" xfId="7" applyNumberFormat="1" applyFont="1" applyFill="1" applyBorder="1" applyAlignment="1">
      <alignment horizontal="center"/>
    </xf>
    <xf numFmtId="2" fontId="73" fillId="0" borderId="65" xfId="0" applyNumberFormat="1" applyFont="1" applyFill="1" applyBorder="1" applyAlignment="1">
      <alignment horizontal="center" vertical="center"/>
    </xf>
    <xf numFmtId="2" fontId="73" fillId="0" borderId="0" xfId="0" applyNumberFormat="1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14" fillId="21" borderId="28" xfId="0" applyFont="1" applyFill="1" applyBorder="1" applyAlignment="1">
      <alignment horizontal="center" vertical="center"/>
    </xf>
    <xf numFmtId="169" fontId="37" fillId="13" borderId="1" xfId="8" applyNumberFormat="1" applyFont="1" applyFill="1" applyBorder="1" applyAlignment="1"/>
    <xf numFmtId="165" fontId="40" fillId="30" borderId="0" xfId="0" applyNumberFormat="1" applyFont="1" applyFill="1" applyAlignment="1">
      <alignment vertical="center"/>
    </xf>
    <xf numFmtId="0" fontId="56" fillId="0" borderId="4" xfId="0" applyFont="1" applyFill="1" applyBorder="1" applyAlignment="1">
      <alignment horizontal="left" vertical="center"/>
    </xf>
    <xf numFmtId="0" fontId="56" fillId="0" borderId="5" xfId="0" applyFont="1" applyFill="1" applyBorder="1" applyAlignment="1">
      <alignment horizontal="left" vertical="center"/>
    </xf>
    <xf numFmtId="0" fontId="56" fillId="0" borderId="6" xfId="0" applyFont="1" applyFill="1" applyBorder="1" applyAlignment="1">
      <alignment horizontal="left" vertical="center"/>
    </xf>
    <xf numFmtId="0" fontId="52" fillId="31" borderId="4" xfId="0" applyFont="1" applyFill="1" applyBorder="1" applyAlignment="1">
      <alignment horizontal="left" vertical="center"/>
    </xf>
    <xf numFmtId="0" fontId="52" fillId="31" borderId="5" xfId="0" applyFont="1" applyFill="1" applyBorder="1" applyAlignment="1">
      <alignment horizontal="left" vertical="center"/>
    </xf>
    <xf numFmtId="0" fontId="52" fillId="31" borderId="6" xfId="0" applyFont="1" applyFill="1" applyBorder="1" applyAlignment="1">
      <alignment horizontal="left" vertical="center"/>
    </xf>
    <xf numFmtId="171" fontId="50" fillId="27" borderId="4" xfId="0" applyNumberFormat="1" applyFont="1" applyFill="1" applyBorder="1" applyAlignment="1" applyProtection="1">
      <alignment horizontal="center" vertical="center"/>
    </xf>
    <xf numFmtId="171" fontId="50" fillId="27" borderId="5" xfId="0" applyNumberFormat="1" applyFont="1" applyFill="1" applyBorder="1" applyAlignment="1" applyProtection="1">
      <alignment horizontal="center" vertical="center"/>
    </xf>
    <xf numFmtId="171" fontId="50" fillId="27" borderId="6" xfId="0" applyNumberFormat="1" applyFont="1" applyFill="1" applyBorder="1" applyAlignment="1" applyProtection="1">
      <alignment horizontal="center" vertical="center"/>
    </xf>
    <xf numFmtId="0" fontId="50" fillId="19" borderId="3" xfId="3" applyFont="1" applyFill="1" applyBorder="1" applyAlignment="1">
      <alignment horizontal="center" vertical="center" wrapText="1"/>
    </xf>
    <xf numFmtId="0" fontId="47" fillId="0" borderId="0" xfId="3" applyFont="1" applyFill="1" applyBorder="1" applyAlignment="1">
      <alignment horizontal="left" vertical="center"/>
    </xf>
    <xf numFmtId="0" fontId="50" fillId="3" borderId="4" xfId="3" applyFont="1" applyFill="1" applyBorder="1" applyAlignment="1">
      <alignment horizontal="center" vertical="center" wrapText="1"/>
    </xf>
    <xf numFmtId="0" fontId="50" fillId="3" borderId="5" xfId="3" applyFont="1" applyFill="1" applyBorder="1" applyAlignment="1">
      <alignment horizontal="center" vertical="center" wrapText="1"/>
    </xf>
    <xf numFmtId="0" fontId="50" fillId="3" borderId="6" xfId="3" applyFont="1" applyFill="1" applyBorder="1" applyAlignment="1">
      <alignment horizontal="center" vertical="center" wrapText="1"/>
    </xf>
    <xf numFmtId="0" fontId="47" fillId="0" borderId="44" xfId="3" applyFont="1" applyFill="1" applyBorder="1" applyAlignment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1" fontId="7" fillId="0" borderId="54" xfId="0" applyNumberFormat="1" applyFont="1" applyFill="1" applyBorder="1" applyAlignment="1">
      <alignment horizontal="center" vertical="center" wrapText="1"/>
    </xf>
    <xf numFmtId="1" fontId="7" fillId="0" borderId="55" xfId="0" applyNumberFormat="1" applyFont="1" applyFill="1" applyBorder="1" applyAlignment="1">
      <alignment horizontal="center" vertical="center" wrapText="1"/>
    </xf>
    <xf numFmtId="1" fontId="7" fillId="0" borderId="4" xfId="0" applyNumberFormat="1" applyFont="1" applyFill="1" applyBorder="1" applyAlignment="1">
      <alignment horizontal="center" vertical="center" wrapText="1"/>
    </xf>
    <xf numFmtId="1" fontId="7" fillId="0" borderId="5" xfId="0" applyNumberFormat="1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40" fillId="23" borderId="4" xfId="0" applyFont="1" applyFill="1" applyBorder="1" applyAlignment="1">
      <alignment horizontal="center" vertical="center" wrapText="1"/>
    </xf>
    <xf numFmtId="0" fontId="40" fillId="23" borderId="6" xfId="0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46" fillId="3" borderId="4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7" fillId="23" borderId="3" xfId="0" applyFont="1" applyFill="1" applyBorder="1" applyAlignment="1">
      <alignment horizontal="center" vertical="center" wrapText="1"/>
    </xf>
    <xf numFmtId="0" fontId="7" fillId="23" borderId="4" xfId="0" applyFont="1" applyFill="1" applyBorder="1" applyAlignment="1">
      <alignment horizontal="center" vertical="center" wrapText="1"/>
    </xf>
    <xf numFmtId="0" fontId="7" fillId="23" borderId="5" xfId="0" applyFont="1" applyFill="1" applyBorder="1" applyAlignment="1">
      <alignment horizontal="center" vertical="center" wrapText="1"/>
    </xf>
    <xf numFmtId="0" fontId="7" fillId="23" borderId="6" xfId="0" applyFont="1" applyFill="1" applyBorder="1" applyAlignment="1">
      <alignment horizontal="center" vertical="center" wrapText="1"/>
    </xf>
    <xf numFmtId="0" fontId="46" fillId="30" borderId="63" xfId="0" applyFont="1" applyFill="1" applyBorder="1" applyAlignment="1">
      <alignment horizontal="center" vertical="center"/>
    </xf>
    <xf numFmtId="0" fontId="46" fillId="30" borderId="64" xfId="0" applyFont="1" applyFill="1" applyBorder="1" applyAlignment="1">
      <alignment horizontal="center" vertical="center"/>
    </xf>
    <xf numFmtId="3" fontId="55" fillId="3" borderId="4" xfId="7" applyNumberFormat="1" applyFont="1" applyFill="1" applyBorder="1" applyAlignment="1">
      <alignment horizontal="center" vertical="center"/>
    </xf>
    <xf numFmtId="3" fontId="55" fillId="3" borderId="5" xfId="7" applyNumberFormat="1" applyFont="1" applyFill="1" applyBorder="1" applyAlignment="1">
      <alignment horizontal="center" vertical="center"/>
    </xf>
    <xf numFmtId="3" fontId="55" fillId="3" borderId="6" xfId="7" applyNumberFormat="1" applyFont="1" applyFill="1" applyBorder="1" applyAlignment="1">
      <alignment horizontal="center" vertical="center"/>
    </xf>
    <xf numFmtId="3" fontId="55" fillId="2" borderId="60" xfId="7" applyNumberFormat="1" applyFont="1" applyFill="1" applyBorder="1" applyAlignment="1">
      <alignment horizontal="center" vertical="center"/>
    </xf>
    <xf numFmtId="3" fontId="55" fillId="2" borderId="25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44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46" fillId="30" borderId="62" xfId="0" applyFont="1" applyFill="1" applyBorder="1" applyAlignment="1">
      <alignment horizontal="center" vertical="center"/>
    </xf>
    <xf numFmtId="0" fontId="46" fillId="30" borderId="66" xfId="0" applyFont="1" applyFill="1" applyBorder="1" applyAlignment="1">
      <alignment horizontal="center" vertical="center"/>
    </xf>
    <xf numFmtId="0" fontId="72" fillId="0" borderId="65" xfId="0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0" fontId="7" fillId="23" borderId="0" xfId="0" applyFont="1" applyFill="1" applyBorder="1" applyAlignment="1">
      <alignment horizontal="center" vertical="center"/>
    </xf>
    <xf numFmtId="3" fontId="55" fillId="2" borderId="37" xfId="7" applyNumberFormat="1" applyFont="1" applyFill="1" applyBorder="1" applyAlignment="1">
      <alignment horizontal="center" vertical="center"/>
    </xf>
    <xf numFmtId="0" fontId="16" fillId="24" borderId="3" xfId="0" applyFont="1" applyFill="1" applyBorder="1" applyAlignment="1">
      <alignment horizontal="center" vertical="center" wrapText="1"/>
    </xf>
    <xf numFmtId="0" fontId="30" fillId="23" borderId="3" xfId="0" applyNumberFormat="1" applyFont="1" applyFill="1" applyBorder="1" applyAlignment="1">
      <alignment horizontal="center" vertical="center" wrapText="1"/>
    </xf>
    <xf numFmtId="165" fontId="30" fillId="23" borderId="3" xfId="0" applyNumberFormat="1" applyFont="1" applyFill="1" applyBorder="1" applyAlignment="1">
      <alignment horizontal="center" vertical="center" wrapText="1"/>
    </xf>
    <xf numFmtId="0" fontId="16" fillId="24" borderId="3" xfId="0" applyFont="1" applyFill="1" applyBorder="1" applyAlignment="1">
      <alignment horizontal="center" vertical="center"/>
    </xf>
    <xf numFmtId="0" fontId="30" fillId="23" borderId="4" xfId="0" applyNumberFormat="1" applyFont="1" applyFill="1" applyBorder="1" applyAlignment="1">
      <alignment horizontal="center" vertical="center" wrapText="1"/>
    </xf>
    <xf numFmtId="0" fontId="30" fillId="23" borderId="6" xfId="0" applyNumberFormat="1" applyFont="1" applyFill="1" applyBorder="1" applyAlignment="1">
      <alignment horizontal="center" vertical="center" wrapText="1"/>
    </xf>
    <xf numFmtId="0" fontId="31" fillId="0" borderId="4" xfId="1" applyFont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vertical="center"/>
    </xf>
    <xf numFmtId="0" fontId="22" fillId="0" borderId="6" xfId="0" applyFont="1" applyBorder="1" applyAlignment="1">
      <alignment vertical="center"/>
    </xf>
    <xf numFmtId="9" fontId="21" fillId="0" borderId="4" xfId="0" applyNumberFormat="1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9" fontId="21" fillId="0" borderId="6" xfId="0" applyNumberFormat="1" applyFont="1" applyBorder="1" applyAlignment="1">
      <alignment horizontal="center" vertical="center"/>
    </xf>
    <xf numFmtId="9" fontId="21" fillId="0" borderId="4" xfId="5" applyNumberFormat="1" applyFont="1" applyBorder="1" applyAlignment="1">
      <alignment horizontal="center" vertical="center"/>
    </xf>
    <xf numFmtId="9" fontId="21" fillId="0" borderId="5" xfId="5" applyNumberFormat="1" applyFont="1" applyBorder="1" applyAlignment="1">
      <alignment horizontal="center" vertical="center"/>
    </xf>
    <xf numFmtId="9" fontId="21" fillId="0" borderId="6" xfId="5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9" fontId="21" fillId="0" borderId="4" xfId="5" applyNumberFormat="1" applyFont="1" applyFill="1" applyBorder="1" applyAlignment="1">
      <alignment horizontal="center" vertical="center"/>
    </xf>
    <xf numFmtId="9" fontId="21" fillId="0" borderId="5" xfId="5" applyNumberFormat="1" applyFont="1" applyFill="1" applyBorder="1" applyAlignment="1">
      <alignment horizontal="center" vertical="center"/>
    </xf>
    <xf numFmtId="9" fontId="21" fillId="0" borderId="6" xfId="5" applyNumberFormat="1" applyFont="1" applyFill="1" applyBorder="1" applyAlignment="1">
      <alignment horizontal="center" vertical="center"/>
    </xf>
    <xf numFmtId="9" fontId="21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68" fillId="0" borderId="38" xfId="0" applyFont="1" applyBorder="1" applyAlignment="1">
      <alignment horizontal="center" vertical="center"/>
    </xf>
    <xf numFmtId="0" fontId="68" fillId="0" borderId="33" xfId="0" applyFont="1" applyBorder="1" applyAlignment="1">
      <alignment horizontal="center" vertical="center"/>
    </xf>
    <xf numFmtId="0" fontId="36" fillId="3" borderId="47" xfId="7" applyFont="1" applyFill="1" applyBorder="1" applyAlignment="1">
      <alignment horizontal="center" vertical="center"/>
    </xf>
    <xf numFmtId="0" fontId="36" fillId="3" borderId="49" xfId="7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3" fillId="0" borderId="36" xfId="3" applyFont="1" applyFill="1" applyBorder="1" applyAlignment="1">
      <alignment horizontal="center" vertical="top" wrapText="1"/>
    </xf>
    <xf numFmtId="0" fontId="1" fillId="0" borderId="5" xfId="3" applyBorder="1"/>
    <xf numFmtId="0" fontId="1" fillId="0" borderId="6" xfId="3" applyBorder="1"/>
    <xf numFmtId="0" fontId="3" fillId="0" borderId="4" xfId="3" applyFont="1" applyFill="1" applyBorder="1" applyAlignment="1">
      <alignment horizontal="center" vertical="top" wrapText="1"/>
    </xf>
    <xf numFmtId="1" fontId="17" fillId="25" borderId="34" xfId="3" applyNumberFormat="1" applyFont="1" applyFill="1" applyBorder="1" applyAlignment="1">
      <alignment horizontal="center" wrapText="1"/>
    </xf>
    <xf numFmtId="1" fontId="17" fillId="25" borderId="28" xfId="3" applyNumberFormat="1" applyFont="1" applyFill="1" applyBorder="1" applyAlignment="1">
      <alignment horizontal="center" wrapText="1"/>
    </xf>
    <xf numFmtId="0" fontId="42" fillId="2" borderId="4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3" fillId="3" borderId="36" xfId="3" applyFont="1" applyFill="1" applyBorder="1" applyAlignment="1">
      <alignment horizontal="center" vertical="top" wrapText="1"/>
    </xf>
    <xf numFmtId="0" fontId="3" fillId="3" borderId="5" xfId="3" applyFont="1" applyFill="1" applyBorder="1" applyAlignment="1">
      <alignment horizontal="center" vertical="top" wrapText="1"/>
    </xf>
    <xf numFmtId="0" fontId="3" fillId="3" borderId="6" xfId="3" applyFont="1" applyFill="1" applyBorder="1" applyAlignment="1">
      <alignment horizontal="center" vertical="top" wrapText="1"/>
    </xf>
    <xf numFmtId="0" fontId="3" fillId="3" borderId="4" xfId="3" applyFont="1" applyFill="1" applyBorder="1" applyAlignment="1">
      <alignment horizontal="center" vertical="top" wrapText="1"/>
    </xf>
    <xf numFmtId="0" fontId="2" fillId="0" borderId="28" xfId="3" applyFont="1" applyBorder="1" applyAlignment="1">
      <alignment horizontal="center" vertical="center"/>
    </xf>
    <xf numFmtId="0" fontId="19" fillId="0" borderId="4" xfId="3" applyFont="1" applyBorder="1" applyAlignment="1">
      <alignment horizontal="center"/>
    </xf>
    <xf numFmtId="0" fontId="19" fillId="0" borderId="5" xfId="3" applyFont="1" applyBorder="1" applyAlignment="1">
      <alignment horizontal="center"/>
    </xf>
    <xf numFmtId="0" fontId="19" fillId="0" borderId="6" xfId="3" applyFont="1" applyBorder="1" applyAlignment="1">
      <alignment horizontal="center"/>
    </xf>
    <xf numFmtId="0" fontId="3" fillId="27" borderId="4" xfId="3" applyFont="1" applyFill="1" applyBorder="1" applyAlignment="1">
      <alignment horizontal="center" vertical="center" wrapText="1"/>
    </xf>
    <xf numFmtId="0" fontId="3" fillId="27" borderId="5" xfId="3" applyFont="1" applyFill="1" applyBorder="1" applyAlignment="1">
      <alignment horizontal="center" vertical="center" wrapText="1"/>
    </xf>
    <xf numFmtId="0" fontId="3" fillId="27" borderId="6" xfId="3" applyFont="1" applyFill="1" applyBorder="1" applyAlignment="1">
      <alignment horizontal="center" vertical="center" wrapText="1"/>
    </xf>
    <xf numFmtId="0" fontId="3" fillId="3" borderId="36" xfId="3" applyFont="1" applyFill="1" applyBorder="1" applyAlignment="1">
      <alignment horizontal="center" vertical="center" wrapText="1"/>
    </xf>
    <xf numFmtId="0" fontId="3" fillId="3" borderId="5" xfId="3" applyFont="1" applyFill="1" applyBorder="1" applyAlignment="1">
      <alignment horizontal="center" vertical="center" wrapText="1"/>
    </xf>
    <xf numFmtId="0" fontId="3" fillId="3" borderId="6" xfId="3" applyFont="1" applyFill="1" applyBorder="1" applyAlignment="1">
      <alignment horizontal="center" vertical="center" wrapText="1"/>
    </xf>
    <xf numFmtId="0" fontId="3" fillId="3" borderId="4" xfId="3" applyFont="1" applyFill="1" applyBorder="1" applyAlignment="1">
      <alignment horizontal="center" vertical="center" wrapText="1"/>
    </xf>
    <xf numFmtId="0" fontId="20" fillId="0" borderId="4" xfId="3" applyFont="1" applyBorder="1" applyAlignment="1">
      <alignment horizontal="center" vertical="center"/>
    </xf>
    <xf numFmtId="0" fontId="20" fillId="0" borderId="5" xfId="3" applyFont="1" applyBorder="1" applyAlignment="1">
      <alignment horizontal="center" vertical="center"/>
    </xf>
    <xf numFmtId="0" fontId="20" fillId="0" borderId="6" xfId="3" applyFont="1" applyBorder="1" applyAlignment="1">
      <alignment horizontal="center" vertical="center"/>
    </xf>
  </cellXfs>
  <cellStyles count="13">
    <cellStyle name="Comma" xfId="11" builtinId="3"/>
    <cellStyle name="Comma 2" xfId="8"/>
    <cellStyle name="Currency" xfId="12" builtinId="4"/>
    <cellStyle name="Normal" xfId="0" builtinId="0"/>
    <cellStyle name="Normal 2" xfId="2"/>
    <cellStyle name="Normal 2 3" xfId="7"/>
    <cellStyle name="Normal 3" xfId="3"/>
    <cellStyle name="Normal 4" xfId="5"/>
    <cellStyle name="Normal_Sheet1" xfId="6"/>
    <cellStyle name="Normal_Steel encl.-Copper Computation Data" xfId="1"/>
    <cellStyle name="Percent" xfId="4" builtinId="5"/>
    <cellStyle name="Percent 2" xfId="10"/>
    <cellStyle name="Percent 3" xfId="9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D4F4BC"/>
      <color rgb="FF000099"/>
      <color rgb="FFDFF765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2. Analyze'!A1"/><Relationship Id="rId1" Type="http://schemas.openxmlformats.org/officeDocument/2006/relationships/hyperlink" Target="#'BUSBAR 2013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ENCL 2013'!A1"/><Relationship Id="rId1" Type="http://schemas.openxmlformats.org/officeDocument/2006/relationships/hyperlink" Target="#'WIRING 2013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S!A1"/><Relationship Id="rId1" Type="http://schemas.openxmlformats.org/officeDocument/2006/relationships/hyperlink" Target="#'BUSBAR 201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WIRING 2013'!A1"/><Relationship Id="rId1" Type="http://schemas.openxmlformats.org/officeDocument/2006/relationships/hyperlink" Target="#BOM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L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47065</xdr:colOff>
      <xdr:row>0</xdr:row>
      <xdr:rowOff>216833</xdr:rowOff>
    </xdr:from>
    <xdr:to>
      <xdr:col>18</xdr:col>
      <xdr:colOff>15688</xdr:colOff>
      <xdr:row>1</xdr:row>
      <xdr:rowOff>309708</xdr:rowOff>
    </xdr:to>
    <xdr:sp macro="" textlink="">
      <xdr:nvSpPr>
        <xdr:cNvPr id="9" name="Next Button">
          <a:hlinkClick xmlns:r="http://schemas.openxmlformats.org/officeDocument/2006/relationships" r:id="rId1" tooltip="Next"/>
        </xdr:cNvPr>
        <xdr:cNvSpPr/>
      </xdr:nvSpPr>
      <xdr:spPr>
        <a:xfrm>
          <a:off x="11622741" y="216833"/>
          <a:ext cx="1335741" cy="40664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oneCell">
    <xdr:from>
      <xdr:col>16</xdr:col>
      <xdr:colOff>47065</xdr:colOff>
      <xdr:row>2</xdr:row>
      <xdr:rowOff>259945</xdr:rowOff>
    </xdr:from>
    <xdr:to>
      <xdr:col>18</xdr:col>
      <xdr:colOff>14792</xdr:colOff>
      <xdr:row>4</xdr:row>
      <xdr:rowOff>42775</xdr:rowOff>
    </xdr:to>
    <xdr:sp macro="" textlink="">
      <xdr:nvSpPr>
        <xdr:cNvPr id="10" name="Next Button">
          <a:hlinkClick xmlns:r="http://schemas.openxmlformats.org/officeDocument/2006/relationships" r:id="rId2" tooltip="Next"/>
        </xdr:cNvPr>
        <xdr:cNvSpPr/>
      </xdr:nvSpPr>
      <xdr:spPr>
        <a:xfrm>
          <a:off x="11622741" y="887474"/>
          <a:ext cx="1334845" cy="41036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15</xdr:col>
      <xdr:colOff>669471</xdr:colOff>
      <xdr:row>4</xdr:row>
      <xdr:rowOff>268941</xdr:rowOff>
    </xdr:from>
    <xdr:to>
      <xdr:col>17</xdr:col>
      <xdr:colOff>635293</xdr:colOff>
      <xdr:row>6</xdr:row>
      <xdr:rowOff>52331</xdr:rowOff>
    </xdr:to>
    <xdr:sp macro="[0]!NextButton_Click" textlink="">
      <xdr:nvSpPr>
        <xdr:cNvPr id="6" name="Next Button"/>
        <xdr:cNvSpPr/>
      </xdr:nvSpPr>
      <xdr:spPr>
        <a:xfrm>
          <a:off x="11632826" y="1524000"/>
          <a:ext cx="1332940" cy="41091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567562</xdr:colOff>
      <xdr:row>0</xdr:row>
      <xdr:rowOff>269874</xdr:rowOff>
    </xdr:from>
    <xdr:to>
      <xdr:col>15</xdr:col>
      <xdr:colOff>45592</xdr:colOff>
      <xdr:row>2</xdr:row>
      <xdr:rowOff>50800</xdr:rowOff>
    </xdr:to>
    <xdr:sp macro="" textlink="">
      <xdr:nvSpPr>
        <xdr:cNvPr id="8" name="Next Button">
          <a:hlinkClick xmlns:r="http://schemas.openxmlformats.org/officeDocument/2006/relationships" r:id="rId1" tooltip="Next"/>
        </xdr:cNvPr>
        <xdr:cNvSpPr/>
      </xdr:nvSpPr>
      <xdr:spPr>
        <a:xfrm>
          <a:off x="10044937" y="269874"/>
          <a:ext cx="1325880" cy="409576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13</xdr:col>
      <xdr:colOff>567561</xdr:colOff>
      <xdr:row>2</xdr:row>
      <xdr:rowOff>301095</xdr:rowOff>
    </xdr:from>
    <xdr:to>
      <xdr:col>15</xdr:col>
      <xdr:colOff>45591</xdr:colOff>
      <xdr:row>4</xdr:row>
      <xdr:rowOff>83925</xdr:rowOff>
    </xdr:to>
    <xdr:sp macro="" textlink="">
      <xdr:nvSpPr>
        <xdr:cNvPr id="11" name="Next Button">
          <a:hlinkClick xmlns:r="http://schemas.openxmlformats.org/officeDocument/2006/relationships" r:id="rId2" tooltip="Next"/>
        </xdr:cNvPr>
        <xdr:cNvSpPr/>
      </xdr:nvSpPr>
      <xdr:spPr>
        <a:xfrm>
          <a:off x="10044936" y="929745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13</xdr:col>
      <xdr:colOff>571500</xdr:colOff>
      <xdr:row>5</xdr:row>
      <xdr:rowOff>9525</xdr:rowOff>
    </xdr:from>
    <xdr:to>
      <xdr:col>15</xdr:col>
      <xdr:colOff>49627</xdr:colOff>
      <xdr:row>6</xdr:row>
      <xdr:rowOff>106680</xdr:rowOff>
    </xdr:to>
    <xdr:sp macro="[0]!NextButton_Click" textlink="">
      <xdr:nvSpPr>
        <xdr:cNvPr id="9" name="Next Button"/>
        <xdr:cNvSpPr/>
      </xdr:nvSpPr>
      <xdr:spPr>
        <a:xfrm>
          <a:off x="10048875" y="1581150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539163</xdr:colOff>
      <xdr:row>5</xdr:row>
      <xdr:rowOff>104774</xdr:rowOff>
    </xdr:from>
    <xdr:to>
      <xdr:col>7</xdr:col>
      <xdr:colOff>36243</xdr:colOff>
      <xdr:row>8</xdr:row>
      <xdr:rowOff>30479</xdr:rowOff>
    </xdr:to>
    <xdr:sp macro="" textlink="">
      <xdr:nvSpPr>
        <xdr:cNvPr id="2" name="Next Button">
          <a:hlinkClick xmlns:r="http://schemas.openxmlformats.org/officeDocument/2006/relationships" r:id="rId1" tooltip="Next"/>
        </xdr:cNvPr>
        <xdr:cNvSpPr/>
      </xdr:nvSpPr>
      <xdr:spPr>
        <a:xfrm>
          <a:off x="9387888" y="952499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4</xdr:col>
      <xdr:colOff>537482</xdr:colOff>
      <xdr:row>1</xdr:row>
      <xdr:rowOff>85725</xdr:rowOff>
    </xdr:from>
    <xdr:to>
      <xdr:col>7</xdr:col>
      <xdr:colOff>34562</xdr:colOff>
      <xdr:row>3</xdr:row>
      <xdr:rowOff>154305</xdr:rowOff>
    </xdr:to>
    <xdr:sp macro="" textlink="">
      <xdr:nvSpPr>
        <xdr:cNvPr id="3" name="Next Button">
          <a:hlinkClick xmlns:r="http://schemas.openxmlformats.org/officeDocument/2006/relationships" r:id="rId2" tooltip="Next"/>
        </xdr:cNvPr>
        <xdr:cNvSpPr/>
      </xdr:nvSpPr>
      <xdr:spPr>
        <a:xfrm>
          <a:off x="9386207" y="2667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4</xdr:col>
      <xdr:colOff>542925</xdr:colOff>
      <xdr:row>9</xdr:row>
      <xdr:rowOff>142874</xdr:rowOff>
    </xdr:from>
    <xdr:to>
      <xdr:col>7</xdr:col>
      <xdr:colOff>40102</xdr:colOff>
      <xdr:row>12</xdr:row>
      <xdr:rowOff>68579</xdr:rowOff>
    </xdr:to>
    <xdr:sp macro="[0]!NextButton_Click" textlink="">
      <xdr:nvSpPr>
        <xdr:cNvPr id="4" name="Next Button"/>
        <xdr:cNvSpPr/>
      </xdr:nvSpPr>
      <xdr:spPr>
        <a:xfrm>
          <a:off x="9391650" y="1638299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137112</xdr:colOff>
      <xdr:row>6</xdr:row>
      <xdr:rowOff>40822</xdr:rowOff>
    </xdr:from>
    <xdr:to>
      <xdr:col>6</xdr:col>
      <xdr:colOff>341763</xdr:colOff>
      <xdr:row>8</xdr:row>
      <xdr:rowOff>71302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153150" y="16002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3</xdr:col>
      <xdr:colOff>955222</xdr:colOff>
      <xdr:row>6</xdr:row>
      <xdr:rowOff>40822</xdr:rowOff>
    </xdr:from>
    <xdr:to>
      <xdr:col>4</xdr:col>
      <xdr:colOff>1173320</xdr:colOff>
      <xdr:row>8</xdr:row>
      <xdr:rowOff>71302</xdr:rowOff>
    </xdr:to>
    <xdr:sp macro="" textlink="">
      <xdr:nvSpPr>
        <xdr:cNvPr id="4" name="Next Button">
          <a:hlinkClick xmlns:r="http://schemas.openxmlformats.org/officeDocument/2006/relationships" r:id="rId2" tooltip="Next"/>
        </xdr:cNvPr>
        <xdr:cNvSpPr/>
      </xdr:nvSpPr>
      <xdr:spPr>
        <a:xfrm>
          <a:off x="4619625" y="1600200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1089401</xdr:colOff>
      <xdr:row>0</xdr:row>
      <xdr:rowOff>96856</xdr:rowOff>
    </xdr:from>
    <xdr:to>
      <xdr:col>5</xdr:col>
      <xdr:colOff>7282</xdr:colOff>
      <xdr:row>2</xdr:row>
      <xdr:rowOff>127336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332292" y="96856"/>
          <a:ext cx="132812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  <pageSetUpPr fitToPage="1"/>
  </sheetPr>
  <dimension ref="A1:V45"/>
  <sheetViews>
    <sheetView showGridLines="0" zoomScale="85" zoomScaleNormal="85" workbookViewId="0">
      <selection activeCell="F14" sqref="F14"/>
    </sheetView>
  </sheetViews>
  <sheetFormatPr defaultRowHeight="24.95" customHeight="1"/>
  <cols>
    <col min="1" max="1" width="13.7109375" style="150" bestFit="1" customWidth="1"/>
    <col min="2" max="2" width="12.140625" style="150" customWidth="1"/>
    <col min="3" max="5" width="10.28515625" style="150" customWidth="1"/>
    <col min="6" max="6" width="11.28515625" style="150" customWidth="1"/>
    <col min="7" max="12" width="10.28515625" style="150" customWidth="1"/>
    <col min="13" max="13" width="12.85546875" style="150" bestFit="1" customWidth="1"/>
    <col min="14" max="14" width="11.7109375" style="150" customWidth="1"/>
    <col min="15" max="22" width="10.28515625" style="150" customWidth="1"/>
    <col min="23" max="241" width="9.140625" style="150"/>
    <col min="242" max="242" width="14.28515625" style="150" customWidth="1"/>
    <col min="243" max="243" width="10.85546875" style="150" customWidth="1"/>
    <col min="244" max="244" width="10.140625" style="150" bestFit="1" customWidth="1"/>
    <col min="245" max="245" width="10.7109375" style="150" customWidth="1"/>
    <col min="246" max="246" width="11.28515625" style="150" customWidth="1"/>
    <col min="247" max="247" width="10.42578125" style="150" customWidth="1"/>
    <col min="248" max="248" width="11.42578125" style="150" customWidth="1"/>
    <col min="249" max="250" width="10" style="150" bestFit="1" customWidth="1"/>
    <col min="251" max="251" width="11.5703125" style="150" customWidth="1"/>
    <col min="252" max="252" width="16.28515625" style="150" customWidth="1"/>
    <col min="253" max="267" width="0" style="150" hidden="1" customWidth="1"/>
    <col min="268" max="268" width="11.140625" style="150" customWidth="1"/>
    <col min="269" max="269" width="9.28515625" style="150" customWidth="1"/>
    <col min="270" max="270" width="12.85546875" style="150" customWidth="1"/>
    <col min="271" max="271" width="10.5703125" style="150" customWidth="1"/>
    <col min="272" max="272" width="11" style="150" customWidth="1"/>
    <col min="273" max="273" width="12.7109375" style="150" bestFit="1" customWidth="1"/>
    <col min="274" max="274" width="11.28515625" style="150" customWidth="1"/>
    <col min="275" max="275" width="13" style="150" customWidth="1"/>
    <col min="276" max="276" width="11.28515625" style="150" customWidth="1"/>
    <col min="277" max="277" width="12.5703125" style="150" customWidth="1"/>
    <col min="278" max="278" width="4.5703125" style="150" customWidth="1"/>
    <col min="279" max="497" width="9.140625" style="150"/>
    <col min="498" max="498" width="14.28515625" style="150" customWidth="1"/>
    <col min="499" max="499" width="10.85546875" style="150" customWidth="1"/>
    <col min="500" max="500" width="10.140625" style="150" bestFit="1" customWidth="1"/>
    <col min="501" max="501" width="10.7109375" style="150" customWidth="1"/>
    <col min="502" max="502" width="11.28515625" style="150" customWidth="1"/>
    <col min="503" max="503" width="10.42578125" style="150" customWidth="1"/>
    <col min="504" max="504" width="11.42578125" style="150" customWidth="1"/>
    <col min="505" max="506" width="10" style="150" bestFit="1" customWidth="1"/>
    <col min="507" max="507" width="11.5703125" style="150" customWidth="1"/>
    <col min="508" max="508" width="16.28515625" style="150" customWidth="1"/>
    <col min="509" max="523" width="0" style="150" hidden="1" customWidth="1"/>
    <col min="524" max="524" width="11.140625" style="150" customWidth="1"/>
    <col min="525" max="525" width="9.28515625" style="150" customWidth="1"/>
    <col min="526" max="526" width="12.85546875" style="150" customWidth="1"/>
    <col min="527" max="527" width="10.5703125" style="150" customWidth="1"/>
    <col min="528" max="528" width="11" style="150" customWidth="1"/>
    <col min="529" max="529" width="12.7109375" style="150" bestFit="1" customWidth="1"/>
    <col min="530" max="530" width="11.28515625" style="150" customWidth="1"/>
    <col min="531" max="531" width="13" style="150" customWidth="1"/>
    <col min="532" max="532" width="11.28515625" style="150" customWidth="1"/>
    <col min="533" max="533" width="12.5703125" style="150" customWidth="1"/>
    <col min="534" max="534" width="4.5703125" style="150" customWidth="1"/>
    <col min="535" max="753" width="9.140625" style="150"/>
    <col min="754" max="754" width="14.28515625" style="150" customWidth="1"/>
    <col min="755" max="755" width="10.85546875" style="150" customWidth="1"/>
    <col min="756" max="756" width="10.140625" style="150" bestFit="1" customWidth="1"/>
    <col min="757" max="757" width="10.7109375" style="150" customWidth="1"/>
    <col min="758" max="758" width="11.28515625" style="150" customWidth="1"/>
    <col min="759" max="759" width="10.42578125" style="150" customWidth="1"/>
    <col min="760" max="760" width="11.42578125" style="150" customWidth="1"/>
    <col min="761" max="762" width="10" style="150" bestFit="1" customWidth="1"/>
    <col min="763" max="763" width="11.5703125" style="150" customWidth="1"/>
    <col min="764" max="764" width="16.28515625" style="150" customWidth="1"/>
    <col min="765" max="779" width="0" style="150" hidden="1" customWidth="1"/>
    <col min="780" max="780" width="11.140625" style="150" customWidth="1"/>
    <col min="781" max="781" width="9.28515625" style="150" customWidth="1"/>
    <col min="782" max="782" width="12.85546875" style="150" customWidth="1"/>
    <col min="783" max="783" width="10.5703125" style="150" customWidth="1"/>
    <col min="784" max="784" width="11" style="150" customWidth="1"/>
    <col min="785" max="785" width="12.7109375" style="150" bestFit="1" customWidth="1"/>
    <col min="786" max="786" width="11.28515625" style="150" customWidth="1"/>
    <col min="787" max="787" width="13" style="150" customWidth="1"/>
    <col min="788" max="788" width="11.28515625" style="150" customWidth="1"/>
    <col min="789" max="789" width="12.5703125" style="150" customWidth="1"/>
    <col min="790" max="790" width="4.5703125" style="150" customWidth="1"/>
    <col min="791" max="1009" width="9.140625" style="150"/>
    <col min="1010" max="1010" width="14.28515625" style="150" customWidth="1"/>
    <col min="1011" max="1011" width="10.85546875" style="150" customWidth="1"/>
    <col min="1012" max="1012" width="10.140625" style="150" bestFit="1" customWidth="1"/>
    <col min="1013" max="1013" width="10.7109375" style="150" customWidth="1"/>
    <col min="1014" max="1014" width="11.28515625" style="150" customWidth="1"/>
    <col min="1015" max="1015" width="10.42578125" style="150" customWidth="1"/>
    <col min="1016" max="1016" width="11.42578125" style="150" customWidth="1"/>
    <col min="1017" max="1018" width="10" style="150" bestFit="1" customWidth="1"/>
    <col min="1019" max="1019" width="11.5703125" style="150" customWidth="1"/>
    <col min="1020" max="1020" width="16.28515625" style="150" customWidth="1"/>
    <col min="1021" max="1035" width="0" style="150" hidden="1" customWidth="1"/>
    <col min="1036" max="1036" width="11.140625" style="150" customWidth="1"/>
    <col min="1037" max="1037" width="9.28515625" style="150" customWidth="1"/>
    <col min="1038" max="1038" width="12.85546875" style="150" customWidth="1"/>
    <col min="1039" max="1039" width="10.5703125" style="150" customWidth="1"/>
    <col min="1040" max="1040" width="11" style="150" customWidth="1"/>
    <col min="1041" max="1041" width="12.7109375" style="150" bestFit="1" customWidth="1"/>
    <col min="1042" max="1042" width="11.28515625" style="150" customWidth="1"/>
    <col min="1043" max="1043" width="13" style="150" customWidth="1"/>
    <col min="1044" max="1044" width="11.28515625" style="150" customWidth="1"/>
    <col min="1045" max="1045" width="12.5703125" style="150" customWidth="1"/>
    <col min="1046" max="1046" width="4.5703125" style="150" customWidth="1"/>
    <col min="1047" max="1265" width="9.140625" style="150"/>
    <col min="1266" max="1266" width="14.28515625" style="150" customWidth="1"/>
    <col min="1267" max="1267" width="10.85546875" style="150" customWidth="1"/>
    <col min="1268" max="1268" width="10.140625" style="150" bestFit="1" customWidth="1"/>
    <col min="1269" max="1269" width="10.7109375" style="150" customWidth="1"/>
    <col min="1270" max="1270" width="11.28515625" style="150" customWidth="1"/>
    <col min="1271" max="1271" width="10.42578125" style="150" customWidth="1"/>
    <col min="1272" max="1272" width="11.42578125" style="150" customWidth="1"/>
    <col min="1273" max="1274" width="10" style="150" bestFit="1" customWidth="1"/>
    <col min="1275" max="1275" width="11.5703125" style="150" customWidth="1"/>
    <col min="1276" max="1276" width="16.28515625" style="150" customWidth="1"/>
    <col min="1277" max="1291" width="0" style="150" hidden="1" customWidth="1"/>
    <col min="1292" max="1292" width="11.140625" style="150" customWidth="1"/>
    <col min="1293" max="1293" width="9.28515625" style="150" customWidth="1"/>
    <col min="1294" max="1294" width="12.85546875" style="150" customWidth="1"/>
    <col min="1295" max="1295" width="10.5703125" style="150" customWidth="1"/>
    <col min="1296" max="1296" width="11" style="150" customWidth="1"/>
    <col min="1297" max="1297" width="12.7109375" style="150" bestFit="1" customWidth="1"/>
    <col min="1298" max="1298" width="11.28515625" style="150" customWidth="1"/>
    <col min="1299" max="1299" width="13" style="150" customWidth="1"/>
    <col min="1300" max="1300" width="11.28515625" style="150" customWidth="1"/>
    <col min="1301" max="1301" width="12.5703125" style="150" customWidth="1"/>
    <col min="1302" max="1302" width="4.5703125" style="150" customWidth="1"/>
    <col min="1303" max="1521" width="9.140625" style="150"/>
    <col min="1522" max="1522" width="14.28515625" style="150" customWidth="1"/>
    <col min="1523" max="1523" width="10.85546875" style="150" customWidth="1"/>
    <col min="1524" max="1524" width="10.140625" style="150" bestFit="1" customWidth="1"/>
    <col min="1525" max="1525" width="10.7109375" style="150" customWidth="1"/>
    <col min="1526" max="1526" width="11.28515625" style="150" customWidth="1"/>
    <col min="1527" max="1527" width="10.42578125" style="150" customWidth="1"/>
    <col min="1528" max="1528" width="11.42578125" style="150" customWidth="1"/>
    <col min="1529" max="1530" width="10" style="150" bestFit="1" customWidth="1"/>
    <col min="1531" max="1531" width="11.5703125" style="150" customWidth="1"/>
    <col min="1532" max="1532" width="16.28515625" style="150" customWidth="1"/>
    <col min="1533" max="1547" width="0" style="150" hidden="1" customWidth="1"/>
    <col min="1548" max="1548" width="11.140625" style="150" customWidth="1"/>
    <col min="1549" max="1549" width="9.28515625" style="150" customWidth="1"/>
    <col min="1550" max="1550" width="12.85546875" style="150" customWidth="1"/>
    <col min="1551" max="1551" width="10.5703125" style="150" customWidth="1"/>
    <col min="1552" max="1552" width="11" style="150" customWidth="1"/>
    <col min="1553" max="1553" width="12.7109375" style="150" bestFit="1" customWidth="1"/>
    <col min="1554" max="1554" width="11.28515625" style="150" customWidth="1"/>
    <col min="1555" max="1555" width="13" style="150" customWidth="1"/>
    <col min="1556" max="1556" width="11.28515625" style="150" customWidth="1"/>
    <col min="1557" max="1557" width="12.5703125" style="150" customWidth="1"/>
    <col min="1558" max="1558" width="4.5703125" style="150" customWidth="1"/>
    <col min="1559" max="1777" width="9.140625" style="150"/>
    <col min="1778" max="1778" width="14.28515625" style="150" customWidth="1"/>
    <col min="1779" max="1779" width="10.85546875" style="150" customWidth="1"/>
    <col min="1780" max="1780" width="10.140625" style="150" bestFit="1" customWidth="1"/>
    <col min="1781" max="1781" width="10.7109375" style="150" customWidth="1"/>
    <col min="1782" max="1782" width="11.28515625" style="150" customWidth="1"/>
    <col min="1783" max="1783" width="10.42578125" style="150" customWidth="1"/>
    <col min="1784" max="1784" width="11.42578125" style="150" customWidth="1"/>
    <col min="1785" max="1786" width="10" style="150" bestFit="1" customWidth="1"/>
    <col min="1787" max="1787" width="11.5703125" style="150" customWidth="1"/>
    <col min="1788" max="1788" width="16.28515625" style="150" customWidth="1"/>
    <col min="1789" max="1803" width="0" style="150" hidden="1" customWidth="1"/>
    <col min="1804" max="1804" width="11.140625" style="150" customWidth="1"/>
    <col min="1805" max="1805" width="9.28515625" style="150" customWidth="1"/>
    <col min="1806" max="1806" width="12.85546875" style="150" customWidth="1"/>
    <col min="1807" max="1807" width="10.5703125" style="150" customWidth="1"/>
    <col min="1808" max="1808" width="11" style="150" customWidth="1"/>
    <col min="1809" max="1809" width="12.7109375" style="150" bestFit="1" customWidth="1"/>
    <col min="1810" max="1810" width="11.28515625" style="150" customWidth="1"/>
    <col min="1811" max="1811" width="13" style="150" customWidth="1"/>
    <col min="1812" max="1812" width="11.28515625" style="150" customWidth="1"/>
    <col min="1813" max="1813" width="12.5703125" style="150" customWidth="1"/>
    <col min="1814" max="1814" width="4.5703125" style="150" customWidth="1"/>
    <col min="1815" max="2033" width="9.140625" style="150"/>
    <col min="2034" max="2034" width="14.28515625" style="150" customWidth="1"/>
    <col min="2035" max="2035" width="10.85546875" style="150" customWidth="1"/>
    <col min="2036" max="2036" width="10.140625" style="150" bestFit="1" customWidth="1"/>
    <col min="2037" max="2037" width="10.7109375" style="150" customWidth="1"/>
    <col min="2038" max="2038" width="11.28515625" style="150" customWidth="1"/>
    <col min="2039" max="2039" width="10.42578125" style="150" customWidth="1"/>
    <col min="2040" max="2040" width="11.42578125" style="150" customWidth="1"/>
    <col min="2041" max="2042" width="10" style="150" bestFit="1" customWidth="1"/>
    <col min="2043" max="2043" width="11.5703125" style="150" customWidth="1"/>
    <col min="2044" max="2044" width="16.28515625" style="150" customWidth="1"/>
    <col min="2045" max="2059" width="0" style="150" hidden="1" customWidth="1"/>
    <col min="2060" max="2060" width="11.140625" style="150" customWidth="1"/>
    <col min="2061" max="2061" width="9.28515625" style="150" customWidth="1"/>
    <col min="2062" max="2062" width="12.85546875" style="150" customWidth="1"/>
    <col min="2063" max="2063" width="10.5703125" style="150" customWidth="1"/>
    <col min="2064" max="2064" width="11" style="150" customWidth="1"/>
    <col min="2065" max="2065" width="12.7109375" style="150" bestFit="1" customWidth="1"/>
    <col min="2066" max="2066" width="11.28515625" style="150" customWidth="1"/>
    <col min="2067" max="2067" width="13" style="150" customWidth="1"/>
    <col min="2068" max="2068" width="11.28515625" style="150" customWidth="1"/>
    <col min="2069" max="2069" width="12.5703125" style="150" customWidth="1"/>
    <col min="2070" max="2070" width="4.5703125" style="150" customWidth="1"/>
    <col min="2071" max="2289" width="9.140625" style="150"/>
    <col min="2290" max="2290" width="14.28515625" style="150" customWidth="1"/>
    <col min="2291" max="2291" width="10.85546875" style="150" customWidth="1"/>
    <col min="2292" max="2292" width="10.140625" style="150" bestFit="1" customWidth="1"/>
    <col min="2293" max="2293" width="10.7109375" style="150" customWidth="1"/>
    <col min="2294" max="2294" width="11.28515625" style="150" customWidth="1"/>
    <col min="2295" max="2295" width="10.42578125" style="150" customWidth="1"/>
    <col min="2296" max="2296" width="11.42578125" style="150" customWidth="1"/>
    <col min="2297" max="2298" width="10" style="150" bestFit="1" customWidth="1"/>
    <col min="2299" max="2299" width="11.5703125" style="150" customWidth="1"/>
    <col min="2300" max="2300" width="16.28515625" style="150" customWidth="1"/>
    <col min="2301" max="2315" width="0" style="150" hidden="1" customWidth="1"/>
    <col min="2316" max="2316" width="11.140625" style="150" customWidth="1"/>
    <col min="2317" max="2317" width="9.28515625" style="150" customWidth="1"/>
    <col min="2318" max="2318" width="12.85546875" style="150" customWidth="1"/>
    <col min="2319" max="2319" width="10.5703125" style="150" customWidth="1"/>
    <col min="2320" max="2320" width="11" style="150" customWidth="1"/>
    <col min="2321" max="2321" width="12.7109375" style="150" bestFit="1" customWidth="1"/>
    <col min="2322" max="2322" width="11.28515625" style="150" customWidth="1"/>
    <col min="2323" max="2323" width="13" style="150" customWidth="1"/>
    <col min="2324" max="2324" width="11.28515625" style="150" customWidth="1"/>
    <col min="2325" max="2325" width="12.5703125" style="150" customWidth="1"/>
    <col min="2326" max="2326" width="4.5703125" style="150" customWidth="1"/>
    <col min="2327" max="2545" width="9.140625" style="150"/>
    <col min="2546" max="2546" width="14.28515625" style="150" customWidth="1"/>
    <col min="2547" max="2547" width="10.85546875" style="150" customWidth="1"/>
    <col min="2548" max="2548" width="10.140625" style="150" bestFit="1" customWidth="1"/>
    <col min="2549" max="2549" width="10.7109375" style="150" customWidth="1"/>
    <col min="2550" max="2550" width="11.28515625" style="150" customWidth="1"/>
    <col min="2551" max="2551" width="10.42578125" style="150" customWidth="1"/>
    <col min="2552" max="2552" width="11.42578125" style="150" customWidth="1"/>
    <col min="2553" max="2554" width="10" style="150" bestFit="1" customWidth="1"/>
    <col min="2555" max="2555" width="11.5703125" style="150" customWidth="1"/>
    <col min="2556" max="2556" width="16.28515625" style="150" customWidth="1"/>
    <col min="2557" max="2571" width="0" style="150" hidden="1" customWidth="1"/>
    <col min="2572" max="2572" width="11.140625" style="150" customWidth="1"/>
    <col min="2573" max="2573" width="9.28515625" style="150" customWidth="1"/>
    <col min="2574" max="2574" width="12.85546875" style="150" customWidth="1"/>
    <col min="2575" max="2575" width="10.5703125" style="150" customWidth="1"/>
    <col min="2576" max="2576" width="11" style="150" customWidth="1"/>
    <col min="2577" max="2577" width="12.7109375" style="150" bestFit="1" customWidth="1"/>
    <col min="2578" max="2578" width="11.28515625" style="150" customWidth="1"/>
    <col min="2579" max="2579" width="13" style="150" customWidth="1"/>
    <col min="2580" max="2580" width="11.28515625" style="150" customWidth="1"/>
    <col min="2581" max="2581" width="12.5703125" style="150" customWidth="1"/>
    <col min="2582" max="2582" width="4.5703125" style="150" customWidth="1"/>
    <col min="2583" max="2801" width="9.140625" style="150"/>
    <col min="2802" max="2802" width="14.28515625" style="150" customWidth="1"/>
    <col min="2803" max="2803" width="10.85546875" style="150" customWidth="1"/>
    <col min="2804" max="2804" width="10.140625" style="150" bestFit="1" customWidth="1"/>
    <col min="2805" max="2805" width="10.7109375" style="150" customWidth="1"/>
    <col min="2806" max="2806" width="11.28515625" style="150" customWidth="1"/>
    <col min="2807" max="2807" width="10.42578125" style="150" customWidth="1"/>
    <col min="2808" max="2808" width="11.42578125" style="150" customWidth="1"/>
    <col min="2809" max="2810" width="10" style="150" bestFit="1" customWidth="1"/>
    <col min="2811" max="2811" width="11.5703125" style="150" customWidth="1"/>
    <col min="2812" max="2812" width="16.28515625" style="150" customWidth="1"/>
    <col min="2813" max="2827" width="0" style="150" hidden="1" customWidth="1"/>
    <col min="2828" max="2828" width="11.140625" style="150" customWidth="1"/>
    <col min="2829" max="2829" width="9.28515625" style="150" customWidth="1"/>
    <col min="2830" max="2830" width="12.85546875" style="150" customWidth="1"/>
    <col min="2831" max="2831" width="10.5703125" style="150" customWidth="1"/>
    <col min="2832" max="2832" width="11" style="150" customWidth="1"/>
    <col min="2833" max="2833" width="12.7109375" style="150" bestFit="1" customWidth="1"/>
    <col min="2834" max="2834" width="11.28515625" style="150" customWidth="1"/>
    <col min="2835" max="2835" width="13" style="150" customWidth="1"/>
    <col min="2836" max="2836" width="11.28515625" style="150" customWidth="1"/>
    <col min="2837" max="2837" width="12.5703125" style="150" customWidth="1"/>
    <col min="2838" max="2838" width="4.5703125" style="150" customWidth="1"/>
    <col min="2839" max="3057" width="9.140625" style="150"/>
    <col min="3058" max="3058" width="14.28515625" style="150" customWidth="1"/>
    <col min="3059" max="3059" width="10.85546875" style="150" customWidth="1"/>
    <col min="3060" max="3060" width="10.140625" style="150" bestFit="1" customWidth="1"/>
    <col min="3061" max="3061" width="10.7109375" style="150" customWidth="1"/>
    <col min="3062" max="3062" width="11.28515625" style="150" customWidth="1"/>
    <col min="3063" max="3063" width="10.42578125" style="150" customWidth="1"/>
    <col min="3064" max="3064" width="11.42578125" style="150" customWidth="1"/>
    <col min="3065" max="3066" width="10" style="150" bestFit="1" customWidth="1"/>
    <col min="3067" max="3067" width="11.5703125" style="150" customWidth="1"/>
    <col min="3068" max="3068" width="16.28515625" style="150" customWidth="1"/>
    <col min="3069" max="3083" width="0" style="150" hidden="1" customWidth="1"/>
    <col min="3084" max="3084" width="11.140625" style="150" customWidth="1"/>
    <col min="3085" max="3085" width="9.28515625" style="150" customWidth="1"/>
    <col min="3086" max="3086" width="12.85546875" style="150" customWidth="1"/>
    <col min="3087" max="3087" width="10.5703125" style="150" customWidth="1"/>
    <col min="3088" max="3088" width="11" style="150" customWidth="1"/>
    <col min="3089" max="3089" width="12.7109375" style="150" bestFit="1" customWidth="1"/>
    <col min="3090" max="3090" width="11.28515625" style="150" customWidth="1"/>
    <col min="3091" max="3091" width="13" style="150" customWidth="1"/>
    <col min="3092" max="3092" width="11.28515625" style="150" customWidth="1"/>
    <col min="3093" max="3093" width="12.5703125" style="150" customWidth="1"/>
    <col min="3094" max="3094" width="4.5703125" style="150" customWidth="1"/>
    <col min="3095" max="3313" width="9.140625" style="150"/>
    <col min="3314" max="3314" width="14.28515625" style="150" customWidth="1"/>
    <col min="3315" max="3315" width="10.85546875" style="150" customWidth="1"/>
    <col min="3316" max="3316" width="10.140625" style="150" bestFit="1" customWidth="1"/>
    <col min="3317" max="3317" width="10.7109375" style="150" customWidth="1"/>
    <col min="3318" max="3318" width="11.28515625" style="150" customWidth="1"/>
    <col min="3319" max="3319" width="10.42578125" style="150" customWidth="1"/>
    <col min="3320" max="3320" width="11.42578125" style="150" customWidth="1"/>
    <col min="3321" max="3322" width="10" style="150" bestFit="1" customWidth="1"/>
    <col min="3323" max="3323" width="11.5703125" style="150" customWidth="1"/>
    <col min="3324" max="3324" width="16.28515625" style="150" customWidth="1"/>
    <col min="3325" max="3339" width="0" style="150" hidden="1" customWidth="1"/>
    <col min="3340" max="3340" width="11.140625" style="150" customWidth="1"/>
    <col min="3341" max="3341" width="9.28515625" style="150" customWidth="1"/>
    <col min="3342" max="3342" width="12.85546875" style="150" customWidth="1"/>
    <col min="3343" max="3343" width="10.5703125" style="150" customWidth="1"/>
    <col min="3344" max="3344" width="11" style="150" customWidth="1"/>
    <col min="3345" max="3345" width="12.7109375" style="150" bestFit="1" customWidth="1"/>
    <col min="3346" max="3346" width="11.28515625" style="150" customWidth="1"/>
    <col min="3347" max="3347" width="13" style="150" customWidth="1"/>
    <col min="3348" max="3348" width="11.28515625" style="150" customWidth="1"/>
    <col min="3349" max="3349" width="12.5703125" style="150" customWidth="1"/>
    <col min="3350" max="3350" width="4.5703125" style="150" customWidth="1"/>
    <col min="3351" max="3569" width="9.140625" style="150"/>
    <col min="3570" max="3570" width="14.28515625" style="150" customWidth="1"/>
    <col min="3571" max="3571" width="10.85546875" style="150" customWidth="1"/>
    <col min="3572" max="3572" width="10.140625" style="150" bestFit="1" customWidth="1"/>
    <col min="3573" max="3573" width="10.7109375" style="150" customWidth="1"/>
    <col min="3574" max="3574" width="11.28515625" style="150" customWidth="1"/>
    <col min="3575" max="3575" width="10.42578125" style="150" customWidth="1"/>
    <col min="3576" max="3576" width="11.42578125" style="150" customWidth="1"/>
    <col min="3577" max="3578" width="10" style="150" bestFit="1" customWidth="1"/>
    <col min="3579" max="3579" width="11.5703125" style="150" customWidth="1"/>
    <col min="3580" max="3580" width="16.28515625" style="150" customWidth="1"/>
    <col min="3581" max="3595" width="0" style="150" hidden="1" customWidth="1"/>
    <col min="3596" max="3596" width="11.140625" style="150" customWidth="1"/>
    <col min="3597" max="3597" width="9.28515625" style="150" customWidth="1"/>
    <col min="3598" max="3598" width="12.85546875" style="150" customWidth="1"/>
    <col min="3599" max="3599" width="10.5703125" style="150" customWidth="1"/>
    <col min="3600" max="3600" width="11" style="150" customWidth="1"/>
    <col min="3601" max="3601" width="12.7109375" style="150" bestFit="1" customWidth="1"/>
    <col min="3602" max="3602" width="11.28515625" style="150" customWidth="1"/>
    <col min="3603" max="3603" width="13" style="150" customWidth="1"/>
    <col min="3604" max="3604" width="11.28515625" style="150" customWidth="1"/>
    <col min="3605" max="3605" width="12.5703125" style="150" customWidth="1"/>
    <col min="3606" max="3606" width="4.5703125" style="150" customWidth="1"/>
    <col min="3607" max="3825" width="9.140625" style="150"/>
    <col min="3826" max="3826" width="14.28515625" style="150" customWidth="1"/>
    <col min="3827" max="3827" width="10.85546875" style="150" customWidth="1"/>
    <col min="3828" max="3828" width="10.140625" style="150" bestFit="1" customWidth="1"/>
    <col min="3829" max="3829" width="10.7109375" style="150" customWidth="1"/>
    <col min="3830" max="3830" width="11.28515625" style="150" customWidth="1"/>
    <col min="3831" max="3831" width="10.42578125" style="150" customWidth="1"/>
    <col min="3832" max="3832" width="11.42578125" style="150" customWidth="1"/>
    <col min="3833" max="3834" width="10" style="150" bestFit="1" customWidth="1"/>
    <col min="3835" max="3835" width="11.5703125" style="150" customWidth="1"/>
    <col min="3836" max="3836" width="16.28515625" style="150" customWidth="1"/>
    <col min="3837" max="3851" width="0" style="150" hidden="1" customWidth="1"/>
    <col min="3852" max="3852" width="11.140625" style="150" customWidth="1"/>
    <col min="3853" max="3853" width="9.28515625" style="150" customWidth="1"/>
    <col min="3854" max="3854" width="12.85546875" style="150" customWidth="1"/>
    <col min="3855" max="3855" width="10.5703125" style="150" customWidth="1"/>
    <col min="3856" max="3856" width="11" style="150" customWidth="1"/>
    <col min="3857" max="3857" width="12.7109375" style="150" bestFit="1" customWidth="1"/>
    <col min="3858" max="3858" width="11.28515625" style="150" customWidth="1"/>
    <col min="3859" max="3859" width="13" style="150" customWidth="1"/>
    <col min="3860" max="3860" width="11.28515625" style="150" customWidth="1"/>
    <col min="3861" max="3861" width="12.5703125" style="150" customWidth="1"/>
    <col min="3862" max="3862" width="4.5703125" style="150" customWidth="1"/>
    <col min="3863" max="4081" width="9.140625" style="150"/>
    <col min="4082" max="4082" width="14.28515625" style="150" customWidth="1"/>
    <col min="4083" max="4083" width="10.85546875" style="150" customWidth="1"/>
    <col min="4084" max="4084" width="10.140625" style="150" bestFit="1" customWidth="1"/>
    <col min="4085" max="4085" width="10.7109375" style="150" customWidth="1"/>
    <col min="4086" max="4086" width="11.28515625" style="150" customWidth="1"/>
    <col min="4087" max="4087" width="10.42578125" style="150" customWidth="1"/>
    <col min="4088" max="4088" width="11.42578125" style="150" customWidth="1"/>
    <col min="4089" max="4090" width="10" style="150" bestFit="1" customWidth="1"/>
    <col min="4091" max="4091" width="11.5703125" style="150" customWidth="1"/>
    <col min="4092" max="4092" width="16.28515625" style="150" customWidth="1"/>
    <col min="4093" max="4107" width="0" style="150" hidden="1" customWidth="1"/>
    <col min="4108" max="4108" width="11.140625" style="150" customWidth="1"/>
    <col min="4109" max="4109" width="9.28515625" style="150" customWidth="1"/>
    <col min="4110" max="4110" width="12.85546875" style="150" customWidth="1"/>
    <col min="4111" max="4111" width="10.5703125" style="150" customWidth="1"/>
    <col min="4112" max="4112" width="11" style="150" customWidth="1"/>
    <col min="4113" max="4113" width="12.7109375" style="150" bestFit="1" customWidth="1"/>
    <col min="4114" max="4114" width="11.28515625" style="150" customWidth="1"/>
    <col min="4115" max="4115" width="13" style="150" customWidth="1"/>
    <col min="4116" max="4116" width="11.28515625" style="150" customWidth="1"/>
    <col min="4117" max="4117" width="12.5703125" style="150" customWidth="1"/>
    <col min="4118" max="4118" width="4.5703125" style="150" customWidth="1"/>
    <col min="4119" max="4337" width="9.140625" style="150"/>
    <col min="4338" max="4338" width="14.28515625" style="150" customWidth="1"/>
    <col min="4339" max="4339" width="10.85546875" style="150" customWidth="1"/>
    <col min="4340" max="4340" width="10.140625" style="150" bestFit="1" customWidth="1"/>
    <col min="4341" max="4341" width="10.7109375" style="150" customWidth="1"/>
    <col min="4342" max="4342" width="11.28515625" style="150" customWidth="1"/>
    <col min="4343" max="4343" width="10.42578125" style="150" customWidth="1"/>
    <col min="4344" max="4344" width="11.42578125" style="150" customWidth="1"/>
    <col min="4345" max="4346" width="10" style="150" bestFit="1" customWidth="1"/>
    <col min="4347" max="4347" width="11.5703125" style="150" customWidth="1"/>
    <col min="4348" max="4348" width="16.28515625" style="150" customWidth="1"/>
    <col min="4349" max="4363" width="0" style="150" hidden="1" customWidth="1"/>
    <col min="4364" max="4364" width="11.140625" style="150" customWidth="1"/>
    <col min="4365" max="4365" width="9.28515625" style="150" customWidth="1"/>
    <col min="4366" max="4366" width="12.85546875" style="150" customWidth="1"/>
    <col min="4367" max="4367" width="10.5703125" style="150" customWidth="1"/>
    <col min="4368" max="4368" width="11" style="150" customWidth="1"/>
    <col min="4369" max="4369" width="12.7109375" style="150" bestFit="1" customWidth="1"/>
    <col min="4370" max="4370" width="11.28515625" style="150" customWidth="1"/>
    <col min="4371" max="4371" width="13" style="150" customWidth="1"/>
    <col min="4372" max="4372" width="11.28515625" style="150" customWidth="1"/>
    <col min="4373" max="4373" width="12.5703125" style="150" customWidth="1"/>
    <col min="4374" max="4374" width="4.5703125" style="150" customWidth="1"/>
    <col min="4375" max="4593" width="9.140625" style="150"/>
    <col min="4594" max="4594" width="14.28515625" style="150" customWidth="1"/>
    <col min="4595" max="4595" width="10.85546875" style="150" customWidth="1"/>
    <col min="4596" max="4596" width="10.140625" style="150" bestFit="1" customWidth="1"/>
    <col min="4597" max="4597" width="10.7109375" style="150" customWidth="1"/>
    <col min="4598" max="4598" width="11.28515625" style="150" customWidth="1"/>
    <col min="4599" max="4599" width="10.42578125" style="150" customWidth="1"/>
    <col min="4600" max="4600" width="11.42578125" style="150" customWidth="1"/>
    <col min="4601" max="4602" width="10" style="150" bestFit="1" customWidth="1"/>
    <col min="4603" max="4603" width="11.5703125" style="150" customWidth="1"/>
    <col min="4604" max="4604" width="16.28515625" style="150" customWidth="1"/>
    <col min="4605" max="4619" width="0" style="150" hidden="1" customWidth="1"/>
    <col min="4620" max="4620" width="11.140625" style="150" customWidth="1"/>
    <col min="4621" max="4621" width="9.28515625" style="150" customWidth="1"/>
    <col min="4622" max="4622" width="12.85546875" style="150" customWidth="1"/>
    <col min="4623" max="4623" width="10.5703125" style="150" customWidth="1"/>
    <col min="4624" max="4624" width="11" style="150" customWidth="1"/>
    <col min="4625" max="4625" width="12.7109375" style="150" bestFit="1" customWidth="1"/>
    <col min="4626" max="4626" width="11.28515625" style="150" customWidth="1"/>
    <col min="4627" max="4627" width="13" style="150" customWidth="1"/>
    <col min="4628" max="4628" width="11.28515625" style="150" customWidth="1"/>
    <col min="4629" max="4629" width="12.5703125" style="150" customWidth="1"/>
    <col min="4630" max="4630" width="4.5703125" style="150" customWidth="1"/>
    <col min="4631" max="4849" width="9.140625" style="150"/>
    <col min="4850" max="4850" width="14.28515625" style="150" customWidth="1"/>
    <col min="4851" max="4851" width="10.85546875" style="150" customWidth="1"/>
    <col min="4852" max="4852" width="10.140625" style="150" bestFit="1" customWidth="1"/>
    <col min="4853" max="4853" width="10.7109375" style="150" customWidth="1"/>
    <col min="4854" max="4854" width="11.28515625" style="150" customWidth="1"/>
    <col min="4855" max="4855" width="10.42578125" style="150" customWidth="1"/>
    <col min="4856" max="4856" width="11.42578125" style="150" customWidth="1"/>
    <col min="4857" max="4858" width="10" style="150" bestFit="1" customWidth="1"/>
    <col min="4859" max="4859" width="11.5703125" style="150" customWidth="1"/>
    <col min="4860" max="4860" width="16.28515625" style="150" customWidth="1"/>
    <col min="4861" max="4875" width="0" style="150" hidden="1" customWidth="1"/>
    <col min="4876" max="4876" width="11.140625" style="150" customWidth="1"/>
    <col min="4877" max="4877" width="9.28515625" style="150" customWidth="1"/>
    <col min="4878" max="4878" width="12.85546875" style="150" customWidth="1"/>
    <col min="4879" max="4879" width="10.5703125" style="150" customWidth="1"/>
    <col min="4880" max="4880" width="11" style="150" customWidth="1"/>
    <col min="4881" max="4881" width="12.7109375" style="150" bestFit="1" customWidth="1"/>
    <col min="4882" max="4882" width="11.28515625" style="150" customWidth="1"/>
    <col min="4883" max="4883" width="13" style="150" customWidth="1"/>
    <col min="4884" max="4884" width="11.28515625" style="150" customWidth="1"/>
    <col min="4885" max="4885" width="12.5703125" style="150" customWidth="1"/>
    <col min="4886" max="4886" width="4.5703125" style="150" customWidth="1"/>
    <col min="4887" max="5105" width="9.140625" style="150"/>
    <col min="5106" max="5106" width="14.28515625" style="150" customWidth="1"/>
    <col min="5107" max="5107" width="10.85546875" style="150" customWidth="1"/>
    <col min="5108" max="5108" width="10.140625" style="150" bestFit="1" customWidth="1"/>
    <col min="5109" max="5109" width="10.7109375" style="150" customWidth="1"/>
    <col min="5110" max="5110" width="11.28515625" style="150" customWidth="1"/>
    <col min="5111" max="5111" width="10.42578125" style="150" customWidth="1"/>
    <col min="5112" max="5112" width="11.42578125" style="150" customWidth="1"/>
    <col min="5113" max="5114" width="10" style="150" bestFit="1" customWidth="1"/>
    <col min="5115" max="5115" width="11.5703125" style="150" customWidth="1"/>
    <col min="5116" max="5116" width="16.28515625" style="150" customWidth="1"/>
    <col min="5117" max="5131" width="0" style="150" hidden="1" customWidth="1"/>
    <col min="5132" max="5132" width="11.140625" style="150" customWidth="1"/>
    <col min="5133" max="5133" width="9.28515625" style="150" customWidth="1"/>
    <col min="5134" max="5134" width="12.85546875" style="150" customWidth="1"/>
    <col min="5135" max="5135" width="10.5703125" style="150" customWidth="1"/>
    <col min="5136" max="5136" width="11" style="150" customWidth="1"/>
    <col min="5137" max="5137" width="12.7109375" style="150" bestFit="1" customWidth="1"/>
    <col min="5138" max="5138" width="11.28515625" style="150" customWidth="1"/>
    <col min="5139" max="5139" width="13" style="150" customWidth="1"/>
    <col min="5140" max="5140" width="11.28515625" style="150" customWidth="1"/>
    <col min="5141" max="5141" width="12.5703125" style="150" customWidth="1"/>
    <col min="5142" max="5142" width="4.5703125" style="150" customWidth="1"/>
    <col min="5143" max="5361" width="9.140625" style="150"/>
    <col min="5362" max="5362" width="14.28515625" style="150" customWidth="1"/>
    <col min="5363" max="5363" width="10.85546875" style="150" customWidth="1"/>
    <col min="5364" max="5364" width="10.140625" style="150" bestFit="1" customWidth="1"/>
    <col min="5365" max="5365" width="10.7109375" style="150" customWidth="1"/>
    <col min="5366" max="5366" width="11.28515625" style="150" customWidth="1"/>
    <col min="5367" max="5367" width="10.42578125" style="150" customWidth="1"/>
    <col min="5368" max="5368" width="11.42578125" style="150" customWidth="1"/>
    <col min="5369" max="5370" width="10" style="150" bestFit="1" customWidth="1"/>
    <col min="5371" max="5371" width="11.5703125" style="150" customWidth="1"/>
    <col min="5372" max="5372" width="16.28515625" style="150" customWidth="1"/>
    <col min="5373" max="5387" width="0" style="150" hidden="1" customWidth="1"/>
    <col min="5388" max="5388" width="11.140625" style="150" customWidth="1"/>
    <col min="5389" max="5389" width="9.28515625" style="150" customWidth="1"/>
    <col min="5390" max="5390" width="12.85546875" style="150" customWidth="1"/>
    <col min="5391" max="5391" width="10.5703125" style="150" customWidth="1"/>
    <col min="5392" max="5392" width="11" style="150" customWidth="1"/>
    <col min="5393" max="5393" width="12.7109375" style="150" bestFit="1" customWidth="1"/>
    <col min="5394" max="5394" width="11.28515625" style="150" customWidth="1"/>
    <col min="5395" max="5395" width="13" style="150" customWidth="1"/>
    <col min="5396" max="5396" width="11.28515625" style="150" customWidth="1"/>
    <col min="5397" max="5397" width="12.5703125" style="150" customWidth="1"/>
    <col min="5398" max="5398" width="4.5703125" style="150" customWidth="1"/>
    <col min="5399" max="5617" width="9.140625" style="150"/>
    <col min="5618" max="5618" width="14.28515625" style="150" customWidth="1"/>
    <col min="5619" max="5619" width="10.85546875" style="150" customWidth="1"/>
    <col min="5620" max="5620" width="10.140625" style="150" bestFit="1" customWidth="1"/>
    <col min="5621" max="5621" width="10.7109375" style="150" customWidth="1"/>
    <col min="5622" max="5622" width="11.28515625" style="150" customWidth="1"/>
    <col min="5623" max="5623" width="10.42578125" style="150" customWidth="1"/>
    <col min="5624" max="5624" width="11.42578125" style="150" customWidth="1"/>
    <col min="5625" max="5626" width="10" style="150" bestFit="1" customWidth="1"/>
    <col min="5627" max="5627" width="11.5703125" style="150" customWidth="1"/>
    <col min="5628" max="5628" width="16.28515625" style="150" customWidth="1"/>
    <col min="5629" max="5643" width="0" style="150" hidden="1" customWidth="1"/>
    <col min="5644" max="5644" width="11.140625" style="150" customWidth="1"/>
    <col min="5645" max="5645" width="9.28515625" style="150" customWidth="1"/>
    <col min="5646" max="5646" width="12.85546875" style="150" customWidth="1"/>
    <col min="5647" max="5647" width="10.5703125" style="150" customWidth="1"/>
    <col min="5648" max="5648" width="11" style="150" customWidth="1"/>
    <col min="5649" max="5649" width="12.7109375" style="150" bestFit="1" customWidth="1"/>
    <col min="5650" max="5650" width="11.28515625" style="150" customWidth="1"/>
    <col min="5651" max="5651" width="13" style="150" customWidth="1"/>
    <col min="5652" max="5652" width="11.28515625" style="150" customWidth="1"/>
    <col min="5653" max="5653" width="12.5703125" style="150" customWidth="1"/>
    <col min="5654" max="5654" width="4.5703125" style="150" customWidth="1"/>
    <col min="5655" max="5873" width="9.140625" style="150"/>
    <col min="5874" max="5874" width="14.28515625" style="150" customWidth="1"/>
    <col min="5875" max="5875" width="10.85546875" style="150" customWidth="1"/>
    <col min="5876" max="5876" width="10.140625" style="150" bestFit="1" customWidth="1"/>
    <col min="5877" max="5877" width="10.7109375" style="150" customWidth="1"/>
    <col min="5878" max="5878" width="11.28515625" style="150" customWidth="1"/>
    <col min="5879" max="5879" width="10.42578125" style="150" customWidth="1"/>
    <col min="5880" max="5880" width="11.42578125" style="150" customWidth="1"/>
    <col min="5881" max="5882" width="10" style="150" bestFit="1" customWidth="1"/>
    <col min="5883" max="5883" width="11.5703125" style="150" customWidth="1"/>
    <col min="5884" max="5884" width="16.28515625" style="150" customWidth="1"/>
    <col min="5885" max="5899" width="0" style="150" hidden="1" customWidth="1"/>
    <col min="5900" max="5900" width="11.140625" style="150" customWidth="1"/>
    <col min="5901" max="5901" width="9.28515625" style="150" customWidth="1"/>
    <col min="5902" max="5902" width="12.85546875" style="150" customWidth="1"/>
    <col min="5903" max="5903" width="10.5703125" style="150" customWidth="1"/>
    <col min="5904" max="5904" width="11" style="150" customWidth="1"/>
    <col min="5905" max="5905" width="12.7109375" style="150" bestFit="1" customWidth="1"/>
    <col min="5906" max="5906" width="11.28515625" style="150" customWidth="1"/>
    <col min="5907" max="5907" width="13" style="150" customWidth="1"/>
    <col min="5908" max="5908" width="11.28515625" style="150" customWidth="1"/>
    <col min="5909" max="5909" width="12.5703125" style="150" customWidth="1"/>
    <col min="5910" max="5910" width="4.5703125" style="150" customWidth="1"/>
    <col min="5911" max="6129" width="9.140625" style="150"/>
    <col min="6130" max="6130" width="14.28515625" style="150" customWidth="1"/>
    <col min="6131" max="6131" width="10.85546875" style="150" customWidth="1"/>
    <col min="6132" max="6132" width="10.140625" style="150" bestFit="1" customWidth="1"/>
    <col min="6133" max="6133" width="10.7109375" style="150" customWidth="1"/>
    <col min="6134" max="6134" width="11.28515625" style="150" customWidth="1"/>
    <col min="6135" max="6135" width="10.42578125" style="150" customWidth="1"/>
    <col min="6136" max="6136" width="11.42578125" style="150" customWidth="1"/>
    <col min="6137" max="6138" width="10" style="150" bestFit="1" customWidth="1"/>
    <col min="6139" max="6139" width="11.5703125" style="150" customWidth="1"/>
    <col min="6140" max="6140" width="16.28515625" style="150" customWidth="1"/>
    <col min="6141" max="6155" width="0" style="150" hidden="1" customWidth="1"/>
    <col min="6156" max="6156" width="11.140625" style="150" customWidth="1"/>
    <col min="6157" max="6157" width="9.28515625" style="150" customWidth="1"/>
    <col min="6158" max="6158" width="12.85546875" style="150" customWidth="1"/>
    <col min="6159" max="6159" width="10.5703125" style="150" customWidth="1"/>
    <col min="6160" max="6160" width="11" style="150" customWidth="1"/>
    <col min="6161" max="6161" width="12.7109375" style="150" bestFit="1" customWidth="1"/>
    <col min="6162" max="6162" width="11.28515625" style="150" customWidth="1"/>
    <col min="6163" max="6163" width="13" style="150" customWidth="1"/>
    <col min="6164" max="6164" width="11.28515625" style="150" customWidth="1"/>
    <col min="6165" max="6165" width="12.5703125" style="150" customWidth="1"/>
    <col min="6166" max="6166" width="4.5703125" style="150" customWidth="1"/>
    <col min="6167" max="6385" width="9.140625" style="150"/>
    <col min="6386" max="6386" width="14.28515625" style="150" customWidth="1"/>
    <col min="6387" max="6387" width="10.85546875" style="150" customWidth="1"/>
    <col min="6388" max="6388" width="10.140625" style="150" bestFit="1" customWidth="1"/>
    <col min="6389" max="6389" width="10.7109375" style="150" customWidth="1"/>
    <col min="6390" max="6390" width="11.28515625" style="150" customWidth="1"/>
    <col min="6391" max="6391" width="10.42578125" style="150" customWidth="1"/>
    <col min="6392" max="6392" width="11.42578125" style="150" customWidth="1"/>
    <col min="6393" max="6394" width="10" style="150" bestFit="1" customWidth="1"/>
    <col min="6395" max="6395" width="11.5703125" style="150" customWidth="1"/>
    <col min="6396" max="6396" width="16.28515625" style="150" customWidth="1"/>
    <col min="6397" max="6411" width="0" style="150" hidden="1" customWidth="1"/>
    <col min="6412" max="6412" width="11.140625" style="150" customWidth="1"/>
    <col min="6413" max="6413" width="9.28515625" style="150" customWidth="1"/>
    <col min="6414" max="6414" width="12.85546875" style="150" customWidth="1"/>
    <col min="6415" max="6415" width="10.5703125" style="150" customWidth="1"/>
    <col min="6416" max="6416" width="11" style="150" customWidth="1"/>
    <col min="6417" max="6417" width="12.7109375" style="150" bestFit="1" customWidth="1"/>
    <col min="6418" max="6418" width="11.28515625" style="150" customWidth="1"/>
    <col min="6419" max="6419" width="13" style="150" customWidth="1"/>
    <col min="6420" max="6420" width="11.28515625" style="150" customWidth="1"/>
    <col min="6421" max="6421" width="12.5703125" style="150" customWidth="1"/>
    <col min="6422" max="6422" width="4.5703125" style="150" customWidth="1"/>
    <col min="6423" max="6641" width="9.140625" style="150"/>
    <col min="6642" max="6642" width="14.28515625" style="150" customWidth="1"/>
    <col min="6643" max="6643" width="10.85546875" style="150" customWidth="1"/>
    <col min="6644" max="6644" width="10.140625" style="150" bestFit="1" customWidth="1"/>
    <col min="6645" max="6645" width="10.7109375" style="150" customWidth="1"/>
    <col min="6646" max="6646" width="11.28515625" style="150" customWidth="1"/>
    <col min="6647" max="6647" width="10.42578125" style="150" customWidth="1"/>
    <col min="6648" max="6648" width="11.42578125" style="150" customWidth="1"/>
    <col min="6649" max="6650" width="10" style="150" bestFit="1" customWidth="1"/>
    <col min="6651" max="6651" width="11.5703125" style="150" customWidth="1"/>
    <col min="6652" max="6652" width="16.28515625" style="150" customWidth="1"/>
    <col min="6653" max="6667" width="0" style="150" hidden="1" customWidth="1"/>
    <col min="6668" max="6668" width="11.140625" style="150" customWidth="1"/>
    <col min="6669" max="6669" width="9.28515625" style="150" customWidth="1"/>
    <col min="6670" max="6670" width="12.85546875" style="150" customWidth="1"/>
    <col min="6671" max="6671" width="10.5703125" style="150" customWidth="1"/>
    <col min="6672" max="6672" width="11" style="150" customWidth="1"/>
    <col min="6673" max="6673" width="12.7109375" style="150" bestFit="1" customWidth="1"/>
    <col min="6674" max="6674" width="11.28515625" style="150" customWidth="1"/>
    <col min="6675" max="6675" width="13" style="150" customWidth="1"/>
    <col min="6676" max="6676" width="11.28515625" style="150" customWidth="1"/>
    <col min="6677" max="6677" width="12.5703125" style="150" customWidth="1"/>
    <col min="6678" max="6678" width="4.5703125" style="150" customWidth="1"/>
    <col min="6679" max="6897" width="9.140625" style="150"/>
    <col min="6898" max="6898" width="14.28515625" style="150" customWidth="1"/>
    <col min="6899" max="6899" width="10.85546875" style="150" customWidth="1"/>
    <col min="6900" max="6900" width="10.140625" style="150" bestFit="1" customWidth="1"/>
    <col min="6901" max="6901" width="10.7109375" style="150" customWidth="1"/>
    <col min="6902" max="6902" width="11.28515625" style="150" customWidth="1"/>
    <col min="6903" max="6903" width="10.42578125" style="150" customWidth="1"/>
    <col min="6904" max="6904" width="11.42578125" style="150" customWidth="1"/>
    <col min="6905" max="6906" width="10" style="150" bestFit="1" customWidth="1"/>
    <col min="6907" max="6907" width="11.5703125" style="150" customWidth="1"/>
    <col min="6908" max="6908" width="16.28515625" style="150" customWidth="1"/>
    <col min="6909" max="6923" width="0" style="150" hidden="1" customWidth="1"/>
    <col min="6924" max="6924" width="11.140625" style="150" customWidth="1"/>
    <col min="6925" max="6925" width="9.28515625" style="150" customWidth="1"/>
    <col min="6926" max="6926" width="12.85546875" style="150" customWidth="1"/>
    <col min="6927" max="6927" width="10.5703125" style="150" customWidth="1"/>
    <col min="6928" max="6928" width="11" style="150" customWidth="1"/>
    <col min="6929" max="6929" width="12.7109375" style="150" bestFit="1" customWidth="1"/>
    <col min="6930" max="6930" width="11.28515625" style="150" customWidth="1"/>
    <col min="6931" max="6931" width="13" style="150" customWidth="1"/>
    <col min="6932" max="6932" width="11.28515625" style="150" customWidth="1"/>
    <col min="6933" max="6933" width="12.5703125" style="150" customWidth="1"/>
    <col min="6934" max="6934" width="4.5703125" style="150" customWidth="1"/>
    <col min="6935" max="7153" width="9.140625" style="150"/>
    <col min="7154" max="7154" width="14.28515625" style="150" customWidth="1"/>
    <col min="7155" max="7155" width="10.85546875" style="150" customWidth="1"/>
    <col min="7156" max="7156" width="10.140625" style="150" bestFit="1" customWidth="1"/>
    <col min="7157" max="7157" width="10.7109375" style="150" customWidth="1"/>
    <col min="7158" max="7158" width="11.28515625" style="150" customWidth="1"/>
    <col min="7159" max="7159" width="10.42578125" style="150" customWidth="1"/>
    <col min="7160" max="7160" width="11.42578125" style="150" customWidth="1"/>
    <col min="7161" max="7162" width="10" style="150" bestFit="1" customWidth="1"/>
    <col min="7163" max="7163" width="11.5703125" style="150" customWidth="1"/>
    <col min="7164" max="7164" width="16.28515625" style="150" customWidth="1"/>
    <col min="7165" max="7179" width="0" style="150" hidden="1" customWidth="1"/>
    <col min="7180" max="7180" width="11.140625" style="150" customWidth="1"/>
    <col min="7181" max="7181" width="9.28515625" style="150" customWidth="1"/>
    <col min="7182" max="7182" width="12.85546875" style="150" customWidth="1"/>
    <col min="7183" max="7183" width="10.5703125" style="150" customWidth="1"/>
    <col min="7184" max="7184" width="11" style="150" customWidth="1"/>
    <col min="7185" max="7185" width="12.7109375" style="150" bestFit="1" customWidth="1"/>
    <col min="7186" max="7186" width="11.28515625" style="150" customWidth="1"/>
    <col min="7187" max="7187" width="13" style="150" customWidth="1"/>
    <col min="7188" max="7188" width="11.28515625" style="150" customWidth="1"/>
    <col min="7189" max="7189" width="12.5703125" style="150" customWidth="1"/>
    <col min="7190" max="7190" width="4.5703125" style="150" customWidth="1"/>
    <col min="7191" max="7409" width="9.140625" style="150"/>
    <col min="7410" max="7410" width="14.28515625" style="150" customWidth="1"/>
    <col min="7411" max="7411" width="10.85546875" style="150" customWidth="1"/>
    <col min="7412" max="7412" width="10.140625" style="150" bestFit="1" customWidth="1"/>
    <col min="7413" max="7413" width="10.7109375" style="150" customWidth="1"/>
    <col min="7414" max="7414" width="11.28515625" style="150" customWidth="1"/>
    <col min="7415" max="7415" width="10.42578125" style="150" customWidth="1"/>
    <col min="7416" max="7416" width="11.42578125" style="150" customWidth="1"/>
    <col min="7417" max="7418" width="10" style="150" bestFit="1" customWidth="1"/>
    <col min="7419" max="7419" width="11.5703125" style="150" customWidth="1"/>
    <col min="7420" max="7420" width="16.28515625" style="150" customWidth="1"/>
    <col min="7421" max="7435" width="0" style="150" hidden="1" customWidth="1"/>
    <col min="7436" max="7436" width="11.140625" style="150" customWidth="1"/>
    <col min="7437" max="7437" width="9.28515625" style="150" customWidth="1"/>
    <col min="7438" max="7438" width="12.85546875" style="150" customWidth="1"/>
    <col min="7439" max="7439" width="10.5703125" style="150" customWidth="1"/>
    <col min="7440" max="7440" width="11" style="150" customWidth="1"/>
    <col min="7441" max="7441" width="12.7109375" style="150" bestFit="1" customWidth="1"/>
    <col min="7442" max="7442" width="11.28515625" style="150" customWidth="1"/>
    <col min="7443" max="7443" width="13" style="150" customWidth="1"/>
    <col min="7444" max="7444" width="11.28515625" style="150" customWidth="1"/>
    <col min="7445" max="7445" width="12.5703125" style="150" customWidth="1"/>
    <col min="7446" max="7446" width="4.5703125" style="150" customWidth="1"/>
    <col min="7447" max="7665" width="9.140625" style="150"/>
    <col min="7666" max="7666" width="14.28515625" style="150" customWidth="1"/>
    <col min="7667" max="7667" width="10.85546875" style="150" customWidth="1"/>
    <col min="7668" max="7668" width="10.140625" style="150" bestFit="1" customWidth="1"/>
    <col min="7669" max="7669" width="10.7109375" style="150" customWidth="1"/>
    <col min="7670" max="7670" width="11.28515625" style="150" customWidth="1"/>
    <col min="7671" max="7671" width="10.42578125" style="150" customWidth="1"/>
    <col min="7672" max="7672" width="11.42578125" style="150" customWidth="1"/>
    <col min="7673" max="7674" width="10" style="150" bestFit="1" customWidth="1"/>
    <col min="7675" max="7675" width="11.5703125" style="150" customWidth="1"/>
    <col min="7676" max="7676" width="16.28515625" style="150" customWidth="1"/>
    <col min="7677" max="7691" width="0" style="150" hidden="1" customWidth="1"/>
    <col min="7692" max="7692" width="11.140625" style="150" customWidth="1"/>
    <col min="7693" max="7693" width="9.28515625" style="150" customWidth="1"/>
    <col min="7694" max="7694" width="12.85546875" style="150" customWidth="1"/>
    <col min="7695" max="7695" width="10.5703125" style="150" customWidth="1"/>
    <col min="7696" max="7696" width="11" style="150" customWidth="1"/>
    <col min="7697" max="7697" width="12.7109375" style="150" bestFit="1" customWidth="1"/>
    <col min="7698" max="7698" width="11.28515625" style="150" customWidth="1"/>
    <col min="7699" max="7699" width="13" style="150" customWidth="1"/>
    <col min="7700" max="7700" width="11.28515625" style="150" customWidth="1"/>
    <col min="7701" max="7701" width="12.5703125" style="150" customWidth="1"/>
    <col min="7702" max="7702" width="4.5703125" style="150" customWidth="1"/>
    <col min="7703" max="7921" width="9.140625" style="150"/>
    <col min="7922" max="7922" width="14.28515625" style="150" customWidth="1"/>
    <col min="7923" max="7923" width="10.85546875" style="150" customWidth="1"/>
    <col min="7924" max="7924" width="10.140625" style="150" bestFit="1" customWidth="1"/>
    <col min="7925" max="7925" width="10.7109375" style="150" customWidth="1"/>
    <col min="7926" max="7926" width="11.28515625" style="150" customWidth="1"/>
    <col min="7927" max="7927" width="10.42578125" style="150" customWidth="1"/>
    <col min="7928" max="7928" width="11.42578125" style="150" customWidth="1"/>
    <col min="7929" max="7930" width="10" style="150" bestFit="1" customWidth="1"/>
    <col min="7931" max="7931" width="11.5703125" style="150" customWidth="1"/>
    <col min="7932" max="7932" width="16.28515625" style="150" customWidth="1"/>
    <col min="7933" max="7947" width="0" style="150" hidden="1" customWidth="1"/>
    <col min="7948" max="7948" width="11.140625" style="150" customWidth="1"/>
    <col min="7949" max="7949" width="9.28515625" style="150" customWidth="1"/>
    <col min="7950" max="7950" width="12.85546875" style="150" customWidth="1"/>
    <col min="7951" max="7951" width="10.5703125" style="150" customWidth="1"/>
    <col min="7952" max="7952" width="11" style="150" customWidth="1"/>
    <col min="7953" max="7953" width="12.7109375" style="150" bestFit="1" customWidth="1"/>
    <col min="7954" max="7954" width="11.28515625" style="150" customWidth="1"/>
    <col min="7955" max="7955" width="13" style="150" customWidth="1"/>
    <col min="7956" max="7956" width="11.28515625" style="150" customWidth="1"/>
    <col min="7957" max="7957" width="12.5703125" style="150" customWidth="1"/>
    <col min="7958" max="7958" width="4.5703125" style="150" customWidth="1"/>
    <col min="7959" max="8177" width="9.140625" style="150"/>
    <col min="8178" max="8178" width="14.28515625" style="150" customWidth="1"/>
    <col min="8179" max="8179" width="10.85546875" style="150" customWidth="1"/>
    <col min="8180" max="8180" width="10.140625" style="150" bestFit="1" customWidth="1"/>
    <col min="8181" max="8181" width="10.7109375" style="150" customWidth="1"/>
    <col min="8182" max="8182" width="11.28515625" style="150" customWidth="1"/>
    <col min="8183" max="8183" width="10.42578125" style="150" customWidth="1"/>
    <col min="8184" max="8184" width="11.42578125" style="150" customWidth="1"/>
    <col min="8185" max="8186" width="10" style="150" bestFit="1" customWidth="1"/>
    <col min="8187" max="8187" width="11.5703125" style="150" customWidth="1"/>
    <col min="8188" max="8188" width="16.28515625" style="150" customWidth="1"/>
    <col min="8189" max="8203" width="0" style="150" hidden="1" customWidth="1"/>
    <col min="8204" max="8204" width="11.140625" style="150" customWidth="1"/>
    <col min="8205" max="8205" width="9.28515625" style="150" customWidth="1"/>
    <col min="8206" max="8206" width="12.85546875" style="150" customWidth="1"/>
    <col min="8207" max="8207" width="10.5703125" style="150" customWidth="1"/>
    <col min="8208" max="8208" width="11" style="150" customWidth="1"/>
    <col min="8209" max="8209" width="12.7109375" style="150" bestFit="1" customWidth="1"/>
    <col min="8210" max="8210" width="11.28515625" style="150" customWidth="1"/>
    <col min="8211" max="8211" width="13" style="150" customWidth="1"/>
    <col min="8212" max="8212" width="11.28515625" style="150" customWidth="1"/>
    <col min="8213" max="8213" width="12.5703125" style="150" customWidth="1"/>
    <col min="8214" max="8214" width="4.5703125" style="150" customWidth="1"/>
    <col min="8215" max="8433" width="9.140625" style="150"/>
    <col min="8434" max="8434" width="14.28515625" style="150" customWidth="1"/>
    <col min="8435" max="8435" width="10.85546875" style="150" customWidth="1"/>
    <col min="8436" max="8436" width="10.140625" style="150" bestFit="1" customWidth="1"/>
    <col min="8437" max="8437" width="10.7109375" style="150" customWidth="1"/>
    <col min="8438" max="8438" width="11.28515625" style="150" customWidth="1"/>
    <col min="8439" max="8439" width="10.42578125" style="150" customWidth="1"/>
    <col min="8440" max="8440" width="11.42578125" style="150" customWidth="1"/>
    <col min="8441" max="8442" width="10" style="150" bestFit="1" customWidth="1"/>
    <col min="8443" max="8443" width="11.5703125" style="150" customWidth="1"/>
    <col min="8444" max="8444" width="16.28515625" style="150" customWidth="1"/>
    <col min="8445" max="8459" width="0" style="150" hidden="1" customWidth="1"/>
    <col min="8460" max="8460" width="11.140625" style="150" customWidth="1"/>
    <col min="8461" max="8461" width="9.28515625" style="150" customWidth="1"/>
    <col min="8462" max="8462" width="12.85546875" style="150" customWidth="1"/>
    <col min="8463" max="8463" width="10.5703125" style="150" customWidth="1"/>
    <col min="8464" max="8464" width="11" style="150" customWidth="1"/>
    <col min="8465" max="8465" width="12.7109375" style="150" bestFit="1" customWidth="1"/>
    <col min="8466" max="8466" width="11.28515625" style="150" customWidth="1"/>
    <col min="8467" max="8467" width="13" style="150" customWidth="1"/>
    <col min="8468" max="8468" width="11.28515625" style="150" customWidth="1"/>
    <col min="8469" max="8469" width="12.5703125" style="150" customWidth="1"/>
    <col min="8470" max="8470" width="4.5703125" style="150" customWidth="1"/>
    <col min="8471" max="8689" width="9.140625" style="150"/>
    <col min="8690" max="8690" width="14.28515625" style="150" customWidth="1"/>
    <col min="8691" max="8691" width="10.85546875" style="150" customWidth="1"/>
    <col min="8692" max="8692" width="10.140625" style="150" bestFit="1" customWidth="1"/>
    <col min="8693" max="8693" width="10.7109375" style="150" customWidth="1"/>
    <col min="8694" max="8694" width="11.28515625" style="150" customWidth="1"/>
    <col min="8695" max="8695" width="10.42578125" style="150" customWidth="1"/>
    <col min="8696" max="8696" width="11.42578125" style="150" customWidth="1"/>
    <col min="8697" max="8698" width="10" style="150" bestFit="1" customWidth="1"/>
    <col min="8699" max="8699" width="11.5703125" style="150" customWidth="1"/>
    <col min="8700" max="8700" width="16.28515625" style="150" customWidth="1"/>
    <col min="8701" max="8715" width="0" style="150" hidden="1" customWidth="1"/>
    <col min="8716" max="8716" width="11.140625" style="150" customWidth="1"/>
    <col min="8717" max="8717" width="9.28515625" style="150" customWidth="1"/>
    <col min="8718" max="8718" width="12.85546875" style="150" customWidth="1"/>
    <col min="8719" max="8719" width="10.5703125" style="150" customWidth="1"/>
    <col min="8720" max="8720" width="11" style="150" customWidth="1"/>
    <col min="8721" max="8721" width="12.7109375" style="150" bestFit="1" customWidth="1"/>
    <col min="8722" max="8722" width="11.28515625" style="150" customWidth="1"/>
    <col min="8723" max="8723" width="13" style="150" customWidth="1"/>
    <col min="8724" max="8724" width="11.28515625" style="150" customWidth="1"/>
    <col min="8725" max="8725" width="12.5703125" style="150" customWidth="1"/>
    <col min="8726" max="8726" width="4.5703125" style="150" customWidth="1"/>
    <col min="8727" max="8945" width="9.140625" style="150"/>
    <col min="8946" max="8946" width="14.28515625" style="150" customWidth="1"/>
    <col min="8947" max="8947" width="10.85546875" style="150" customWidth="1"/>
    <col min="8948" max="8948" width="10.140625" style="150" bestFit="1" customWidth="1"/>
    <col min="8949" max="8949" width="10.7109375" style="150" customWidth="1"/>
    <col min="8950" max="8950" width="11.28515625" style="150" customWidth="1"/>
    <col min="8951" max="8951" width="10.42578125" style="150" customWidth="1"/>
    <col min="8952" max="8952" width="11.42578125" style="150" customWidth="1"/>
    <col min="8953" max="8954" width="10" style="150" bestFit="1" customWidth="1"/>
    <col min="8955" max="8955" width="11.5703125" style="150" customWidth="1"/>
    <col min="8956" max="8956" width="16.28515625" style="150" customWidth="1"/>
    <col min="8957" max="8971" width="0" style="150" hidden="1" customWidth="1"/>
    <col min="8972" max="8972" width="11.140625" style="150" customWidth="1"/>
    <col min="8973" max="8973" width="9.28515625" style="150" customWidth="1"/>
    <col min="8974" max="8974" width="12.85546875" style="150" customWidth="1"/>
    <col min="8975" max="8975" width="10.5703125" style="150" customWidth="1"/>
    <col min="8976" max="8976" width="11" style="150" customWidth="1"/>
    <col min="8977" max="8977" width="12.7109375" style="150" bestFit="1" customWidth="1"/>
    <col min="8978" max="8978" width="11.28515625" style="150" customWidth="1"/>
    <col min="8979" max="8979" width="13" style="150" customWidth="1"/>
    <col min="8980" max="8980" width="11.28515625" style="150" customWidth="1"/>
    <col min="8981" max="8981" width="12.5703125" style="150" customWidth="1"/>
    <col min="8982" max="8982" width="4.5703125" style="150" customWidth="1"/>
    <col min="8983" max="9201" width="9.140625" style="150"/>
    <col min="9202" max="9202" width="14.28515625" style="150" customWidth="1"/>
    <col min="9203" max="9203" width="10.85546875" style="150" customWidth="1"/>
    <col min="9204" max="9204" width="10.140625" style="150" bestFit="1" customWidth="1"/>
    <col min="9205" max="9205" width="10.7109375" style="150" customWidth="1"/>
    <col min="9206" max="9206" width="11.28515625" style="150" customWidth="1"/>
    <col min="9207" max="9207" width="10.42578125" style="150" customWidth="1"/>
    <col min="9208" max="9208" width="11.42578125" style="150" customWidth="1"/>
    <col min="9209" max="9210" width="10" style="150" bestFit="1" customWidth="1"/>
    <col min="9211" max="9211" width="11.5703125" style="150" customWidth="1"/>
    <col min="9212" max="9212" width="16.28515625" style="150" customWidth="1"/>
    <col min="9213" max="9227" width="0" style="150" hidden="1" customWidth="1"/>
    <col min="9228" max="9228" width="11.140625" style="150" customWidth="1"/>
    <col min="9229" max="9229" width="9.28515625" style="150" customWidth="1"/>
    <col min="9230" max="9230" width="12.85546875" style="150" customWidth="1"/>
    <col min="9231" max="9231" width="10.5703125" style="150" customWidth="1"/>
    <col min="9232" max="9232" width="11" style="150" customWidth="1"/>
    <col min="9233" max="9233" width="12.7109375" style="150" bestFit="1" customWidth="1"/>
    <col min="9234" max="9234" width="11.28515625" style="150" customWidth="1"/>
    <col min="9235" max="9235" width="13" style="150" customWidth="1"/>
    <col min="9236" max="9236" width="11.28515625" style="150" customWidth="1"/>
    <col min="9237" max="9237" width="12.5703125" style="150" customWidth="1"/>
    <col min="9238" max="9238" width="4.5703125" style="150" customWidth="1"/>
    <col min="9239" max="9457" width="9.140625" style="150"/>
    <col min="9458" max="9458" width="14.28515625" style="150" customWidth="1"/>
    <col min="9459" max="9459" width="10.85546875" style="150" customWidth="1"/>
    <col min="9460" max="9460" width="10.140625" style="150" bestFit="1" customWidth="1"/>
    <col min="9461" max="9461" width="10.7109375" style="150" customWidth="1"/>
    <col min="9462" max="9462" width="11.28515625" style="150" customWidth="1"/>
    <col min="9463" max="9463" width="10.42578125" style="150" customWidth="1"/>
    <col min="9464" max="9464" width="11.42578125" style="150" customWidth="1"/>
    <col min="9465" max="9466" width="10" style="150" bestFit="1" customWidth="1"/>
    <col min="9467" max="9467" width="11.5703125" style="150" customWidth="1"/>
    <col min="9468" max="9468" width="16.28515625" style="150" customWidth="1"/>
    <col min="9469" max="9483" width="0" style="150" hidden="1" customWidth="1"/>
    <col min="9484" max="9484" width="11.140625" style="150" customWidth="1"/>
    <col min="9485" max="9485" width="9.28515625" style="150" customWidth="1"/>
    <col min="9486" max="9486" width="12.85546875" style="150" customWidth="1"/>
    <col min="9487" max="9487" width="10.5703125" style="150" customWidth="1"/>
    <col min="9488" max="9488" width="11" style="150" customWidth="1"/>
    <col min="9489" max="9489" width="12.7109375" style="150" bestFit="1" customWidth="1"/>
    <col min="9490" max="9490" width="11.28515625" style="150" customWidth="1"/>
    <col min="9491" max="9491" width="13" style="150" customWidth="1"/>
    <col min="9492" max="9492" width="11.28515625" style="150" customWidth="1"/>
    <col min="9493" max="9493" width="12.5703125" style="150" customWidth="1"/>
    <col min="9494" max="9494" width="4.5703125" style="150" customWidth="1"/>
    <col min="9495" max="9713" width="9.140625" style="150"/>
    <col min="9714" max="9714" width="14.28515625" style="150" customWidth="1"/>
    <col min="9715" max="9715" width="10.85546875" style="150" customWidth="1"/>
    <col min="9716" max="9716" width="10.140625" style="150" bestFit="1" customWidth="1"/>
    <col min="9717" max="9717" width="10.7109375" style="150" customWidth="1"/>
    <col min="9718" max="9718" width="11.28515625" style="150" customWidth="1"/>
    <col min="9719" max="9719" width="10.42578125" style="150" customWidth="1"/>
    <col min="9720" max="9720" width="11.42578125" style="150" customWidth="1"/>
    <col min="9721" max="9722" width="10" style="150" bestFit="1" customWidth="1"/>
    <col min="9723" max="9723" width="11.5703125" style="150" customWidth="1"/>
    <col min="9724" max="9724" width="16.28515625" style="150" customWidth="1"/>
    <col min="9725" max="9739" width="0" style="150" hidden="1" customWidth="1"/>
    <col min="9740" max="9740" width="11.140625" style="150" customWidth="1"/>
    <col min="9741" max="9741" width="9.28515625" style="150" customWidth="1"/>
    <col min="9742" max="9742" width="12.85546875" style="150" customWidth="1"/>
    <col min="9743" max="9743" width="10.5703125" style="150" customWidth="1"/>
    <col min="9744" max="9744" width="11" style="150" customWidth="1"/>
    <col min="9745" max="9745" width="12.7109375" style="150" bestFit="1" customWidth="1"/>
    <col min="9746" max="9746" width="11.28515625" style="150" customWidth="1"/>
    <col min="9747" max="9747" width="13" style="150" customWidth="1"/>
    <col min="9748" max="9748" width="11.28515625" style="150" customWidth="1"/>
    <col min="9749" max="9749" width="12.5703125" style="150" customWidth="1"/>
    <col min="9750" max="9750" width="4.5703125" style="150" customWidth="1"/>
    <col min="9751" max="9969" width="9.140625" style="150"/>
    <col min="9970" max="9970" width="14.28515625" style="150" customWidth="1"/>
    <col min="9971" max="9971" width="10.85546875" style="150" customWidth="1"/>
    <col min="9972" max="9972" width="10.140625" style="150" bestFit="1" customWidth="1"/>
    <col min="9973" max="9973" width="10.7109375" style="150" customWidth="1"/>
    <col min="9974" max="9974" width="11.28515625" style="150" customWidth="1"/>
    <col min="9975" max="9975" width="10.42578125" style="150" customWidth="1"/>
    <col min="9976" max="9976" width="11.42578125" style="150" customWidth="1"/>
    <col min="9977" max="9978" width="10" style="150" bestFit="1" customWidth="1"/>
    <col min="9979" max="9979" width="11.5703125" style="150" customWidth="1"/>
    <col min="9980" max="9980" width="16.28515625" style="150" customWidth="1"/>
    <col min="9981" max="9995" width="0" style="150" hidden="1" customWidth="1"/>
    <col min="9996" max="9996" width="11.140625" style="150" customWidth="1"/>
    <col min="9997" max="9997" width="9.28515625" style="150" customWidth="1"/>
    <col min="9998" max="9998" width="12.85546875" style="150" customWidth="1"/>
    <col min="9999" max="9999" width="10.5703125" style="150" customWidth="1"/>
    <col min="10000" max="10000" width="11" style="150" customWidth="1"/>
    <col min="10001" max="10001" width="12.7109375" style="150" bestFit="1" customWidth="1"/>
    <col min="10002" max="10002" width="11.28515625" style="150" customWidth="1"/>
    <col min="10003" max="10003" width="13" style="150" customWidth="1"/>
    <col min="10004" max="10004" width="11.28515625" style="150" customWidth="1"/>
    <col min="10005" max="10005" width="12.5703125" style="150" customWidth="1"/>
    <col min="10006" max="10006" width="4.5703125" style="150" customWidth="1"/>
    <col min="10007" max="10225" width="9.140625" style="150"/>
    <col min="10226" max="10226" width="14.28515625" style="150" customWidth="1"/>
    <col min="10227" max="10227" width="10.85546875" style="150" customWidth="1"/>
    <col min="10228" max="10228" width="10.140625" style="150" bestFit="1" customWidth="1"/>
    <col min="10229" max="10229" width="10.7109375" style="150" customWidth="1"/>
    <col min="10230" max="10230" width="11.28515625" style="150" customWidth="1"/>
    <col min="10231" max="10231" width="10.42578125" style="150" customWidth="1"/>
    <col min="10232" max="10232" width="11.42578125" style="150" customWidth="1"/>
    <col min="10233" max="10234" width="10" style="150" bestFit="1" customWidth="1"/>
    <col min="10235" max="10235" width="11.5703125" style="150" customWidth="1"/>
    <col min="10236" max="10236" width="16.28515625" style="150" customWidth="1"/>
    <col min="10237" max="10251" width="0" style="150" hidden="1" customWidth="1"/>
    <col min="10252" max="10252" width="11.140625" style="150" customWidth="1"/>
    <col min="10253" max="10253" width="9.28515625" style="150" customWidth="1"/>
    <col min="10254" max="10254" width="12.85546875" style="150" customWidth="1"/>
    <col min="10255" max="10255" width="10.5703125" style="150" customWidth="1"/>
    <col min="10256" max="10256" width="11" style="150" customWidth="1"/>
    <col min="10257" max="10257" width="12.7109375" style="150" bestFit="1" customWidth="1"/>
    <col min="10258" max="10258" width="11.28515625" style="150" customWidth="1"/>
    <col min="10259" max="10259" width="13" style="150" customWidth="1"/>
    <col min="10260" max="10260" width="11.28515625" style="150" customWidth="1"/>
    <col min="10261" max="10261" width="12.5703125" style="150" customWidth="1"/>
    <col min="10262" max="10262" width="4.5703125" style="150" customWidth="1"/>
    <col min="10263" max="10481" width="9.140625" style="150"/>
    <col min="10482" max="10482" width="14.28515625" style="150" customWidth="1"/>
    <col min="10483" max="10483" width="10.85546875" style="150" customWidth="1"/>
    <col min="10484" max="10484" width="10.140625" style="150" bestFit="1" customWidth="1"/>
    <col min="10485" max="10485" width="10.7109375" style="150" customWidth="1"/>
    <col min="10486" max="10486" width="11.28515625" style="150" customWidth="1"/>
    <col min="10487" max="10487" width="10.42578125" style="150" customWidth="1"/>
    <col min="10488" max="10488" width="11.42578125" style="150" customWidth="1"/>
    <col min="10489" max="10490" width="10" style="150" bestFit="1" customWidth="1"/>
    <col min="10491" max="10491" width="11.5703125" style="150" customWidth="1"/>
    <col min="10492" max="10492" width="16.28515625" style="150" customWidth="1"/>
    <col min="10493" max="10507" width="0" style="150" hidden="1" customWidth="1"/>
    <col min="10508" max="10508" width="11.140625" style="150" customWidth="1"/>
    <col min="10509" max="10509" width="9.28515625" style="150" customWidth="1"/>
    <col min="10510" max="10510" width="12.85546875" style="150" customWidth="1"/>
    <col min="10511" max="10511" width="10.5703125" style="150" customWidth="1"/>
    <col min="10512" max="10512" width="11" style="150" customWidth="1"/>
    <col min="10513" max="10513" width="12.7109375" style="150" bestFit="1" customWidth="1"/>
    <col min="10514" max="10514" width="11.28515625" style="150" customWidth="1"/>
    <col min="10515" max="10515" width="13" style="150" customWidth="1"/>
    <col min="10516" max="10516" width="11.28515625" style="150" customWidth="1"/>
    <col min="10517" max="10517" width="12.5703125" style="150" customWidth="1"/>
    <col min="10518" max="10518" width="4.5703125" style="150" customWidth="1"/>
    <col min="10519" max="10737" width="9.140625" style="150"/>
    <col min="10738" max="10738" width="14.28515625" style="150" customWidth="1"/>
    <col min="10739" max="10739" width="10.85546875" style="150" customWidth="1"/>
    <col min="10740" max="10740" width="10.140625" style="150" bestFit="1" customWidth="1"/>
    <col min="10741" max="10741" width="10.7109375" style="150" customWidth="1"/>
    <col min="10742" max="10742" width="11.28515625" style="150" customWidth="1"/>
    <col min="10743" max="10743" width="10.42578125" style="150" customWidth="1"/>
    <col min="10744" max="10744" width="11.42578125" style="150" customWidth="1"/>
    <col min="10745" max="10746" width="10" style="150" bestFit="1" customWidth="1"/>
    <col min="10747" max="10747" width="11.5703125" style="150" customWidth="1"/>
    <col min="10748" max="10748" width="16.28515625" style="150" customWidth="1"/>
    <col min="10749" max="10763" width="0" style="150" hidden="1" customWidth="1"/>
    <col min="10764" max="10764" width="11.140625" style="150" customWidth="1"/>
    <col min="10765" max="10765" width="9.28515625" style="150" customWidth="1"/>
    <col min="10766" max="10766" width="12.85546875" style="150" customWidth="1"/>
    <col min="10767" max="10767" width="10.5703125" style="150" customWidth="1"/>
    <col min="10768" max="10768" width="11" style="150" customWidth="1"/>
    <col min="10769" max="10769" width="12.7109375" style="150" bestFit="1" customWidth="1"/>
    <col min="10770" max="10770" width="11.28515625" style="150" customWidth="1"/>
    <col min="10771" max="10771" width="13" style="150" customWidth="1"/>
    <col min="10772" max="10772" width="11.28515625" style="150" customWidth="1"/>
    <col min="10773" max="10773" width="12.5703125" style="150" customWidth="1"/>
    <col min="10774" max="10774" width="4.5703125" style="150" customWidth="1"/>
    <col min="10775" max="10993" width="9.140625" style="150"/>
    <col min="10994" max="10994" width="14.28515625" style="150" customWidth="1"/>
    <col min="10995" max="10995" width="10.85546875" style="150" customWidth="1"/>
    <col min="10996" max="10996" width="10.140625" style="150" bestFit="1" customWidth="1"/>
    <col min="10997" max="10997" width="10.7109375" style="150" customWidth="1"/>
    <col min="10998" max="10998" width="11.28515625" style="150" customWidth="1"/>
    <col min="10999" max="10999" width="10.42578125" style="150" customWidth="1"/>
    <col min="11000" max="11000" width="11.42578125" style="150" customWidth="1"/>
    <col min="11001" max="11002" width="10" style="150" bestFit="1" customWidth="1"/>
    <col min="11003" max="11003" width="11.5703125" style="150" customWidth="1"/>
    <col min="11004" max="11004" width="16.28515625" style="150" customWidth="1"/>
    <col min="11005" max="11019" width="0" style="150" hidden="1" customWidth="1"/>
    <col min="11020" max="11020" width="11.140625" style="150" customWidth="1"/>
    <col min="11021" max="11021" width="9.28515625" style="150" customWidth="1"/>
    <col min="11022" max="11022" width="12.85546875" style="150" customWidth="1"/>
    <col min="11023" max="11023" width="10.5703125" style="150" customWidth="1"/>
    <col min="11024" max="11024" width="11" style="150" customWidth="1"/>
    <col min="11025" max="11025" width="12.7109375" style="150" bestFit="1" customWidth="1"/>
    <col min="11026" max="11026" width="11.28515625" style="150" customWidth="1"/>
    <col min="11027" max="11027" width="13" style="150" customWidth="1"/>
    <col min="11028" max="11028" width="11.28515625" style="150" customWidth="1"/>
    <col min="11029" max="11029" width="12.5703125" style="150" customWidth="1"/>
    <col min="11030" max="11030" width="4.5703125" style="150" customWidth="1"/>
    <col min="11031" max="11249" width="9.140625" style="150"/>
    <col min="11250" max="11250" width="14.28515625" style="150" customWidth="1"/>
    <col min="11251" max="11251" width="10.85546875" style="150" customWidth="1"/>
    <col min="11252" max="11252" width="10.140625" style="150" bestFit="1" customWidth="1"/>
    <col min="11253" max="11253" width="10.7109375" style="150" customWidth="1"/>
    <col min="11254" max="11254" width="11.28515625" style="150" customWidth="1"/>
    <col min="11255" max="11255" width="10.42578125" style="150" customWidth="1"/>
    <col min="11256" max="11256" width="11.42578125" style="150" customWidth="1"/>
    <col min="11257" max="11258" width="10" style="150" bestFit="1" customWidth="1"/>
    <col min="11259" max="11259" width="11.5703125" style="150" customWidth="1"/>
    <col min="11260" max="11260" width="16.28515625" style="150" customWidth="1"/>
    <col min="11261" max="11275" width="0" style="150" hidden="1" customWidth="1"/>
    <col min="11276" max="11276" width="11.140625" style="150" customWidth="1"/>
    <col min="11277" max="11277" width="9.28515625" style="150" customWidth="1"/>
    <col min="11278" max="11278" width="12.85546875" style="150" customWidth="1"/>
    <col min="11279" max="11279" width="10.5703125" style="150" customWidth="1"/>
    <col min="11280" max="11280" width="11" style="150" customWidth="1"/>
    <col min="11281" max="11281" width="12.7109375" style="150" bestFit="1" customWidth="1"/>
    <col min="11282" max="11282" width="11.28515625" style="150" customWidth="1"/>
    <col min="11283" max="11283" width="13" style="150" customWidth="1"/>
    <col min="11284" max="11284" width="11.28515625" style="150" customWidth="1"/>
    <col min="11285" max="11285" width="12.5703125" style="150" customWidth="1"/>
    <col min="11286" max="11286" width="4.5703125" style="150" customWidth="1"/>
    <col min="11287" max="11505" width="9.140625" style="150"/>
    <col min="11506" max="11506" width="14.28515625" style="150" customWidth="1"/>
    <col min="11507" max="11507" width="10.85546875" style="150" customWidth="1"/>
    <col min="11508" max="11508" width="10.140625" style="150" bestFit="1" customWidth="1"/>
    <col min="11509" max="11509" width="10.7109375" style="150" customWidth="1"/>
    <col min="11510" max="11510" width="11.28515625" style="150" customWidth="1"/>
    <col min="11511" max="11511" width="10.42578125" style="150" customWidth="1"/>
    <col min="11512" max="11512" width="11.42578125" style="150" customWidth="1"/>
    <col min="11513" max="11514" width="10" style="150" bestFit="1" customWidth="1"/>
    <col min="11515" max="11515" width="11.5703125" style="150" customWidth="1"/>
    <col min="11516" max="11516" width="16.28515625" style="150" customWidth="1"/>
    <col min="11517" max="11531" width="0" style="150" hidden="1" customWidth="1"/>
    <col min="11532" max="11532" width="11.140625" style="150" customWidth="1"/>
    <col min="11533" max="11533" width="9.28515625" style="150" customWidth="1"/>
    <col min="11534" max="11534" width="12.85546875" style="150" customWidth="1"/>
    <col min="11535" max="11535" width="10.5703125" style="150" customWidth="1"/>
    <col min="11536" max="11536" width="11" style="150" customWidth="1"/>
    <col min="11537" max="11537" width="12.7109375" style="150" bestFit="1" customWidth="1"/>
    <col min="11538" max="11538" width="11.28515625" style="150" customWidth="1"/>
    <col min="11539" max="11539" width="13" style="150" customWidth="1"/>
    <col min="11540" max="11540" width="11.28515625" style="150" customWidth="1"/>
    <col min="11541" max="11541" width="12.5703125" style="150" customWidth="1"/>
    <col min="11542" max="11542" width="4.5703125" style="150" customWidth="1"/>
    <col min="11543" max="11761" width="9.140625" style="150"/>
    <col min="11762" max="11762" width="14.28515625" style="150" customWidth="1"/>
    <col min="11763" max="11763" width="10.85546875" style="150" customWidth="1"/>
    <col min="11764" max="11764" width="10.140625" style="150" bestFit="1" customWidth="1"/>
    <col min="11765" max="11765" width="10.7109375" style="150" customWidth="1"/>
    <col min="11766" max="11766" width="11.28515625" style="150" customWidth="1"/>
    <col min="11767" max="11767" width="10.42578125" style="150" customWidth="1"/>
    <col min="11768" max="11768" width="11.42578125" style="150" customWidth="1"/>
    <col min="11769" max="11770" width="10" style="150" bestFit="1" customWidth="1"/>
    <col min="11771" max="11771" width="11.5703125" style="150" customWidth="1"/>
    <col min="11772" max="11772" width="16.28515625" style="150" customWidth="1"/>
    <col min="11773" max="11787" width="0" style="150" hidden="1" customWidth="1"/>
    <col min="11788" max="11788" width="11.140625" style="150" customWidth="1"/>
    <col min="11789" max="11789" width="9.28515625" style="150" customWidth="1"/>
    <col min="11790" max="11790" width="12.85546875" style="150" customWidth="1"/>
    <col min="11791" max="11791" width="10.5703125" style="150" customWidth="1"/>
    <col min="11792" max="11792" width="11" style="150" customWidth="1"/>
    <col min="11793" max="11793" width="12.7109375" style="150" bestFit="1" customWidth="1"/>
    <col min="11794" max="11794" width="11.28515625" style="150" customWidth="1"/>
    <col min="11795" max="11795" width="13" style="150" customWidth="1"/>
    <col min="11796" max="11796" width="11.28515625" style="150" customWidth="1"/>
    <col min="11797" max="11797" width="12.5703125" style="150" customWidth="1"/>
    <col min="11798" max="11798" width="4.5703125" style="150" customWidth="1"/>
    <col min="11799" max="12017" width="9.140625" style="150"/>
    <col min="12018" max="12018" width="14.28515625" style="150" customWidth="1"/>
    <col min="12019" max="12019" width="10.85546875" style="150" customWidth="1"/>
    <col min="12020" max="12020" width="10.140625" style="150" bestFit="1" customWidth="1"/>
    <col min="12021" max="12021" width="10.7109375" style="150" customWidth="1"/>
    <col min="12022" max="12022" width="11.28515625" style="150" customWidth="1"/>
    <col min="12023" max="12023" width="10.42578125" style="150" customWidth="1"/>
    <col min="12024" max="12024" width="11.42578125" style="150" customWidth="1"/>
    <col min="12025" max="12026" width="10" style="150" bestFit="1" customWidth="1"/>
    <col min="12027" max="12027" width="11.5703125" style="150" customWidth="1"/>
    <col min="12028" max="12028" width="16.28515625" style="150" customWidth="1"/>
    <col min="12029" max="12043" width="0" style="150" hidden="1" customWidth="1"/>
    <col min="12044" max="12044" width="11.140625" style="150" customWidth="1"/>
    <col min="12045" max="12045" width="9.28515625" style="150" customWidth="1"/>
    <col min="12046" max="12046" width="12.85546875" style="150" customWidth="1"/>
    <col min="12047" max="12047" width="10.5703125" style="150" customWidth="1"/>
    <col min="12048" max="12048" width="11" style="150" customWidth="1"/>
    <col min="12049" max="12049" width="12.7109375" style="150" bestFit="1" customWidth="1"/>
    <col min="12050" max="12050" width="11.28515625" style="150" customWidth="1"/>
    <col min="12051" max="12051" width="13" style="150" customWidth="1"/>
    <col min="12052" max="12052" width="11.28515625" style="150" customWidth="1"/>
    <col min="12053" max="12053" width="12.5703125" style="150" customWidth="1"/>
    <col min="12054" max="12054" width="4.5703125" style="150" customWidth="1"/>
    <col min="12055" max="12273" width="9.140625" style="150"/>
    <col min="12274" max="12274" width="14.28515625" style="150" customWidth="1"/>
    <col min="12275" max="12275" width="10.85546875" style="150" customWidth="1"/>
    <col min="12276" max="12276" width="10.140625" style="150" bestFit="1" customWidth="1"/>
    <col min="12277" max="12277" width="10.7109375" style="150" customWidth="1"/>
    <col min="12278" max="12278" width="11.28515625" style="150" customWidth="1"/>
    <col min="12279" max="12279" width="10.42578125" style="150" customWidth="1"/>
    <col min="12280" max="12280" width="11.42578125" style="150" customWidth="1"/>
    <col min="12281" max="12282" width="10" style="150" bestFit="1" customWidth="1"/>
    <col min="12283" max="12283" width="11.5703125" style="150" customWidth="1"/>
    <col min="12284" max="12284" width="16.28515625" style="150" customWidth="1"/>
    <col min="12285" max="12299" width="0" style="150" hidden="1" customWidth="1"/>
    <col min="12300" max="12300" width="11.140625" style="150" customWidth="1"/>
    <col min="12301" max="12301" width="9.28515625" style="150" customWidth="1"/>
    <col min="12302" max="12302" width="12.85546875" style="150" customWidth="1"/>
    <col min="12303" max="12303" width="10.5703125" style="150" customWidth="1"/>
    <col min="12304" max="12304" width="11" style="150" customWidth="1"/>
    <col min="12305" max="12305" width="12.7109375" style="150" bestFit="1" customWidth="1"/>
    <col min="12306" max="12306" width="11.28515625" style="150" customWidth="1"/>
    <col min="12307" max="12307" width="13" style="150" customWidth="1"/>
    <col min="12308" max="12308" width="11.28515625" style="150" customWidth="1"/>
    <col min="12309" max="12309" width="12.5703125" style="150" customWidth="1"/>
    <col min="12310" max="12310" width="4.5703125" style="150" customWidth="1"/>
    <col min="12311" max="12529" width="9.140625" style="150"/>
    <col min="12530" max="12530" width="14.28515625" style="150" customWidth="1"/>
    <col min="12531" max="12531" width="10.85546875" style="150" customWidth="1"/>
    <col min="12532" max="12532" width="10.140625" style="150" bestFit="1" customWidth="1"/>
    <col min="12533" max="12533" width="10.7109375" style="150" customWidth="1"/>
    <col min="12534" max="12534" width="11.28515625" style="150" customWidth="1"/>
    <col min="12535" max="12535" width="10.42578125" style="150" customWidth="1"/>
    <col min="12536" max="12536" width="11.42578125" style="150" customWidth="1"/>
    <col min="12537" max="12538" width="10" style="150" bestFit="1" customWidth="1"/>
    <col min="12539" max="12539" width="11.5703125" style="150" customWidth="1"/>
    <col min="12540" max="12540" width="16.28515625" style="150" customWidth="1"/>
    <col min="12541" max="12555" width="0" style="150" hidden="1" customWidth="1"/>
    <col min="12556" max="12556" width="11.140625" style="150" customWidth="1"/>
    <col min="12557" max="12557" width="9.28515625" style="150" customWidth="1"/>
    <col min="12558" max="12558" width="12.85546875" style="150" customWidth="1"/>
    <col min="12559" max="12559" width="10.5703125" style="150" customWidth="1"/>
    <col min="12560" max="12560" width="11" style="150" customWidth="1"/>
    <col min="12561" max="12561" width="12.7109375" style="150" bestFit="1" customWidth="1"/>
    <col min="12562" max="12562" width="11.28515625" style="150" customWidth="1"/>
    <col min="12563" max="12563" width="13" style="150" customWidth="1"/>
    <col min="12564" max="12564" width="11.28515625" style="150" customWidth="1"/>
    <col min="12565" max="12565" width="12.5703125" style="150" customWidth="1"/>
    <col min="12566" max="12566" width="4.5703125" style="150" customWidth="1"/>
    <col min="12567" max="12785" width="9.140625" style="150"/>
    <col min="12786" max="12786" width="14.28515625" style="150" customWidth="1"/>
    <col min="12787" max="12787" width="10.85546875" style="150" customWidth="1"/>
    <col min="12788" max="12788" width="10.140625" style="150" bestFit="1" customWidth="1"/>
    <col min="12789" max="12789" width="10.7109375" style="150" customWidth="1"/>
    <col min="12790" max="12790" width="11.28515625" style="150" customWidth="1"/>
    <col min="12791" max="12791" width="10.42578125" style="150" customWidth="1"/>
    <col min="12792" max="12792" width="11.42578125" style="150" customWidth="1"/>
    <col min="12793" max="12794" width="10" style="150" bestFit="1" customWidth="1"/>
    <col min="12795" max="12795" width="11.5703125" style="150" customWidth="1"/>
    <col min="12796" max="12796" width="16.28515625" style="150" customWidth="1"/>
    <col min="12797" max="12811" width="0" style="150" hidden="1" customWidth="1"/>
    <col min="12812" max="12812" width="11.140625" style="150" customWidth="1"/>
    <col min="12813" max="12813" width="9.28515625" style="150" customWidth="1"/>
    <col min="12814" max="12814" width="12.85546875" style="150" customWidth="1"/>
    <col min="12815" max="12815" width="10.5703125" style="150" customWidth="1"/>
    <col min="12816" max="12816" width="11" style="150" customWidth="1"/>
    <col min="12817" max="12817" width="12.7109375" style="150" bestFit="1" customWidth="1"/>
    <col min="12818" max="12818" width="11.28515625" style="150" customWidth="1"/>
    <col min="12819" max="12819" width="13" style="150" customWidth="1"/>
    <col min="12820" max="12820" width="11.28515625" style="150" customWidth="1"/>
    <col min="12821" max="12821" width="12.5703125" style="150" customWidth="1"/>
    <col min="12822" max="12822" width="4.5703125" style="150" customWidth="1"/>
    <col min="12823" max="13041" width="9.140625" style="150"/>
    <col min="13042" max="13042" width="14.28515625" style="150" customWidth="1"/>
    <col min="13043" max="13043" width="10.85546875" style="150" customWidth="1"/>
    <col min="13044" max="13044" width="10.140625" style="150" bestFit="1" customWidth="1"/>
    <col min="13045" max="13045" width="10.7109375" style="150" customWidth="1"/>
    <col min="13046" max="13046" width="11.28515625" style="150" customWidth="1"/>
    <col min="13047" max="13047" width="10.42578125" style="150" customWidth="1"/>
    <col min="13048" max="13048" width="11.42578125" style="150" customWidth="1"/>
    <col min="13049" max="13050" width="10" style="150" bestFit="1" customWidth="1"/>
    <col min="13051" max="13051" width="11.5703125" style="150" customWidth="1"/>
    <col min="13052" max="13052" width="16.28515625" style="150" customWidth="1"/>
    <col min="13053" max="13067" width="0" style="150" hidden="1" customWidth="1"/>
    <col min="13068" max="13068" width="11.140625" style="150" customWidth="1"/>
    <col min="13069" max="13069" width="9.28515625" style="150" customWidth="1"/>
    <col min="13070" max="13070" width="12.85546875" style="150" customWidth="1"/>
    <col min="13071" max="13071" width="10.5703125" style="150" customWidth="1"/>
    <col min="13072" max="13072" width="11" style="150" customWidth="1"/>
    <col min="13073" max="13073" width="12.7109375" style="150" bestFit="1" customWidth="1"/>
    <col min="13074" max="13074" width="11.28515625" style="150" customWidth="1"/>
    <col min="13075" max="13075" width="13" style="150" customWidth="1"/>
    <col min="13076" max="13076" width="11.28515625" style="150" customWidth="1"/>
    <col min="13077" max="13077" width="12.5703125" style="150" customWidth="1"/>
    <col min="13078" max="13078" width="4.5703125" style="150" customWidth="1"/>
    <col min="13079" max="13297" width="9.140625" style="150"/>
    <col min="13298" max="13298" width="14.28515625" style="150" customWidth="1"/>
    <col min="13299" max="13299" width="10.85546875" style="150" customWidth="1"/>
    <col min="13300" max="13300" width="10.140625" style="150" bestFit="1" customWidth="1"/>
    <col min="13301" max="13301" width="10.7109375" style="150" customWidth="1"/>
    <col min="13302" max="13302" width="11.28515625" style="150" customWidth="1"/>
    <col min="13303" max="13303" width="10.42578125" style="150" customWidth="1"/>
    <col min="13304" max="13304" width="11.42578125" style="150" customWidth="1"/>
    <col min="13305" max="13306" width="10" style="150" bestFit="1" customWidth="1"/>
    <col min="13307" max="13307" width="11.5703125" style="150" customWidth="1"/>
    <col min="13308" max="13308" width="16.28515625" style="150" customWidth="1"/>
    <col min="13309" max="13323" width="0" style="150" hidden="1" customWidth="1"/>
    <col min="13324" max="13324" width="11.140625" style="150" customWidth="1"/>
    <col min="13325" max="13325" width="9.28515625" style="150" customWidth="1"/>
    <col min="13326" max="13326" width="12.85546875" style="150" customWidth="1"/>
    <col min="13327" max="13327" width="10.5703125" style="150" customWidth="1"/>
    <col min="13328" max="13328" width="11" style="150" customWidth="1"/>
    <col min="13329" max="13329" width="12.7109375" style="150" bestFit="1" customWidth="1"/>
    <col min="13330" max="13330" width="11.28515625" style="150" customWidth="1"/>
    <col min="13331" max="13331" width="13" style="150" customWidth="1"/>
    <col min="13332" max="13332" width="11.28515625" style="150" customWidth="1"/>
    <col min="13333" max="13333" width="12.5703125" style="150" customWidth="1"/>
    <col min="13334" max="13334" width="4.5703125" style="150" customWidth="1"/>
    <col min="13335" max="13553" width="9.140625" style="150"/>
    <col min="13554" max="13554" width="14.28515625" style="150" customWidth="1"/>
    <col min="13555" max="13555" width="10.85546875" style="150" customWidth="1"/>
    <col min="13556" max="13556" width="10.140625" style="150" bestFit="1" customWidth="1"/>
    <col min="13557" max="13557" width="10.7109375" style="150" customWidth="1"/>
    <col min="13558" max="13558" width="11.28515625" style="150" customWidth="1"/>
    <col min="13559" max="13559" width="10.42578125" style="150" customWidth="1"/>
    <col min="13560" max="13560" width="11.42578125" style="150" customWidth="1"/>
    <col min="13561" max="13562" width="10" style="150" bestFit="1" customWidth="1"/>
    <col min="13563" max="13563" width="11.5703125" style="150" customWidth="1"/>
    <col min="13564" max="13564" width="16.28515625" style="150" customWidth="1"/>
    <col min="13565" max="13579" width="0" style="150" hidden="1" customWidth="1"/>
    <col min="13580" max="13580" width="11.140625" style="150" customWidth="1"/>
    <col min="13581" max="13581" width="9.28515625" style="150" customWidth="1"/>
    <col min="13582" max="13582" width="12.85546875" style="150" customWidth="1"/>
    <col min="13583" max="13583" width="10.5703125" style="150" customWidth="1"/>
    <col min="13584" max="13584" width="11" style="150" customWidth="1"/>
    <col min="13585" max="13585" width="12.7109375" style="150" bestFit="1" customWidth="1"/>
    <col min="13586" max="13586" width="11.28515625" style="150" customWidth="1"/>
    <col min="13587" max="13587" width="13" style="150" customWidth="1"/>
    <col min="13588" max="13588" width="11.28515625" style="150" customWidth="1"/>
    <col min="13589" max="13589" width="12.5703125" style="150" customWidth="1"/>
    <col min="13590" max="13590" width="4.5703125" style="150" customWidth="1"/>
    <col min="13591" max="13809" width="9.140625" style="150"/>
    <col min="13810" max="13810" width="14.28515625" style="150" customWidth="1"/>
    <col min="13811" max="13811" width="10.85546875" style="150" customWidth="1"/>
    <col min="13812" max="13812" width="10.140625" style="150" bestFit="1" customWidth="1"/>
    <col min="13813" max="13813" width="10.7109375" style="150" customWidth="1"/>
    <col min="13814" max="13814" width="11.28515625" style="150" customWidth="1"/>
    <col min="13815" max="13815" width="10.42578125" style="150" customWidth="1"/>
    <col min="13816" max="13816" width="11.42578125" style="150" customWidth="1"/>
    <col min="13817" max="13818" width="10" style="150" bestFit="1" customWidth="1"/>
    <col min="13819" max="13819" width="11.5703125" style="150" customWidth="1"/>
    <col min="13820" max="13820" width="16.28515625" style="150" customWidth="1"/>
    <col min="13821" max="13835" width="0" style="150" hidden="1" customWidth="1"/>
    <col min="13836" max="13836" width="11.140625" style="150" customWidth="1"/>
    <col min="13837" max="13837" width="9.28515625" style="150" customWidth="1"/>
    <col min="13838" max="13838" width="12.85546875" style="150" customWidth="1"/>
    <col min="13839" max="13839" width="10.5703125" style="150" customWidth="1"/>
    <col min="13840" max="13840" width="11" style="150" customWidth="1"/>
    <col min="13841" max="13841" width="12.7109375" style="150" bestFit="1" customWidth="1"/>
    <col min="13842" max="13842" width="11.28515625" style="150" customWidth="1"/>
    <col min="13843" max="13843" width="13" style="150" customWidth="1"/>
    <col min="13844" max="13844" width="11.28515625" style="150" customWidth="1"/>
    <col min="13845" max="13845" width="12.5703125" style="150" customWidth="1"/>
    <col min="13846" max="13846" width="4.5703125" style="150" customWidth="1"/>
    <col min="13847" max="14065" width="9.140625" style="150"/>
    <col min="14066" max="14066" width="14.28515625" style="150" customWidth="1"/>
    <col min="14067" max="14067" width="10.85546875" style="150" customWidth="1"/>
    <col min="14068" max="14068" width="10.140625" style="150" bestFit="1" customWidth="1"/>
    <col min="14069" max="14069" width="10.7109375" style="150" customWidth="1"/>
    <col min="14070" max="14070" width="11.28515625" style="150" customWidth="1"/>
    <col min="14071" max="14071" width="10.42578125" style="150" customWidth="1"/>
    <col min="14072" max="14072" width="11.42578125" style="150" customWidth="1"/>
    <col min="14073" max="14074" width="10" style="150" bestFit="1" customWidth="1"/>
    <col min="14075" max="14075" width="11.5703125" style="150" customWidth="1"/>
    <col min="14076" max="14076" width="16.28515625" style="150" customWidth="1"/>
    <col min="14077" max="14091" width="0" style="150" hidden="1" customWidth="1"/>
    <col min="14092" max="14092" width="11.140625" style="150" customWidth="1"/>
    <col min="14093" max="14093" width="9.28515625" style="150" customWidth="1"/>
    <col min="14094" max="14094" width="12.85546875" style="150" customWidth="1"/>
    <col min="14095" max="14095" width="10.5703125" style="150" customWidth="1"/>
    <col min="14096" max="14096" width="11" style="150" customWidth="1"/>
    <col min="14097" max="14097" width="12.7109375" style="150" bestFit="1" customWidth="1"/>
    <col min="14098" max="14098" width="11.28515625" style="150" customWidth="1"/>
    <col min="14099" max="14099" width="13" style="150" customWidth="1"/>
    <col min="14100" max="14100" width="11.28515625" style="150" customWidth="1"/>
    <col min="14101" max="14101" width="12.5703125" style="150" customWidth="1"/>
    <col min="14102" max="14102" width="4.5703125" style="150" customWidth="1"/>
    <col min="14103" max="14321" width="9.140625" style="150"/>
    <col min="14322" max="14322" width="14.28515625" style="150" customWidth="1"/>
    <col min="14323" max="14323" width="10.85546875" style="150" customWidth="1"/>
    <col min="14324" max="14324" width="10.140625" style="150" bestFit="1" customWidth="1"/>
    <col min="14325" max="14325" width="10.7109375" style="150" customWidth="1"/>
    <col min="14326" max="14326" width="11.28515625" style="150" customWidth="1"/>
    <col min="14327" max="14327" width="10.42578125" style="150" customWidth="1"/>
    <col min="14328" max="14328" width="11.42578125" style="150" customWidth="1"/>
    <col min="14329" max="14330" width="10" style="150" bestFit="1" customWidth="1"/>
    <col min="14331" max="14331" width="11.5703125" style="150" customWidth="1"/>
    <col min="14332" max="14332" width="16.28515625" style="150" customWidth="1"/>
    <col min="14333" max="14347" width="0" style="150" hidden="1" customWidth="1"/>
    <col min="14348" max="14348" width="11.140625" style="150" customWidth="1"/>
    <col min="14349" max="14349" width="9.28515625" style="150" customWidth="1"/>
    <col min="14350" max="14350" width="12.85546875" style="150" customWidth="1"/>
    <col min="14351" max="14351" width="10.5703125" style="150" customWidth="1"/>
    <col min="14352" max="14352" width="11" style="150" customWidth="1"/>
    <col min="14353" max="14353" width="12.7109375" style="150" bestFit="1" customWidth="1"/>
    <col min="14354" max="14354" width="11.28515625" style="150" customWidth="1"/>
    <col min="14355" max="14355" width="13" style="150" customWidth="1"/>
    <col min="14356" max="14356" width="11.28515625" style="150" customWidth="1"/>
    <col min="14357" max="14357" width="12.5703125" style="150" customWidth="1"/>
    <col min="14358" max="14358" width="4.5703125" style="150" customWidth="1"/>
    <col min="14359" max="14577" width="9.140625" style="150"/>
    <col min="14578" max="14578" width="14.28515625" style="150" customWidth="1"/>
    <col min="14579" max="14579" width="10.85546875" style="150" customWidth="1"/>
    <col min="14580" max="14580" width="10.140625" style="150" bestFit="1" customWidth="1"/>
    <col min="14581" max="14581" width="10.7109375" style="150" customWidth="1"/>
    <col min="14582" max="14582" width="11.28515625" style="150" customWidth="1"/>
    <col min="14583" max="14583" width="10.42578125" style="150" customWidth="1"/>
    <col min="14584" max="14584" width="11.42578125" style="150" customWidth="1"/>
    <col min="14585" max="14586" width="10" style="150" bestFit="1" customWidth="1"/>
    <col min="14587" max="14587" width="11.5703125" style="150" customWidth="1"/>
    <col min="14588" max="14588" width="16.28515625" style="150" customWidth="1"/>
    <col min="14589" max="14603" width="0" style="150" hidden="1" customWidth="1"/>
    <col min="14604" max="14604" width="11.140625" style="150" customWidth="1"/>
    <col min="14605" max="14605" width="9.28515625" style="150" customWidth="1"/>
    <col min="14606" max="14606" width="12.85546875" style="150" customWidth="1"/>
    <col min="14607" max="14607" width="10.5703125" style="150" customWidth="1"/>
    <col min="14608" max="14608" width="11" style="150" customWidth="1"/>
    <col min="14609" max="14609" width="12.7109375" style="150" bestFit="1" customWidth="1"/>
    <col min="14610" max="14610" width="11.28515625" style="150" customWidth="1"/>
    <col min="14611" max="14611" width="13" style="150" customWidth="1"/>
    <col min="14612" max="14612" width="11.28515625" style="150" customWidth="1"/>
    <col min="14613" max="14613" width="12.5703125" style="150" customWidth="1"/>
    <col min="14614" max="14614" width="4.5703125" style="150" customWidth="1"/>
    <col min="14615" max="14833" width="9.140625" style="150"/>
    <col min="14834" max="14834" width="14.28515625" style="150" customWidth="1"/>
    <col min="14835" max="14835" width="10.85546875" style="150" customWidth="1"/>
    <col min="14836" max="14836" width="10.140625" style="150" bestFit="1" customWidth="1"/>
    <col min="14837" max="14837" width="10.7109375" style="150" customWidth="1"/>
    <col min="14838" max="14838" width="11.28515625" style="150" customWidth="1"/>
    <col min="14839" max="14839" width="10.42578125" style="150" customWidth="1"/>
    <col min="14840" max="14840" width="11.42578125" style="150" customWidth="1"/>
    <col min="14841" max="14842" width="10" style="150" bestFit="1" customWidth="1"/>
    <col min="14843" max="14843" width="11.5703125" style="150" customWidth="1"/>
    <col min="14844" max="14844" width="16.28515625" style="150" customWidth="1"/>
    <col min="14845" max="14859" width="0" style="150" hidden="1" customWidth="1"/>
    <col min="14860" max="14860" width="11.140625" style="150" customWidth="1"/>
    <col min="14861" max="14861" width="9.28515625" style="150" customWidth="1"/>
    <col min="14862" max="14862" width="12.85546875" style="150" customWidth="1"/>
    <col min="14863" max="14863" width="10.5703125" style="150" customWidth="1"/>
    <col min="14864" max="14864" width="11" style="150" customWidth="1"/>
    <col min="14865" max="14865" width="12.7109375" style="150" bestFit="1" customWidth="1"/>
    <col min="14866" max="14866" width="11.28515625" style="150" customWidth="1"/>
    <col min="14867" max="14867" width="13" style="150" customWidth="1"/>
    <col min="14868" max="14868" width="11.28515625" style="150" customWidth="1"/>
    <col min="14869" max="14869" width="12.5703125" style="150" customWidth="1"/>
    <col min="14870" max="14870" width="4.5703125" style="150" customWidth="1"/>
    <col min="14871" max="15089" width="9.140625" style="150"/>
    <col min="15090" max="15090" width="14.28515625" style="150" customWidth="1"/>
    <col min="15091" max="15091" width="10.85546875" style="150" customWidth="1"/>
    <col min="15092" max="15092" width="10.140625" style="150" bestFit="1" customWidth="1"/>
    <col min="15093" max="15093" width="10.7109375" style="150" customWidth="1"/>
    <col min="15094" max="15094" width="11.28515625" style="150" customWidth="1"/>
    <col min="15095" max="15095" width="10.42578125" style="150" customWidth="1"/>
    <col min="15096" max="15096" width="11.42578125" style="150" customWidth="1"/>
    <col min="15097" max="15098" width="10" style="150" bestFit="1" customWidth="1"/>
    <col min="15099" max="15099" width="11.5703125" style="150" customWidth="1"/>
    <col min="15100" max="15100" width="16.28515625" style="150" customWidth="1"/>
    <col min="15101" max="15115" width="0" style="150" hidden="1" customWidth="1"/>
    <col min="15116" max="15116" width="11.140625" style="150" customWidth="1"/>
    <col min="15117" max="15117" width="9.28515625" style="150" customWidth="1"/>
    <col min="15118" max="15118" width="12.85546875" style="150" customWidth="1"/>
    <col min="15119" max="15119" width="10.5703125" style="150" customWidth="1"/>
    <col min="15120" max="15120" width="11" style="150" customWidth="1"/>
    <col min="15121" max="15121" width="12.7109375" style="150" bestFit="1" customWidth="1"/>
    <col min="15122" max="15122" width="11.28515625" style="150" customWidth="1"/>
    <col min="15123" max="15123" width="13" style="150" customWidth="1"/>
    <col min="15124" max="15124" width="11.28515625" style="150" customWidth="1"/>
    <col min="15125" max="15125" width="12.5703125" style="150" customWidth="1"/>
    <col min="15126" max="15126" width="4.5703125" style="150" customWidth="1"/>
    <col min="15127" max="15345" width="9.140625" style="150"/>
    <col min="15346" max="15346" width="14.28515625" style="150" customWidth="1"/>
    <col min="15347" max="15347" width="10.85546875" style="150" customWidth="1"/>
    <col min="15348" max="15348" width="10.140625" style="150" bestFit="1" customWidth="1"/>
    <col min="15349" max="15349" width="10.7109375" style="150" customWidth="1"/>
    <col min="15350" max="15350" width="11.28515625" style="150" customWidth="1"/>
    <col min="15351" max="15351" width="10.42578125" style="150" customWidth="1"/>
    <col min="15352" max="15352" width="11.42578125" style="150" customWidth="1"/>
    <col min="15353" max="15354" width="10" style="150" bestFit="1" customWidth="1"/>
    <col min="15355" max="15355" width="11.5703125" style="150" customWidth="1"/>
    <col min="15356" max="15356" width="16.28515625" style="150" customWidth="1"/>
    <col min="15357" max="15371" width="0" style="150" hidden="1" customWidth="1"/>
    <col min="15372" max="15372" width="11.140625" style="150" customWidth="1"/>
    <col min="15373" max="15373" width="9.28515625" style="150" customWidth="1"/>
    <col min="15374" max="15374" width="12.85546875" style="150" customWidth="1"/>
    <col min="15375" max="15375" width="10.5703125" style="150" customWidth="1"/>
    <col min="15376" max="15376" width="11" style="150" customWidth="1"/>
    <col min="15377" max="15377" width="12.7109375" style="150" bestFit="1" customWidth="1"/>
    <col min="15378" max="15378" width="11.28515625" style="150" customWidth="1"/>
    <col min="15379" max="15379" width="13" style="150" customWidth="1"/>
    <col min="15380" max="15380" width="11.28515625" style="150" customWidth="1"/>
    <col min="15381" max="15381" width="12.5703125" style="150" customWidth="1"/>
    <col min="15382" max="15382" width="4.5703125" style="150" customWidth="1"/>
    <col min="15383" max="15601" width="9.140625" style="150"/>
    <col min="15602" max="15602" width="14.28515625" style="150" customWidth="1"/>
    <col min="15603" max="15603" width="10.85546875" style="150" customWidth="1"/>
    <col min="15604" max="15604" width="10.140625" style="150" bestFit="1" customWidth="1"/>
    <col min="15605" max="15605" width="10.7109375" style="150" customWidth="1"/>
    <col min="15606" max="15606" width="11.28515625" style="150" customWidth="1"/>
    <col min="15607" max="15607" width="10.42578125" style="150" customWidth="1"/>
    <col min="15608" max="15608" width="11.42578125" style="150" customWidth="1"/>
    <col min="15609" max="15610" width="10" style="150" bestFit="1" customWidth="1"/>
    <col min="15611" max="15611" width="11.5703125" style="150" customWidth="1"/>
    <col min="15612" max="15612" width="16.28515625" style="150" customWidth="1"/>
    <col min="15613" max="15627" width="0" style="150" hidden="1" customWidth="1"/>
    <col min="15628" max="15628" width="11.140625" style="150" customWidth="1"/>
    <col min="15629" max="15629" width="9.28515625" style="150" customWidth="1"/>
    <col min="15630" max="15630" width="12.85546875" style="150" customWidth="1"/>
    <col min="15631" max="15631" width="10.5703125" style="150" customWidth="1"/>
    <col min="15632" max="15632" width="11" style="150" customWidth="1"/>
    <col min="15633" max="15633" width="12.7109375" style="150" bestFit="1" customWidth="1"/>
    <col min="15634" max="15634" width="11.28515625" style="150" customWidth="1"/>
    <col min="15635" max="15635" width="13" style="150" customWidth="1"/>
    <col min="15636" max="15636" width="11.28515625" style="150" customWidth="1"/>
    <col min="15637" max="15637" width="12.5703125" style="150" customWidth="1"/>
    <col min="15638" max="15638" width="4.5703125" style="150" customWidth="1"/>
    <col min="15639" max="15857" width="9.140625" style="150"/>
    <col min="15858" max="15858" width="14.28515625" style="150" customWidth="1"/>
    <col min="15859" max="15859" width="10.85546875" style="150" customWidth="1"/>
    <col min="15860" max="15860" width="10.140625" style="150" bestFit="1" customWidth="1"/>
    <col min="15861" max="15861" width="10.7109375" style="150" customWidth="1"/>
    <col min="15862" max="15862" width="11.28515625" style="150" customWidth="1"/>
    <col min="15863" max="15863" width="10.42578125" style="150" customWidth="1"/>
    <col min="15864" max="15864" width="11.42578125" style="150" customWidth="1"/>
    <col min="15865" max="15866" width="10" style="150" bestFit="1" customWidth="1"/>
    <col min="15867" max="15867" width="11.5703125" style="150" customWidth="1"/>
    <col min="15868" max="15868" width="16.28515625" style="150" customWidth="1"/>
    <col min="15869" max="15883" width="0" style="150" hidden="1" customWidth="1"/>
    <col min="15884" max="15884" width="11.140625" style="150" customWidth="1"/>
    <col min="15885" max="15885" width="9.28515625" style="150" customWidth="1"/>
    <col min="15886" max="15886" width="12.85546875" style="150" customWidth="1"/>
    <col min="15887" max="15887" width="10.5703125" style="150" customWidth="1"/>
    <col min="15888" max="15888" width="11" style="150" customWidth="1"/>
    <col min="15889" max="15889" width="12.7109375" style="150" bestFit="1" customWidth="1"/>
    <col min="15890" max="15890" width="11.28515625" style="150" customWidth="1"/>
    <col min="15891" max="15891" width="13" style="150" customWidth="1"/>
    <col min="15892" max="15892" width="11.28515625" style="150" customWidth="1"/>
    <col min="15893" max="15893" width="12.5703125" style="150" customWidth="1"/>
    <col min="15894" max="15894" width="4.5703125" style="150" customWidth="1"/>
    <col min="15895" max="16113" width="9.140625" style="150"/>
    <col min="16114" max="16114" width="14.28515625" style="150" customWidth="1"/>
    <col min="16115" max="16115" width="10.85546875" style="150" customWidth="1"/>
    <col min="16116" max="16116" width="10.140625" style="150" bestFit="1" customWidth="1"/>
    <col min="16117" max="16117" width="10.7109375" style="150" customWidth="1"/>
    <col min="16118" max="16118" width="11.28515625" style="150" customWidth="1"/>
    <col min="16119" max="16119" width="10.42578125" style="150" customWidth="1"/>
    <col min="16120" max="16120" width="11.42578125" style="150" customWidth="1"/>
    <col min="16121" max="16122" width="10" style="150" bestFit="1" customWidth="1"/>
    <col min="16123" max="16123" width="11.5703125" style="150" customWidth="1"/>
    <col min="16124" max="16124" width="16.28515625" style="150" customWidth="1"/>
    <col min="16125" max="16139" width="0" style="150" hidden="1" customWidth="1"/>
    <col min="16140" max="16140" width="11.140625" style="150" customWidth="1"/>
    <col min="16141" max="16141" width="9.28515625" style="150" customWidth="1"/>
    <col min="16142" max="16142" width="12.85546875" style="150" customWidth="1"/>
    <col min="16143" max="16143" width="10.5703125" style="150" customWidth="1"/>
    <col min="16144" max="16144" width="11" style="150" customWidth="1"/>
    <col min="16145" max="16145" width="12.7109375" style="150" bestFit="1" customWidth="1"/>
    <col min="16146" max="16146" width="11.28515625" style="150" customWidth="1"/>
    <col min="16147" max="16147" width="13" style="150" customWidth="1"/>
    <col min="16148" max="16148" width="11.28515625" style="150" customWidth="1"/>
    <col min="16149" max="16149" width="12.5703125" style="150" customWidth="1"/>
    <col min="16150" max="16150" width="4.5703125" style="150" customWidth="1"/>
    <col min="16151" max="16384" width="9.140625" style="150"/>
  </cols>
  <sheetData>
    <row r="1" spans="1:22" s="131" customFormat="1" ht="24.95" customHeight="1" thickBot="1">
      <c r="A1" s="146"/>
      <c r="B1" s="147"/>
      <c r="C1" s="147"/>
      <c r="D1" s="147"/>
      <c r="E1" s="147"/>
      <c r="F1" s="147"/>
      <c r="G1" s="147"/>
      <c r="H1" s="147"/>
      <c r="I1" s="147"/>
      <c r="J1" s="127"/>
      <c r="K1" s="147"/>
      <c r="L1" s="147"/>
      <c r="M1" s="147"/>
      <c r="N1" s="133"/>
      <c r="O1" s="147"/>
      <c r="P1" s="147"/>
      <c r="Q1" s="147"/>
      <c r="R1" s="147"/>
      <c r="S1" s="147"/>
      <c r="T1" s="147"/>
      <c r="U1" s="147"/>
      <c r="V1" s="148"/>
    </row>
    <row r="2" spans="1:22" ht="24.95" customHeight="1" thickBot="1">
      <c r="A2" s="128"/>
      <c r="B2" s="289" t="s">
        <v>391</v>
      </c>
      <c r="C2" s="288"/>
      <c r="D2" s="446" t="s">
        <v>258</v>
      </c>
      <c r="E2" s="447"/>
      <c r="F2" s="448"/>
      <c r="G2" s="133"/>
      <c r="H2" s="133"/>
      <c r="I2" s="133"/>
      <c r="J2" s="129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49"/>
    </row>
    <row r="3" spans="1:22" ht="24.95" customHeight="1" thickBot="1">
      <c r="A3" s="128"/>
      <c r="B3" s="133"/>
      <c r="C3" s="133"/>
      <c r="D3" s="133"/>
      <c r="E3" s="133"/>
      <c r="F3" s="133"/>
      <c r="G3" s="133"/>
      <c r="H3" s="133"/>
      <c r="I3" s="133"/>
      <c r="J3" s="129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49"/>
    </row>
    <row r="4" spans="1:22" s="131" customFormat="1" ht="24.95" customHeight="1" thickBot="1">
      <c r="A4" s="128"/>
      <c r="B4" s="289" t="s">
        <v>392</v>
      </c>
      <c r="C4" s="288"/>
      <c r="D4" s="446" t="s">
        <v>249</v>
      </c>
      <c r="E4" s="447"/>
      <c r="F4" s="448"/>
      <c r="G4" s="133"/>
      <c r="H4" s="133"/>
      <c r="I4" s="133"/>
      <c r="J4" s="129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49"/>
    </row>
    <row r="5" spans="1:22" s="134" customFormat="1" ht="24.95" customHeight="1" thickBot="1">
      <c r="A5" s="128"/>
      <c r="B5" s="133"/>
      <c r="C5" s="133"/>
      <c r="D5" s="133"/>
      <c r="E5" s="133"/>
      <c r="F5" s="133"/>
      <c r="G5" s="133"/>
      <c r="H5" s="133"/>
      <c r="I5" s="133"/>
      <c r="J5" s="129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49"/>
    </row>
    <row r="6" spans="1:22" s="131" customFormat="1" ht="24.95" customHeight="1" thickBot="1">
      <c r="A6" s="128"/>
      <c r="B6" s="289" t="s">
        <v>393</v>
      </c>
      <c r="C6" s="288"/>
      <c r="D6" s="449" t="s">
        <v>251</v>
      </c>
      <c r="E6" s="450"/>
      <c r="F6" s="451"/>
      <c r="G6" s="133"/>
      <c r="H6" s="133"/>
      <c r="I6" s="133"/>
      <c r="J6" s="129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49"/>
    </row>
    <row r="7" spans="1:22" s="131" customFormat="1" ht="24.95" customHeight="1">
      <c r="A7" s="132"/>
      <c r="B7" s="133"/>
      <c r="C7" s="133"/>
      <c r="D7" s="133"/>
      <c r="E7" s="133"/>
      <c r="F7" s="133"/>
      <c r="G7" s="133"/>
      <c r="H7" s="133"/>
      <c r="I7" s="133"/>
      <c r="J7" s="129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49"/>
    </row>
    <row r="8" spans="1:22" ht="24.95" customHeight="1">
      <c r="A8" s="456" t="s">
        <v>233</v>
      </c>
      <c r="B8" s="456"/>
      <c r="C8" s="456"/>
      <c r="D8" s="456"/>
      <c r="E8" s="135"/>
      <c r="F8" s="135"/>
      <c r="G8" s="135"/>
      <c r="H8" s="135"/>
      <c r="I8" s="135"/>
      <c r="J8" s="135"/>
      <c r="K8" s="135"/>
      <c r="L8" s="135"/>
      <c r="M8" s="154"/>
      <c r="N8" s="154"/>
      <c r="O8" s="154"/>
      <c r="P8" s="154"/>
      <c r="Q8" s="154"/>
      <c r="R8" s="154"/>
      <c r="S8" s="154"/>
      <c r="T8" s="154"/>
      <c r="U8" s="154"/>
      <c r="V8" s="155"/>
    </row>
    <row r="9" spans="1:22" ht="24.95" customHeight="1" thickBot="1">
      <c r="A9" s="456"/>
      <c r="B9" s="456"/>
      <c r="C9" s="456"/>
      <c r="D9" s="456"/>
      <c r="E9" s="135"/>
      <c r="F9" s="136"/>
      <c r="G9" s="137"/>
      <c r="H9" s="135"/>
      <c r="I9" s="135"/>
      <c r="J9" s="135"/>
      <c r="K9" s="135"/>
      <c r="L9" s="135"/>
      <c r="M9" s="135"/>
      <c r="N9" s="154"/>
      <c r="O9" s="154"/>
      <c r="P9" s="154"/>
      <c r="Q9" s="154"/>
      <c r="R9" s="154"/>
      <c r="S9" s="154"/>
      <c r="T9" s="154"/>
      <c r="U9" s="154"/>
      <c r="V9" s="155"/>
    </row>
    <row r="10" spans="1:22" ht="24.95" customHeight="1" thickBot="1">
      <c r="A10" s="176" t="s">
        <v>0</v>
      </c>
      <c r="B10" s="455" t="s">
        <v>194</v>
      </c>
      <c r="C10" s="455"/>
      <c r="D10" s="455"/>
      <c r="E10" s="455"/>
      <c r="F10" s="455"/>
      <c r="G10" s="455" t="s">
        <v>195</v>
      </c>
      <c r="H10" s="455"/>
      <c r="I10" s="455"/>
      <c r="J10" s="455"/>
      <c r="K10" s="455"/>
      <c r="L10" s="455" t="s">
        <v>196</v>
      </c>
      <c r="M10" s="455"/>
      <c r="N10" s="455"/>
      <c r="O10" s="455"/>
      <c r="P10" s="455"/>
      <c r="Q10" s="455" t="s">
        <v>197</v>
      </c>
      <c r="R10" s="455"/>
      <c r="S10" s="455"/>
      <c r="T10" s="455"/>
      <c r="U10" s="455"/>
      <c r="V10" s="155"/>
    </row>
    <row r="11" spans="1:22" ht="24.95" customHeight="1" thickBot="1">
      <c r="A11" s="184" t="s">
        <v>390</v>
      </c>
      <c r="B11" s="180" t="s">
        <v>198</v>
      </c>
      <c r="C11" s="181" t="s">
        <v>199</v>
      </c>
      <c r="D11" s="181" t="s">
        <v>200</v>
      </c>
      <c r="E11" s="181" t="s">
        <v>201</v>
      </c>
      <c r="F11" s="182" t="s">
        <v>202</v>
      </c>
      <c r="G11" s="180" t="s">
        <v>198</v>
      </c>
      <c r="H11" s="181" t="s">
        <v>199</v>
      </c>
      <c r="I11" s="181" t="s">
        <v>200</v>
      </c>
      <c r="J11" s="181" t="s">
        <v>201</v>
      </c>
      <c r="K11" s="182" t="s">
        <v>202</v>
      </c>
      <c r="L11" s="180" t="s">
        <v>198</v>
      </c>
      <c r="M11" s="181" t="s">
        <v>199</v>
      </c>
      <c r="N11" s="181" t="s">
        <v>200</v>
      </c>
      <c r="O11" s="181" t="s">
        <v>201</v>
      </c>
      <c r="P11" s="182" t="s">
        <v>202</v>
      </c>
      <c r="Q11" s="180" t="s">
        <v>198</v>
      </c>
      <c r="R11" s="181" t="s">
        <v>199</v>
      </c>
      <c r="S11" s="181" t="s">
        <v>200</v>
      </c>
      <c r="T11" s="181" t="s">
        <v>201</v>
      </c>
      <c r="U11" s="182" t="s">
        <v>202</v>
      </c>
      <c r="V11" s="155"/>
    </row>
    <row r="12" spans="1:22" ht="24.95" customHeight="1" thickBot="1">
      <c r="A12" s="176" t="s">
        <v>203</v>
      </c>
      <c r="B12" s="177"/>
      <c r="C12" s="178"/>
      <c r="D12" s="178"/>
      <c r="E12" s="178"/>
      <c r="F12" s="179"/>
      <c r="G12" s="177"/>
      <c r="H12" s="178"/>
      <c r="I12" s="178"/>
      <c r="J12" s="178"/>
      <c r="K12" s="179"/>
      <c r="L12" s="159"/>
      <c r="M12" s="157"/>
      <c r="N12" s="157"/>
      <c r="O12" s="157"/>
      <c r="P12" s="160"/>
      <c r="Q12" s="156"/>
      <c r="R12" s="157"/>
      <c r="S12" s="157"/>
      <c r="T12" s="157"/>
      <c r="U12" s="158"/>
      <c r="V12" s="161"/>
    </row>
    <row r="13" spans="1:22" ht="24.95" customHeight="1" thickBot="1">
      <c r="A13" s="176" t="s">
        <v>204</v>
      </c>
      <c r="B13" s="156"/>
      <c r="C13" s="157"/>
      <c r="D13" s="157"/>
      <c r="E13" s="157"/>
      <c r="F13" s="158"/>
      <c r="G13" s="156"/>
      <c r="H13" s="157"/>
      <c r="I13" s="157"/>
      <c r="J13" s="157"/>
      <c r="K13" s="158"/>
      <c r="L13" s="159"/>
      <c r="M13" s="157"/>
      <c r="N13" s="157"/>
      <c r="O13" s="157"/>
      <c r="P13" s="160"/>
      <c r="Q13" s="156"/>
      <c r="R13" s="157"/>
      <c r="S13" s="157"/>
      <c r="T13" s="157"/>
      <c r="U13" s="158"/>
      <c r="V13" s="162"/>
    </row>
    <row r="14" spans="1:22" ht="24.95" customHeight="1" thickBot="1">
      <c r="A14" s="176" t="s">
        <v>205</v>
      </c>
      <c r="B14" s="156"/>
      <c r="C14" s="157"/>
      <c r="D14" s="157"/>
      <c r="E14" s="157"/>
      <c r="F14" s="158"/>
      <c r="G14" s="156"/>
      <c r="H14" s="157"/>
      <c r="I14" s="157">
        <v>2</v>
      </c>
      <c r="J14" s="157">
        <v>1</v>
      </c>
      <c r="K14" s="158"/>
      <c r="L14" s="159"/>
      <c r="M14" s="157"/>
      <c r="N14" s="157"/>
      <c r="O14" s="157"/>
      <c r="P14" s="160"/>
      <c r="Q14" s="156"/>
      <c r="R14" s="157"/>
      <c r="S14" s="157"/>
      <c r="T14" s="157"/>
      <c r="U14" s="158"/>
      <c r="V14" s="162"/>
    </row>
    <row r="15" spans="1:22" ht="24.95" customHeight="1" thickBot="1">
      <c r="A15" s="176" t="s">
        <v>206</v>
      </c>
      <c r="B15" s="156"/>
      <c r="C15" s="157"/>
      <c r="D15" s="157"/>
      <c r="E15" s="157"/>
      <c r="F15" s="158"/>
      <c r="G15" s="156"/>
      <c r="H15" s="157"/>
      <c r="I15" s="157"/>
      <c r="J15" s="157"/>
      <c r="K15" s="158"/>
      <c r="L15" s="159"/>
      <c r="M15" s="157"/>
      <c r="N15" s="157"/>
      <c r="O15" s="157"/>
      <c r="P15" s="160"/>
      <c r="Q15" s="156"/>
      <c r="R15" s="157"/>
      <c r="S15" s="157"/>
      <c r="T15" s="157"/>
      <c r="U15" s="158"/>
      <c r="V15" s="162"/>
    </row>
    <row r="16" spans="1:22" ht="24.95" customHeight="1" thickBot="1">
      <c r="A16" s="176" t="s">
        <v>207</v>
      </c>
      <c r="B16" s="163"/>
      <c r="C16" s="164"/>
      <c r="D16" s="164"/>
      <c r="E16" s="164"/>
      <c r="F16" s="165"/>
      <c r="G16" s="163"/>
      <c r="H16" s="164"/>
      <c r="I16" s="164"/>
      <c r="J16" s="164"/>
      <c r="K16" s="165"/>
      <c r="L16" s="166"/>
      <c r="M16" s="164"/>
      <c r="N16" s="164"/>
      <c r="O16" s="164"/>
      <c r="P16" s="167"/>
      <c r="Q16" s="163"/>
      <c r="R16" s="164"/>
      <c r="S16" s="164"/>
      <c r="T16" s="164"/>
      <c r="U16" s="165"/>
      <c r="V16" s="162"/>
    </row>
    <row r="17" spans="1:22" ht="24.95" customHeight="1" thickBot="1">
      <c r="A17" s="168"/>
      <c r="B17" s="130"/>
      <c r="C17" s="130"/>
      <c r="D17" s="130"/>
      <c r="E17" s="130"/>
      <c r="F17" s="130"/>
      <c r="G17" s="130"/>
      <c r="H17" s="130"/>
      <c r="I17" s="168"/>
      <c r="J17" s="168"/>
      <c r="K17" s="168"/>
      <c r="L17" s="168"/>
      <c r="M17" s="168"/>
      <c r="N17" s="169"/>
      <c r="O17" s="169"/>
      <c r="P17" s="169"/>
      <c r="Q17" s="169"/>
      <c r="R17" s="169"/>
      <c r="S17" s="169"/>
      <c r="T17" s="169"/>
      <c r="U17" s="169"/>
      <c r="V17" s="170"/>
    </row>
    <row r="18" spans="1:22" ht="24.95" customHeight="1">
      <c r="A18" s="456" t="s">
        <v>231</v>
      </c>
      <c r="B18" s="456"/>
      <c r="C18" s="456"/>
      <c r="D18" s="456"/>
      <c r="E18" s="460"/>
      <c r="F18" s="460"/>
      <c r="G18" s="460"/>
      <c r="H18" s="135"/>
      <c r="I18" s="135"/>
      <c r="J18" s="135"/>
      <c r="K18" s="135"/>
      <c r="L18" s="135"/>
      <c r="M18" s="154"/>
      <c r="N18" s="154"/>
      <c r="O18" s="154"/>
      <c r="P18" s="154"/>
      <c r="Q18" s="154"/>
      <c r="R18" s="154"/>
      <c r="S18" s="154"/>
      <c r="T18" s="154"/>
      <c r="U18" s="154"/>
      <c r="V18" s="155"/>
    </row>
    <row r="19" spans="1:22" ht="24.95" customHeight="1" thickBot="1">
      <c r="A19" s="456"/>
      <c r="B19" s="456"/>
      <c r="C19" s="456"/>
      <c r="D19" s="456"/>
      <c r="E19" s="461"/>
      <c r="F19" s="461"/>
      <c r="G19" s="461"/>
      <c r="H19" s="138"/>
      <c r="I19" s="138"/>
      <c r="J19" s="138"/>
      <c r="K19" s="138"/>
      <c r="L19" s="138"/>
      <c r="M19" s="154"/>
      <c r="N19" s="154"/>
      <c r="O19" s="154"/>
      <c r="P19" s="154"/>
      <c r="Q19" s="154"/>
      <c r="R19" s="154"/>
      <c r="S19" s="154"/>
      <c r="T19" s="154"/>
      <c r="U19" s="154"/>
      <c r="V19" s="155"/>
    </row>
    <row r="20" spans="1:22" ht="24.95" customHeight="1" thickBot="1">
      <c r="A20" s="154"/>
      <c r="B20" s="457" t="s">
        <v>234</v>
      </c>
      <c r="C20" s="458"/>
      <c r="D20" s="458"/>
      <c r="E20" s="459"/>
      <c r="F20" s="457" t="s">
        <v>235</v>
      </c>
      <c r="G20" s="458"/>
      <c r="H20" s="459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5"/>
    </row>
    <row r="21" spans="1:22" ht="24.95" customHeight="1" thickBot="1">
      <c r="A21" s="176" t="s">
        <v>0</v>
      </c>
      <c r="B21" s="455" t="s">
        <v>197</v>
      </c>
      <c r="C21" s="455"/>
      <c r="D21" s="455"/>
      <c r="E21" s="455"/>
      <c r="F21" s="455" t="s">
        <v>197</v>
      </c>
      <c r="G21" s="455"/>
      <c r="H21" s="455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5"/>
    </row>
    <row r="22" spans="1:22" ht="24.95" customHeight="1" thickBot="1">
      <c r="A22" s="184" t="s">
        <v>390</v>
      </c>
      <c r="B22" s="180" t="s">
        <v>199</v>
      </c>
      <c r="C22" s="181" t="s">
        <v>200</v>
      </c>
      <c r="D22" s="181" t="s">
        <v>201</v>
      </c>
      <c r="E22" s="182" t="s">
        <v>202</v>
      </c>
      <c r="F22" s="180" t="s">
        <v>200</v>
      </c>
      <c r="G22" s="181" t="s">
        <v>201</v>
      </c>
      <c r="H22" s="182" t="s">
        <v>202</v>
      </c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5"/>
    </row>
    <row r="23" spans="1:22" ht="24.95" customHeight="1" thickBot="1">
      <c r="A23" s="176" t="s">
        <v>204</v>
      </c>
      <c r="B23" s="177"/>
      <c r="C23" s="178"/>
      <c r="D23" s="178"/>
      <c r="E23" s="183"/>
      <c r="F23" s="177"/>
      <c r="G23" s="178"/>
      <c r="H23" s="179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61"/>
    </row>
    <row r="24" spans="1:22" ht="24.95" customHeight="1" thickBot="1">
      <c r="A24" s="176" t="s">
        <v>205</v>
      </c>
      <c r="B24" s="156"/>
      <c r="C24" s="157"/>
      <c r="D24" s="157"/>
      <c r="E24" s="160"/>
      <c r="F24" s="156"/>
      <c r="G24" s="157"/>
      <c r="H24" s="158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61"/>
    </row>
    <row r="25" spans="1:22" ht="24.95" customHeight="1" thickBot="1">
      <c r="A25" s="176" t="s">
        <v>206</v>
      </c>
      <c r="B25" s="156"/>
      <c r="C25" s="157"/>
      <c r="D25" s="157"/>
      <c r="E25" s="160"/>
      <c r="F25" s="156"/>
      <c r="G25" s="157"/>
      <c r="H25" s="158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62"/>
    </row>
    <row r="26" spans="1:22" ht="24.95" customHeight="1" thickBot="1">
      <c r="A26" s="176" t="s">
        <v>207</v>
      </c>
      <c r="B26" s="163"/>
      <c r="C26" s="164"/>
      <c r="D26" s="164"/>
      <c r="E26" s="167"/>
      <c r="F26" s="163"/>
      <c r="G26" s="164"/>
      <c r="H26" s="165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62"/>
    </row>
    <row r="27" spans="1:22" ht="24.95" customHeight="1" thickBot="1">
      <c r="A27" s="168"/>
      <c r="B27" s="171"/>
      <c r="C27" s="171"/>
      <c r="D27" s="168"/>
      <c r="E27" s="171"/>
      <c r="F27" s="171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72"/>
    </row>
    <row r="38" spans="6:15" s="338" customFormat="1" ht="24.95" customHeight="1"/>
    <row r="39" spans="6:15" s="338" customFormat="1" ht="24.95" customHeight="1" thickBot="1">
      <c r="F39" s="412"/>
      <c r="G39" s="412"/>
      <c r="H39" s="412"/>
      <c r="I39" s="412"/>
      <c r="J39" s="413"/>
      <c r="K39" s="412"/>
      <c r="L39" s="412"/>
      <c r="M39" s="412"/>
      <c r="N39" s="412"/>
      <c r="O39" s="412"/>
    </row>
    <row r="40" spans="6:15" s="338" customFormat="1" ht="24.95" customHeight="1" thickBot="1">
      <c r="F40" s="412"/>
      <c r="G40" s="452" t="s">
        <v>4</v>
      </c>
      <c r="H40" s="453"/>
      <c r="I40" s="453"/>
      <c r="J40" s="453"/>
      <c r="K40" s="454"/>
      <c r="L40" s="412"/>
      <c r="M40" s="412"/>
      <c r="N40" s="412"/>
      <c r="O40" s="412"/>
    </row>
    <row r="41" spans="6:15" s="338" customFormat="1" ht="24.95" customHeight="1" thickBot="1">
      <c r="F41" s="412"/>
      <c r="G41" s="339">
        <v>400</v>
      </c>
      <c r="H41" s="339">
        <v>600</v>
      </c>
      <c r="I41" s="339">
        <v>800</v>
      </c>
      <c r="J41" s="339">
        <v>1000</v>
      </c>
      <c r="K41" s="339">
        <v>1200</v>
      </c>
      <c r="L41" s="340" t="s">
        <v>343</v>
      </c>
      <c r="M41" s="340" t="s">
        <v>344</v>
      </c>
      <c r="N41" s="412"/>
      <c r="O41" s="412"/>
    </row>
    <row r="42" spans="6:15" s="338" customFormat="1" ht="24.95" customHeight="1" thickBot="1">
      <c r="F42" s="428" t="s">
        <v>484</v>
      </c>
      <c r="G42" s="341">
        <f>SUM(B$12:B$16)+SUM(G$12:G$16)+SUM(L$12:L$16)+SUM(Q$12:Q$16)</f>
        <v>0</v>
      </c>
      <c r="H42" s="341">
        <f>SUM(C$12:C$16)+SUM(H$12:H$16)+SUM(M$12:M$16)+SUM(R$12:R$16)</f>
        <v>0</v>
      </c>
      <c r="I42" s="341">
        <f>SUM(D$12:D$16)+SUM(I$12:I$16)+SUM(N$12:N$16)+SUM(S$12:S$16)</f>
        <v>2</v>
      </c>
      <c r="J42" s="341">
        <f>SUM(E$12:E$16)+SUM(J$12:J$16)+SUM(O$12:O$16)+SUM(T$12:T$16)</f>
        <v>1</v>
      </c>
      <c r="K42" s="341">
        <f>SUM(F$12:F$16)+SUM(K$12:K$16)+SUM(P$12:P$16)+SUM(U$12:U$16)</f>
        <v>0</v>
      </c>
      <c r="L42" s="339" t="str">
        <f>IF(SUM($B$12:$F$16)&gt;0,"1650",IF(SUM($G$12:$K$16)&gt;0,"1850",IF(SUM($L$12:$P$16)&gt;0,"2150",IF(SUM($Q$12:$U$16)&gt;0,"2300",0))))</f>
        <v>1850</v>
      </c>
      <c r="M42" s="339" t="str">
        <f>IF(SUM($B$12:$U$12)&gt;0,"450",IF(SUM($B$13:$U$13)&gt;0,"600",IF(SUM($B$14:$U$14)&gt;0,"800",IF(SUM($B$15:$U$15)&gt;0,"1000",IF(SUM($B$16:$U$16)&gt;0,"1200",0)))))</f>
        <v>800</v>
      </c>
      <c r="N42" s="342" t="s">
        <v>345</v>
      </c>
      <c r="O42" s="412"/>
    </row>
    <row r="43" spans="6:15" s="338" customFormat="1" ht="24.95" customHeight="1" thickBot="1">
      <c r="F43" s="428">
        <f>SUM(G42:K43)</f>
        <v>3</v>
      </c>
      <c r="G43" s="341">
        <v>0</v>
      </c>
      <c r="H43" s="341">
        <f>SUM(B$23:B$26)</f>
        <v>0</v>
      </c>
      <c r="I43" s="341">
        <f>SUM(C$23:C$26)+SUM(F$23:F$26)</f>
        <v>0</v>
      </c>
      <c r="J43" s="341">
        <f>SUM(D$23:D$26)+SUM(G$23:G$26)</f>
        <v>0</v>
      </c>
      <c r="K43" s="341">
        <f>SUM(E$23:E$26)+SUM(H$23:H$26)</f>
        <v>0</v>
      </c>
      <c r="L43" s="339">
        <f>IF(SUM(datatable2)&gt;0,"2300",0)</f>
        <v>0</v>
      </c>
      <c r="M43" s="339">
        <f>IF(SUM($B$23:$H$23)&gt;0,"600",IF(SUM($B$24:$H$24)&gt;0,"800",IF(SUM($B$25:$H$25)&gt;0,"1000",IF(SUM($B$26:$H$26)&gt;0,"1200",0))))</f>
        <v>0</v>
      </c>
      <c r="N43" s="342" t="s">
        <v>346</v>
      </c>
      <c r="O43" s="412"/>
    </row>
    <row r="44" spans="6:15" s="338" customFormat="1" ht="24.95" customHeight="1">
      <c r="F44" s="412"/>
      <c r="G44" s="412"/>
      <c r="H44" s="412"/>
      <c r="I44" s="412"/>
      <c r="J44" s="412"/>
      <c r="K44" s="412"/>
      <c r="L44" s="412"/>
      <c r="M44" s="412"/>
      <c r="N44" s="412"/>
      <c r="O44" s="412"/>
    </row>
    <row r="45" spans="6:15" s="338" customFormat="1" ht="24.95" customHeight="1"/>
  </sheetData>
  <sheetProtection formatCells="0" formatColumns="0" formatRows="0" insertColumns="0" insertRows="0" deleteColumns="0" deleteRows="0" selectLockedCells="1" sort="0"/>
  <mergeCells count="15">
    <mergeCell ref="Q10:U10"/>
    <mergeCell ref="B21:E21"/>
    <mergeCell ref="F21:H21"/>
    <mergeCell ref="B20:E20"/>
    <mergeCell ref="F20:H20"/>
    <mergeCell ref="B10:F10"/>
    <mergeCell ref="G10:K10"/>
    <mergeCell ref="A18:D19"/>
    <mergeCell ref="E18:G19"/>
    <mergeCell ref="D2:F2"/>
    <mergeCell ref="D4:F4"/>
    <mergeCell ref="D6:F6"/>
    <mergeCell ref="G40:K40"/>
    <mergeCell ref="L10:P10"/>
    <mergeCell ref="A8:D9"/>
  </mergeCells>
  <conditionalFormatting sqref="B12:U14 B24:H25">
    <cfRule type="cellIs" dxfId="47" priority="9" stopIfTrue="1" operator="greaterThan">
      <formula>0</formula>
    </cfRule>
    <cfRule type="cellIs" priority="10" stopIfTrue="1" operator="greaterThan">
      <formula>0</formula>
    </cfRule>
  </conditionalFormatting>
  <conditionalFormatting sqref="B23:H23">
    <cfRule type="cellIs" dxfId="46" priority="7" stopIfTrue="1" operator="greaterThan">
      <formula>0</formula>
    </cfRule>
    <cfRule type="cellIs" priority="8" stopIfTrue="1" operator="greaterThan">
      <formula>0</formula>
    </cfRule>
  </conditionalFormatting>
  <conditionalFormatting sqref="B16:U16">
    <cfRule type="cellIs" dxfId="45" priority="5" stopIfTrue="1" operator="greaterThan">
      <formula>0</formula>
    </cfRule>
    <cfRule type="cellIs" priority="6" stopIfTrue="1" operator="greaterThan">
      <formula>0</formula>
    </cfRule>
  </conditionalFormatting>
  <conditionalFormatting sqref="B15:U15">
    <cfRule type="cellIs" dxfId="44" priority="3" stopIfTrue="1" operator="greaterThan">
      <formula>0</formula>
    </cfRule>
    <cfRule type="cellIs" priority="4" stopIfTrue="1" operator="greaterThan">
      <formula>0</formula>
    </cfRule>
  </conditionalFormatting>
  <conditionalFormatting sqref="B26:H26">
    <cfRule type="cellIs" dxfId="43" priority="1" stopIfTrue="1" operator="greaterThan">
      <formula>0</formula>
    </cfRule>
    <cfRule type="cellIs" priority="2" stopIfTrue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5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'Steel Calculations'!$Z$23:$Z$25</xm:f>
          </x14:formula1>
          <xm:sqref>D4:F4</xm:sqref>
        </x14:dataValidation>
        <x14:dataValidation type="list" errorStyle="warning" allowBlank="1" showInputMessage="1" showErrorMessage="1">
          <x14:formula1>
            <xm:f>'Steel Calculations'!$Z$18:$Z$22</xm:f>
          </x14:formula1>
          <xm:sqref>D6:F6</xm:sqref>
        </x14:dataValidation>
        <x14:dataValidation type="list" allowBlank="1" showInputMessage="1" showErrorMessage="1">
          <x14:formula1>
            <xm:f>'Steel Calculations'!$Z$26:$Z$29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W38"/>
  <sheetViews>
    <sheetView showGridLines="0" topLeftCell="A10" zoomScale="85" zoomScaleNormal="85" workbookViewId="0">
      <selection activeCell="B23" sqref="B23"/>
    </sheetView>
  </sheetViews>
  <sheetFormatPr defaultRowHeight="24.95" customHeight="1"/>
  <cols>
    <col min="1" max="2" width="13.5703125" style="140" customWidth="1"/>
    <col min="3" max="3" width="12.140625" style="140" customWidth="1"/>
    <col min="4" max="13" width="10.28515625" style="140" customWidth="1"/>
    <col min="14" max="14" width="12.85546875" style="140" bestFit="1" customWidth="1"/>
    <col min="15" max="15" width="14.85546875" style="140" customWidth="1"/>
    <col min="16" max="23" width="10.28515625" style="140" customWidth="1"/>
    <col min="24" max="242" width="9.140625" style="140"/>
    <col min="243" max="243" width="14.28515625" style="140" customWidth="1"/>
    <col min="244" max="244" width="10.85546875" style="140" customWidth="1"/>
    <col min="245" max="245" width="10.140625" style="140" bestFit="1" customWidth="1"/>
    <col min="246" max="246" width="10.7109375" style="140" customWidth="1"/>
    <col min="247" max="247" width="11.28515625" style="140" customWidth="1"/>
    <col min="248" max="248" width="10.42578125" style="140" customWidth="1"/>
    <col min="249" max="249" width="11.42578125" style="140" customWidth="1"/>
    <col min="250" max="251" width="10" style="140" bestFit="1" customWidth="1"/>
    <col min="252" max="252" width="11.5703125" style="140" customWidth="1"/>
    <col min="253" max="253" width="16.28515625" style="140" customWidth="1"/>
    <col min="254" max="268" width="0" style="140" hidden="1" customWidth="1"/>
    <col min="269" max="269" width="11.140625" style="140" customWidth="1"/>
    <col min="270" max="270" width="9.28515625" style="140" customWidth="1"/>
    <col min="271" max="271" width="12.85546875" style="140" customWidth="1"/>
    <col min="272" max="272" width="10.5703125" style="140" customWidth="1"/>
    <col min="273" max="273" width="11" style="140" customWidth="1"/>
    <col min="274" max="274" width="12.7109375" style="140" bestFit="1" customWidth="1"/>
    <col min="275" max="275" width="11.28515625" style="140" customWidth="1"/>
    <col min="276" max="276" width="13" style="140" customWidth="1"/>
    <col min="277" max="277" width="11.28515625" style="140" customWidth="1"/>
    <col min="278" max="278" width="12.5703125" style="140" customWidth="1"/>
    <col min="279" max="279" width="4.5703125" style="140" customWidth="1"/>
    <col min="280" max="498" width="9.140625" style="140"/>
    <col min="499" max="499" width="14.28515625" style="140" customWidth="1"/>
    <col min="500" max="500" width="10.85546875" style="140" customWidth="1"/>
    <col min="501" max="501" width="10.140625" style="140" bestFit="1" customWidth="1"/>
    <col min="502" max="502" width="10.7109375" style="140" customWidth="1"/>
    <col min="503" max="503" width="11.28515625" style="140" customWidth="1"/>
    <col min="504" max="504" width="10.42578125" style="140" customWidth="1"/>
    <col min="505" max="505" width="11.42578125" style="140" customWidth="1"/>
    <col min="506" max="507" width="10" style="140" bestFit="1" customWidth="1"/>
    <col min="508" max="508" width="11.5703125" style="140" customWidth="1"/>
    <col min="509" max="509" width="16.28515625" style="140" customWidth="1"/>
    <col min="510" max="524" width="0" style="140" hidden="1" customWidth="1"/>
    <col min="525" max="525" width="11.140625" style="140" customWidth="1"/>
    <col min="526" max="526" width="9.28515625" style="140" customWidth="1"/>
    <col min="527" max="527" width="12.85546875" style="140" customWidth="1"/>
    <col min="528" max="528" width="10.5703125" style="140" customWidth="1"/>
    <col min="529" max="529" width="11" style="140" customWidth="1"/>
    <col min="530" max="530" width="12.7109375" style="140" bestFit="1" customWidth="1"/>
    <col min="531" max="531" width="11.28515625" style="140" customWidth="1"/>
    <col min="532" max="532" width="13" style="140" customWidth="1"/>
    <col min="533" max="533" width="11.28515625" style="140" customWidth="1"/>
    <col min="534" max="534" width="12.5703125" style="140" customWidth="1"/>
    <col min="535" max="535" width="4.5703125" style="140" customWidth="1"/>
    <col min="536" max="754" width="9.140625" style="140"/>
    <col min="755" max="755" width="14.28515625" style="140" customWidth="1"/>
    <col min="756" max="756" width="10.85546875" style="140" customWidth="1"/>
    <col min="757" max="757" width="10.140625" style="140" bestFit="1" customWidth="1"/>
    <col min="758" max="758" width="10.7109375" style="140" customWidth="1"/>
    <col min="759" max="759" width="11.28515625" style="140" customWidth="1"/>
    <col min="760" max="760" width="10.42578125" style="140" customWidth="1"/>
    <col min="761" max="761" width="11.42578125" style="140" customWidth="1"/>
    <col min="762" max="763" width="10" style="140" bestFit="1" customWidth="1"/>
    <col min="764" max="764" width="11.5703125" style="140" customWidth="1"/>
    <col min="765" max="765" width="16.28515625" style="140" customWidth="1"/>
    <col min="766" max="780" width="0" style="140" hidden="1" customWidth="1"/>
    <col min="781" max="781" width="11.140625" style="140" customWidth="1"/>
    <col min="782" max="782" width="9.28515625" style="140" customWidth="1"/>
    <col min="783" max="783" width="12.85546875" style="140" customWidth="1"/>
    <col min="784" max="784" width="10.5703125" style="140" customWidth="1"/>
    <col min="785" max="785" width="11" style="140" customWidth="1"/>
    <col min="786" max="786" width="12.7109375" style="140" bestFit="1" customWidth="1"/>
    <col min="787" max="787" width="11.28515625" style="140" customWidth="1"/>
    <col min="788" max="788" width="13" style="140" customWidth="1"/>
    <col min="789" max="789" width="11.28515625" style="140" customWidth="1"/>
    <col min="790" max="790" width="12.5703125" style="140" customWidth="1"/>
    <col min="791" max="791" width="4.5703125" style="140" customWidth="1"/>
    <col min="792" max="1010" width="9.140625" style="140"/>
    <col min="1011" max="1011" width="14.28515625" style="140" customWidth="1"/>
    <col min="1012" max="1012" width="10.85546875" style="140" customWidth="1"/>
    <col min="1013" max="1013" width="10.140625" style="140" bestFit="1" customWidth="1"/>
    <col min="1014" max="1014" width="10.7109375" style="140" customWidth="1"/>
    <col min="1015" max="1015" width="11.28515625" style="140" customWidth="1"/>
    <col min="1016" max="1016" width="10.42578125" style="140" customWidth="1"/>
    <col min="1017" max="1017" width="11.42578125" style="140" customWidth="1"/>
    <col min="1018" max="1019" width="10" style="140" bestFit="1" customWidth="1"/>
    <col min="1020" max="1020" width="11.5703125" style="140" customWidth="1"/>
    <col min="1021" max="1021" width="16.28515625" style="140" customWidth="1"/>
    <col min="1022" max="1036" width="0" style="140" hidden="1" customWidth="1"/>
    <col min="1037" max="1037" width="11.140625" style="140" customWidth="1"/>
    <col min="1038" max="1038" width="9.28515625" style="140" customWidth="1"/>
    <col min="1039" max="1039" width="12.85546875" style="140" customWidth="1"/>
    <col min="1040" max="1040" width="10.5703125" style="140" customWidth="1"/>
    <col min="1041" max="1041" width="11" style="140" customWidth="1"/>
    <col min="1042" max="1042" width="12.7109375" style="140" bestFit="1" customWidth="1"/>
    <col min="1043" max="1043" width="11.28515625" style="140" customWidth="1"/>
    <col min="1044" max="1044" width="13" style="140" customWidth="1"/>
    <col min="1045" max="1045" width="11.28515625" style="140" customWidth="1"/>
    <col min="1046" max="1046" width="12.5703125" style="140" customWidth="1"/>
    <col min="1047" max="1047" width="4.5703125" style="140" customWidth="1"/>
    <col min="1048" max="1266" width="9.140625" style="140"/>
    <col min="1267" max="1267" width="14.28515625" style="140" customWidth="1"/>
    <col min="1268" max="1268" width="10.85546875" style="140" customWidth="1"/>
    <col min="1269" max="1269" width="10.140625" style="140" bestFit="1" customWidth="1"/>
    <col min="1270" max="1270" width="10.7109375" style="140" customWidth="1"/>
    <col min="1271" max="1271" width="11.28515625" style="140" customWidth="1"/>
    <col min="1272" max="1272" width="10.42578125" style="140" customWidth="1"/>
    <col min="1273" max="1273" width="11.42578125" style="140" customWidth="1"/>
    <col min="1274" max="1275" width="10" style="140" bestFit="1" customWidth="1"/>
    <col min="1276" max="1276" width="11.5703125" style="140" customWidth="1"/>
    <col min="1277" max="1277" width="16.28515625" style="140" customWidth="1"/>
    <col min="1278" max="1292" width="0" style="140" hidden="1" customWidth="1"/>
    <col min="1293" max="1293" width="11.140625" style="140" customWidth="1"/>
    <col min="1294" max="1294" width="9.28515625" style="140" customWidth="1"/>
    <col min="1295" max="1295" width="12.85546875" style="140" customWidth="1"/>
    <col min="1296" max="1296" width="10.5703125" style="140" customWidth="1"/>
    <col min="1297" max="1297" width="11" style="140" customWidth="1"/>
    <col min="1298" max="1298" width="12.7109375" style="140" bestFit="1" customWidth="1"/>
    <col min="1299" max="1299" width="11.28515625" style="140" customWidth="1"/>
    <col min="1300" max="1300" width="13" style="140" customWidth="1"/>
    <col min="1301" max="1301" width="11.28515625" style="140" customWidth="1"/>
    <col min="1302" max="1302" width="12.5703125" style="140" customWidth="1"/>
    <col min="1303" max="1303" width="4.5703125" style="140" customWidth="1"/>
    <col min="1304" max="1522" width="9.140625" style="140"/>
    <col min="1523" max="1523" width="14.28515625" style="140" customWidth="1"/>
    <col min="1524" max="1524" width="10.85546875" style="140" customWidth="1"/>
    <col min="1525" max="1525" width="10.140625" style="140" bestFit="1" customWidth="1"/>
    <col min="1526" max="1526" width="10.7109375" style="140" customWidth="1"/>
    <col min="1527" max="1527" width="11.28515625" style="140" customWidth="1"/>
    <col min="1528" max="1528" width="10.42578125" style="140" customWidth="1"/>
    <col min="1529" max="1529" width="11.42578125" style="140" customWidth="1"/>
    <col min="1530" max="1531" width="10" style="140" bestFit="1" customWidth="1"/>
    <col min="1532" max="1532" width="11.5703125" style="140" customWidth="1"/>
    <col min="1533" max="1533" width="16.28515625" style="140" customWidth="1"/>
    <col min="1534" max="1548" width="0" style="140" hidden="1" customWidth="1"/>
    <col min="1549" max="1549" width="11.140625" style="140" customWidth="1"/>
    <col min="1550" max="1550" width="9.28515625" style="140" customWidth="1"/>
    <col min="1551" max="1551" width="12.85546875" style="140" customWidth="1"/>
    <col min="1552" max="1552" width="10.5703125" style="140" customWidth="1"/>
    <col min="1553" max="1553" width="11" style="140" customWidth="1"/>
    <col min="1554" max="1554" width="12.7109375" style="140" bestFit="1" customWidth="1"/>
    <col min="1555" max="1555" width="11.28515625" style="140" customWidth="1"/>
    <col min="1556" max="1556" width="13" style="140" customWidth="1"/>
    <col min="1557" max="1557" width="11.28515625" style="140" customWidth="1"/>
    <col min="1558" max="1558" width="12.5703125" style="140" customWidth="1"/>
    <col min="1559" max="1559" width="4.5703125" style="140" customWidth="1"/>
    <col min="1560" max="1778" width="9.140625" style="140"/>
    <col min="1779" max="1779" width="14.28515625" style="140" customWidth="1"/>
    <col min="1780" max="1780" width="10.85546875" style="140" customWidth="1"/>
    <col min="1781" max="1781" width="10.140625" style="140" bestFit="1" customWidth="1"/>
    <col min="1782" max="1782" width="10.7109375" style="140" customWidth="1"/>
    <col min="1783" max="1783" width="11.28515625" style="140" customWidth="1"/>
    <col min="1784" max="1784" width="10.42578125" style="140" customWidth="1"/>
    <col min="1785" max="1785" width="11.42578125" style="140" customWidth="1"/>
    <col min="1786" max="1787" width="10" style="140" bestFit="1" customWidth="1"/>
    <col min="1788" max="1788" width="11.5703125" style="140" customWidth="1"/>
    <col min="1789" max="1789" width="16.28515625" style="140" customWidth="1"/>
    <col min="1790" max="1804" width="0" style="140" hidden="1" customWidth="1"/>
    <col min="1805" max="1805" width="11.140625" style="140" customWidth="1"/>
    <col min="1806" max="1806" width="9.28515625" style="140" customWidth="1"/>
    <col min="1807" max="1807" width="12.85546875" style="140" customWidth="1"/>
    <col min="1808" max="1808" width="10.5703125" style="140" customWidth="1"/>
    <col min="1809" max="1809" width="11" style="140" customWidth="1"/>
    <col min="1810" max="1810" width="12.7109375" style="140" bestFit="1" customWidth="1"/>
    <col min="1811" max="1811" width="11.28515625" style="140" customWidth="1"/>
    <col min="1812" max="1812" width="13" style="140" customWidth="1"/>
    <col min="1813" max="1813" width="11.28515625" style="140" customWidth="1"/>
    <col min="1814" max="1814" width="12.5703125" style="140" customWidth="1"/>
    <col min="1815" max="1815" width="4.5703125" style="140" customWidth="1"/>
    <col min="1816" max="2034" width="9.140625" style="140"/>
    <col min="2035" max="2035" width="14.28515625" style="140" customWidth="1"/>
    <col min="2036" max="2036" width="10.85546875" style="140" customWidth="1"/>
    <col min="2037" max="2037" width="10.140625" style="140" bestFit="1" customWidth="1"/>
    <col min="2038" max="2038" width="10.7109375" style="140" customWidth="1"/>
    <col min="2039" max="2039" width="11.28515625" style="140" customWidth="1"/>
    <col min="2040" max="2040" width="10.42578125" style="140" customWidth="1"/>
    <col min="2041" max="2041" width="11.42578125" style="140" customWidth="1"/>
    <col min="2042" max="2043" width="10" style="140" bestFit="1" customWidth="1"/>
    <col min="2044" max="2044" width="11.5703125" style="140" customWidth="1"/>
    <col min="2045" max="2045" width="16.28515625" style="140" customWidth="1"/>
    <col min="2046" max="2060" width="0" style="140" hidden="1" customWidth="1"/>
    <col min="2061" max="2061" width="11.140625" style="140" customWidth="1"/>
    <col min="2062" max="2062" width="9.28515625" style="140" customWidth="1"/>
    <col min="2063" max="2063" width="12.85546875" style="140" customWidth="1"/>
    <col min="2064" max="2064" width="10.5703125" style="140" customWidth="1"/>
    <col min="2065" max="2065" width="11" style="140" customWidth="1"/>
    <col min="2066" max="2066" width="12.7109375" style="140" bestFit="1" customWidth="1"/>
    <col min="2067" max="2067" width="11.28515625" style="140" customWidth="1"/>
    <col min="2068" max="2068" width="13" style="140" customWidth="1"/>
    <col min="2069" max="2069" width="11.28515625" style="140" customWidth="1"/>
    <col min="2070" max="2070" width="12.5703125" style="140" customWidth="1"/>
    <col min="2071" max="2071" width="4.5703125" style="140" customWidth="1"/>
    <col min="2072" max="2290" width="9.140625" style="140"/>
    <col min="2291" max="2291" width="14.28515625" style="140" customWidth="1"/>
    <col min="2292" max="2292" width="10.85546875" style="140" customWidth="1"/>
    <col min="2293" max="2293" width="10.140625" style="140" bestFit="1" customWidth="1"/>
    <col min="2294" max="2294" width="10.7109375" style="140" customWidth="1"/>
    <col min="2295" max="2295" width="11.28515625" style="140" customWidth="1"/>
    <col min="2296" max="2296" width="10.42578125" style="140" customWidth="1"/>
    <col min="2297" max="2297" width="11.42578125" style="140" customWidth="1"/>
    <col min="2298" max="2299" width="10" style="140" bestFit="1" customWidth="1"/>
    <col min="2300" max="2300" width="11.5703125" style="140" customWidth="1"/>
    <col min="2301" max="2301" width="16.28515625" style="140" customWidth="1"/>
    <col min="2302" max="2316" width="0" style="140" hidden="1" customWidth="1"/>
    <col min="2317" max="2317" width="11.140625" style="140" customWidth="1"/>
    <col min="2318" max="2318" width="9.28515625" style="140" customWidth="1"/>
    <col min="2319" max="2319" width="12.85546875" style="140" customWidth="1"/>
    <col min="2320" max="2320" width="10.5703125" style="140" customWidth="1"/>
    <col min="2321" max="2321" width="11" style="140" customWidth="1"/>
    <col min="2322" max="2322" width="12.7109375" style="140" bestFit="1" customWidth="1"/>
    <col min="2323" max="2323" width="11.28515625" style="140" customWidth="1"/>
    <col min="2324" max="2324" width="13" style="140" customWidth="1"/>
    <col min="2325" max="2325" width="11.28515625" style="140" customWidth="1"/>
    <col min="2326" max="2326" width="12.5703125" style="140" customWidth="1"/>
    <col min="2327" max="2327" width="4.5703125" style="140" customWidth="1"/>
    <col min="2328" max="2546" width="9.140625" style="140"/>
    <col min="2547" max="2547" width="14.28515625" style="140" customWidth="1"/>
    <col min="2548" max="2548" width="10.85546875" style="140" customWidth="1"/>
    <col min="2549" max="2549" width="10.140625" style="140" bestFit="1" customWidth="1"/>
    <col min="2550" max="2550" width="10.7109375" style="140" customWidth="1"/>
    <col min="2551" max="2551" width="11.28515625" style="140" customWidth="1"/>
    <col min="2552" max="2552" width="10.42578125" style="140" customWidth="1"/>
    <col min="2553" max="2553" width="11.42578125" style="140" customWidth="1"/>
    <col min="2554" max="2555" width="10" style="140" bestFit="1" customWidth="1"/>
    <col min="2556" max="2556" width="11.5703125" style="140" customWidth="1"/>
    <col min="2557" max="2557" width="16.28515625" style="140" customWidth="1"/>
    <col min="2558" max="2572" width="0" style="140" hidden="1" customWidth="1"/>
    <col min="2573" max="2573" width="11.140625" style="140" customWidth="1"/>
    <col min="2574" max="2574" width="9.28515625" style="140" customWidth="1"/>
    <col min="2575" max="2575" width="12.85546875" style="140" customWidth="1"/>
    <col min="2576" max="2576" width="10.5703125" style="140" customWidth="1"/>
    <col min="2577" max="2577" width="11" style="140" customWidth="1"/>
    <col min="2578" max="2578" width="12.7109375" style="140" bestFit="1" customWidth="1"/>
    <col min="2579" max="2579" width="11.28515625" style="140" customWidth="1"/>
    <col min="2580" max="2580" width="13" style="140" customWidth="1"/>
    <col min="2581" max="2581" width="11.28515625" style="140" customWidth="1"/>
    <col min="2582" max="2582" width="12.5703125" style="140" customWidth="1"/>
    <col min="2583" max="2583" width="4.5703125" style="140" customWidth="1"/>
    <col min="2584" max="2802" width="9.140625" style="140"/>
    <col min="2803" max="2803" width="14.28515625" style="140" customWidth="1"/>
    <col min="2804" max="2804" width="10.85546875" style="140" customWidth="1"/>
    <col min="2805" max="2805" width="10.140625" style="140" bestFit="1" customWidth="1"/>
    <col min="2806" max="2806" width="10.7109375" style="140" customWidth="1"/>
    <col min="2807" max="2807" width="11.28515625" style="140" customWidth="1"/>
    <col min="2808" max="2808" width="10.42578125" style="140" customWidth="1"/>
    <col min="2809" max="2809" width="11.42578125" style="140" customWidth="1"/>
    <col min="2810" max="2811" width="10" style="140" bestFit="1" customWidth="1"/>
    <col min="2812" max="2812" width="11.5703125" style="140" customWidth="1"/>
    <col min="2813" max="2813" width="16.28515625" style="140" customWidth="1"/>
    <col min="2814" max="2828" width="0" style="140" hidden="1" customWidth="1"/>
    <col min="2829" max="2829" width="11.140625" style="140" customWidth="1"/>
    <col min="2830" max="2830" width="9.28515625" style="140" customWidth="1"/>
    <col min="2831" max="2831" width="12.85546875" style="140" customWidth="1"/>
    <col min="2832" max="2832" width="10.5703125" style="140" customWidth="1"/>
    <col min="2833" max="2833" width="11" style="140" customWidth="1"/>
    <col min="2834" max="2834" width="12.7109375" style="140" bestFit="1" customWidth="1"/>
    <col min="2835" max="2835" width="11.28515625" style="140" customWidth="1"/>
    <col min="2836" max="2836" width="13" style="140" customWidth="1"/>
    <col min="2837" max="2837" width="11.28515625" style="140" customWidth="1"/>
    <col min="2838" max="2838" width="12.5703125" style="140" customWidth="1"/>
    <col min="2839" max="2839" width="4.5703125" style="140" customWidth="1"/>
    <col min="2840" max="3058" width="9.140625" style="140"/>
    <col min="3059" max="3059" width="14.28515625" style="140" customWidth="1"/>
    <col min="3060" max="3060" width="10.85546875" style="140" customWidth="1"/>
    <col min="3061" max="3061" width="10.140625" style="140" bestFit="1" customWidth="1"/>
    <col min="3062" max="3062" width="10.7109375" style="140" customWidth="1"/>
    <col min="3063" max="3063" width="11.28515625" style="140" customWidth="1"/>
    <col min="3064" max="3064" width="10.42578125" style="140" customWidth="1"/>
    <col min="3065" max="3065" width="11.42578125" style="140" customWidth="1"/>
    <col min="3066" max="3067" width="10" style="140" bestFit="1" customWidth="1"/>
    <col min="3068" max="3068" width="11.5703125" style="140" customWidth="1"/>
    <col min="3069" max="3069" width="16.28515625" style="140" customWidth="1"/>
    <col min="3070" max="3084" width="0" style="140" hidden="1" customWidth="1"/>
    <col min="3085" max="3085" width="11.140625" style="140" customWidth="1"/>
    <col min="3086" max="3086" width="9.28515625" style="140" customWidth="1"/>
    <col min="3087" max="3087" width="12.85546875" style="140" customWidth="1"/>
    <col min="3088" max="3088" width="10.5703125" style="140" customWidth="1"/>
    <col min="3089" max="3089" width="11" style="140" customWidth="1"/>
    <col min="3090" max="3090" width="12.7109375" style="140" bestFit="1" customWidth="1"/>
    <col min="3091" max="3091" width="11.28515625" style="140" customWidth="1"/>
    <col min="3092" max="3092" width="13" style="140" customWidth="1"/>
    <col min="3093" max="3093" width="11.28515625" style="140" customWidth="1"/>
    <col min="3094" max="3094" width="12.5703125" style="140" customWidth="1"/>
    <col min="3095" max="3095" width="4.5703125" style="140" customWidth="1"/>
    <col min="3096" max="3314" width="9.140625" style="140"/>
    <col min="3315" max="3315" width="14.28515625" style="140" customWidth="1"/>
    <col min="3316" max="3316" width="10.85546875" style="140" customWidth="1"/>
    <col min="3317" max="3317" width="10.140625" style="140" bestFit="1" customWidth="1"/>
    <col min="3318" max="3318" width="10.7109375" style="140" customWidth="1"/>
    <col min="3319" max="3319" width="11.28515625" style="140" customWidth="1"/>
    <col min="3320" max="3320" width="10.42578125" style="140" customWidth="1"/>
    <col min="3321" max="3321" width="11.42578125" style="140" customWidth="1"/>
    <col min="3322" max="3323" width="10" style="140" bestFit="1" customWidth="1"/>
    <col min="3324" max="3324" width="11.5703125" style="140" customWidth="1"/>
    <col min="3325" max="3325" width="16.28515625" style="140" customWidth="1"/>
    <col min="3326" max="3340" width="0" style="140" hidden="1" customWidth="1"/>
    <col min="3341" max="3341" width="11.140625" style="140" customWidth="1"/>
    <col min="3342" max="3342" width="9.28515625" style="140" customWidth="1"/>
    <col min="3343" max="3343" width="12.85546875" style="140" customWidth="1"/>
    <col min="3344" max="3344" width="10.5703125" style="140" customWidth="1"/>
    <col min="3345" max="3345" width="11" style="140" customWidth="1"/>
    <col min="3346" max="3346" width="12.7109375" style="140" bestFit="1" customWidth="1"/>
    <col min="3347" max="3347" width="11.28515625" style="140" customWidth="1"/>
    <col min="3348" max="3348" width="13" style="140" customWidth="1"/>
    <col min="3349" max="3349" width="11.28515625" style="140" customWidth="1"/>
    <col min="3350" max="3350" width="12.5703125" style="140" customWidth="1"/>
    <col min="3351" max="3351" width="4.5703125" style="140" customWidth="1"/>
    <col min="3352" max="3570" width="9.140625" style="140"/>
    <col min="3571" max="3571" width="14.28515625" style="140" customWidth="1"/>
    <col min="3572" max="3572" width="10.85546875" style="140" customWidth="1"/>
    <col min="3573" max="3573" width="10.140625" style="140" bestFit="1" customWidth="1"/>
    <col min="3574" max="3574" width="10.7109375" style="140" customWidth="1"/>
    <col min="3575" max="3575" width="11.28515625" style="140" customWidth="1"/>
    <col min="3576" max="3576" width="10.42578125" style="140" customWidth="1"/>
    <col min="3577" max="3577" width="11.42578125" style="140" customWidth="1"/>
    <col min="3578" max="3579" width="10" style="140" bestFit="1" customWidth="1"/>
    <col min="3580" max="3580" width="11.5703125" style="140" customWidth="1"/>
    <col min="3581" max="3581" width="16.28515625" style="140" customWidth="1"/>
    <col min="3582" max="3596" width="0" style="140" hidden="1" customWidth="1"/>
    <col min="3597" max="3597" width="11.140625" style="140" customWidth="1"/>
    <col min="3598" max="3598" width="9.28515625" style="140" customWidth="1"/>
    <col min="3599" max="3599" width="12.85546875" style="140" customWidth="1"/>
    <col min="3600" max="3600" width="10.5703125" style="140" customWidth="1"/>
    <col min="3601" max="3601" width="11" style="140" customWidth="1"/>
    <col min="3602" max="3602" width="12.7109375" style="140" bestFit="1" customWidth="1"/>
    <col min="3603" max="3603" width="11.28515625" style="140" customWidth="1"/>
    <col min="3604" max="3604" width="13" style="140" customWidth="1"/>
    <col min="3605" max="3605" width="11.28515625" style="140" customWidth="1"/>
    <col min="3606" max="3606" width="12.5703125" style="140" customWidth="1"/>
    <col min="3607" max="3607" width="4.5703125" style="140" customWidth="1"/>
    <col min="3608" max="3826" width="9.140625" style="140"/>
    <col min="3827" max="3827" width="14.28515625" style="140" customWidth="1"/>
    <col min="3828" max="3828" width="10.85546875" style="140" customWidth="1"/>
    <col min="3829" max="3829" width="10.140625" style="140" bestFit="1" customWidth="1"/>
    <col min="3830" max="3830" width="10.7109375" style="140" customWidth="1"/>
    <col min="3831" max="3831" width="11.28515625" style="140" customWidth="1"/>
    <col min="3832" max="3832" width="10.42578125" style="140" customWidth="1"/>
    <col min="3833" max="3833" width="11.42578125" style="140" customWidth="1"/>
    <col min="3834" max="3835" width="10" style="140" bestFit="1" customWidth="1"/>
    <col min="3836" max="3836" width="11.5703125" style="140" customWidth="1"/>
    <col min="3837" max="3837" width="16.28515625" style="140" customWidth="1"/>
    <col min="3838" max="3852" width="0" style="140" hidden="1" customWidth="1"/>
    <col min="3853" max="3853" width="11.140625" style="140" customWidth="1"/>
    <col min="3854" max="3854" width="9.28515625" style="140" customWidth="1"/>
    <col min="3855" max="3855" width="12.85546875" style="140" customWidth="1"/>
    <col min="3856" max="3856" width="10.5703125" style="140" customWidth="1"/>
    <col min="3857" max="3857" width="11" style="140" customWidth="1"/>
    <col min="3858" max="3858" width="12.7109375" style="140" bestFit="1" customWidth="1"/>
    <col min="3859" max="3859" width="11.28515625" style="140" customWidth="1"/>
    <col min="3860" max="3860" width="13" style="140" customWidth="1"/>
    <col min="3861" max="3861" width="11.28515625" style="140" customWidth="1"/>
    <col min="3862" max="3862" width="12.5703125" style="140" customWidth="1"/>
    <col min="3863" max="3863" width="4.5703125" style="140" customWidth="1"/>
    <col min="3864" max="4082" width="9.140625" style="140"/>
    <col min="4083" max="4083" width="14.28515625" style="140" customWidth="1"/>
    <col min="4084" max="4084" width="10.85546875" style="140" customWidth="1"/>
    <col min="4085" max="4085" width="10.140625" style="140" bestFit="1" customWidth="1"/>
    <col min="4086" max="4086" width="10.7109375" style="140" customWidth="1"/>
    <col min="4087" max="4087" width="11.28515625" style="140" customWidth="1"/>
    <col min="4088" max="4088" width="10.42578125" style="140" customWidth="1"/>
    <col min="4089" max="4089" width="11.42578125" style="140" customWidth="1"/>
    <col min="4090" max="4091" width="10" style="140" bestFit="1" customWidth="1"/>
    <col min="4092" max="4092" width="11.5703125" style="140" customWidth="1"/>
    <col min="4093" max="4093" width="16.28515625" style="140" customWidth="1"/>
    <col min="4094" max="4108" width="0" style="140" hidden="1" customWidth="1"/>
    <col min="4109" max="4109" width="11.140625" style="140" customWidth="1"/>
    <col min="4110" max="4110" width="9.28515625" style="140" customWidth="1"/>
    <col min="4111" max="4111" width="12.85546875" style="140" customWidth="1"/>
    <col min="4112" max="4112" width="10.5703125" style="140" customWidth="1"/>
    <col min="4113" max="4113" width="11" style="140" customWidth="1"/>
    <col min="4114" max="4114" width="12.7109375" style="140" bestFit="1" customWidth="1"/>
    <col min="4115" max="4115" width="11.28515625" style="140" customWidth="1"/>
    <col min="4116" max="4116" width="13" style="140" customWidth="1"/>
    <col min="4117" max="4117" width="11.28515625" style="140" customWidth="1"/>
    <col min="4118" max="4118" width="12.5703125" style="140" customWidth="1"/>
    <col min="4119" max="4119" width="4.5703125" style="140" customWidth="1"/>
    <col min="4120" max="4338" width="9.140625" style="140"/>
    <col min="4339" max="4339" width="14.28515625" style="140" customWidth="1"/>
    <col min="4340" max="4340" width="10.85546875" style="140" customWidth="1"/>
    <col min="4341" max="4341" width="10.140625" style="140" bestFit="1" customWidth="1"/>
    <col min="4342" max="4342" width="10.7109375" style="140" customWidth="1"/>
    <col min="4343" max="4343" width="11.28515625" style="140" customWidth="1"/>
    <col min="4344" max="4344" width="10.42578125" style="140" customWidth="1"/>
    <col min="4345" max="4345" width="11.42578125" style="140" customWidth="1"/>
    <col min="4346" max="4347" width="10" style="140" bestFit="1" customWidth="1"/>
    <col min="4348" max="4348" width="11.5703125" style="140" customWidth="1"/>
    <col min="4349" max="4349" width="16.28515625" style="140" customWidth="1"/>
    <col min="4350" max="4364" width="0" style="140" hidden="1" customWidth="1"/>
    <col min="4365" max="4365" width="11.140625" style="140" customWidth="1"/>
    <col min="4366" max="4366" width="9.28515625" style="140" customWidth="1"/>
    <col min="4367" max="4367" width="12.85546875" style="140" customWidth="1"/>
    <col min="4368" max="4368" width="10.5703125" style="140" customWidth="1"/>
    <col min="4369" max="4369" width="11" style="140" customWidth="1"/>
    <col min="4370" max="4370" width="12.7109375" style="140" bestFit="1" customWidth="1"/>
    <col min="4371" max="4371" width="11.28515625" style="140" customWidth="1"/>
    <col min="4372" max="4372" width="13" style="140" customWidth="1"/>
    <col min="4373" max="4373" width="11.28515625" style="140" customWidth="1"/>
    <col min="4374" max="4374" width="12.5703125" style="140" customWidth="1"/>
    <col min="4375" max="4375" width="4.5703125" style="140" customWidth="1"/>
    <col min="4376" max="4594" width="9.140625" style="140"/>
    <col min="4595" max="4595" width="14.28515625" style="140" customWidth="1"/>
    <col min="4596" max="4596" width="10.85546875" style="140" customWidth="1"/>
    <col min="4597" max="4597" width="10.140625" style="140" bestFit="1" customWidth="1"/>
    <col min="4598" max="4598" width="10.7109375" style="140" customWidth="1"/>
    <col min="4599" max="4599" width="11.28515625" style="140" customWidth="1"/>
    <col min="4600" max="4600" width="10.42578125" style="140" customWidth="1"/>
    <col min="4601" max="4601" width="11.42578125" style="140" customWidth="1"/>
    <col min="4602" max="4603" width="10" style="140" bestFit="1" customWidth="1"/>
    <col min="4604" max="4604" width="11.5703125" style="140" customWidth="1"/>
    <col min="4605" max="4605" width="16.28515625" style="140" customWidth="1"/>
    <col min="4606" max="4620" width="0" style="140" hidden="1" customWidth="1"/>
    <col min="4621" max="4621" width="11.140625" style="140" customWidth="1"/>
    <col min="4622" max="4622" width="9.28515625" style="140" customWidth="1"/>
    <col min="4623" max="4623" width="12.85546875" style="140" customWidth="1"/>
    <col min="4624" max="4624" width="10.5703125" style="140" customWidth="1"/>
    <col min="4625" max="4625" width="11" style="140" customWidth="1"/>
    <col min="4626" max="4626" width="12.7109375" style="140" bestFit="1" customWidth="1"/>
    <col min="4627" max="4627" width="11.28515625" style="140" customWidth="1"/>
    <col min="4628" max="4628" width="13" style="140" customWidth="1"/>
    <col min="4629" max="4629" width="11.28515625" style="140" customWidth="1"/>
    <col min="4630" max="4630" width="12.5703125" style="140" customWidth="1"/>
    <col min="4631" max="4631" width="4.5703125" style="140" customWidth="1"/>
    <col min="4632" max="4850" width="9.140625" style="140"/>
    <col min="4851" max="4851" width="14.28515625" style="140" customWidth="1"/>
    <col min="4852" max="4852" width="10.85546875" style="140" customWidth="1"/>
    <col min="4853" max="4853" width="10.140625" style="140" bestFit="1" customWidth="1"/>
    <col min="4854" max="4854" width="10.7109375" style="140" customWidth="1"/>
    <col min="4855" max="4855" width="11.28515625" style="140" customWidth="1"/>
    <col min="4856" max="4856" width="10.42578125" style="140" customWidth="1"/>
    <col min="4857" max="4857" width="11.42578125" style="140" customWidth="1"/>
    <col min="4858" max="4859" width="10" style="140" bestFit="1" customWidth="1"/>
    <col min="4860" max="4860" width="11.5703125" style="140" customWidth="1"/>
    <col min="4861" max="4861" width="16.28515625" style="140" customWidth="1"/>
    <col min="4862" max="4876" width="0" style="140" hidden="1" customWidth="1"/>
    <col min="4877" max="4877" width="11.140625" style="140" customWidth="1"/>
    <col min="4878" max="4878" width="9.28515625" style="140" customWidth="1"/>
    <col min="4879" max="4879" width="12.85546875" style="140" customWidth="1"/>
    <col min="4880" max="4880" width="10.5703125" style="140" customWidth="1"/>
    <col min="4881" max="4881" width="11" style="140" customWidth="1"/>
    <col min="4882" max="4882" width="12.7109375" style="140" bestFit="1" customWidth="1"/>
    <col min="4883" max="4883" width="11.28515625" style="140" customWidth="1"/>
    <col min="4884" max="4884" width="13" style="140" customWidth="1"/>
    <col min="4885" max="4885" width="11.28515625" style="140" customWidth="1"/>
    <col min="4886" max="4886" width="12.5703125" style="140" customWidth="1"/>
    <col min="4887" max="4887" width="4.5703125" style="140" customWidth="1"/>
    <col min="4888" max="5106" width="9.140625" style="140"/>
    <col min="5107" max="5107" width="14.28515625" style="140" customWidth="1"/>
    <col min="5108" max="5108" width="10.85546875" style="140" customWidth="1"/>
    <col min="5109" max="5109" width="10.140625" style="140" bestFit="1" customWidth="1"/>
    <col min="5110" max="5110" width="10.7109375" style="140" customWidth="1"/>
    <col min="5111" max="5111" width="11.28515625" style="140" customWidth="1"/>
    <col min="5112" max="5112" width="10.42578125" style="140" customWidth="1"/>
    <col min="5113" max="5113" width="11.42578125" style="140" customWidth="1"/>
    <col min="5114" max="5115" width="10" style="140" bestFit="1" customWidth="1"/>
    <col min="5116" max="5116" width="11.5703125" style="140" customWidth="1"/>
    <col min="5117" max="5117" width="16.28515625" style="140" customWidth="1"/>
    <col min="5118" max="5132" width="0" style="140" hidden="1" customWidth="1"/>
    <col min="5133" max="5133" width="11.140625" style="140" customWidth="1"/>
    <col min="5134" max="5134" width="9.28515625" style="140" customWidth="1"/>
    <col min="5135" max="5135" width="12.85546875" style="140" customWidth="1"/>
    <col min="5136" max="5136" width="10.5703125" style="140" customWidth="1"/>
    <col min="5137" max="5137" width="11" style="140" customWidth="1"/>
    <col min="5138" max="5138" width="12.7109375" style="140" bestFit="1" customWidth="1"/>
    <col min="5139" max="5139" width="11.28515625" style="140" customWidth="1"/>
    <col min="5140" max="5140" width="13" style="140" customWidth="1"/>
    <col min="5141" max="5141" width="11.28515625" style="140" customWidth="1"/>
    <col min="5142" max="5142" width="12.5703125" style="140" customWidth="1"/>
    <col min="5143" max="5143" width="4.5703125" style="140" customWidth="1"/>
    <col min="5144" max="5362" width="9.140625" style="140"/>
    <col min="5363" max="5363" width="14.28515625" style="140" customWidth="1"/>
    <col min="5364" max="5364" width="10.85546875" style="140" customWidth="1"/>
    <col min="5365" max="5365" width="10.140625" style="140" bestFit="1" customWidth="1"/>
    <col min="5366" max="5366" width="10.7109375" style="140" customWidth="1"/>
    <col min="5367" max="5367" width="11.28515625" style="140" customWidth="1"/>
    <col min="5368" max="5368" width="10.42578125" style="140" customWidth="1"/>
    <col min="5369" max="5369" width="11.42578125" style="140" customWidth="1"/>
    <col min="5370" max="5371" width="10" style="140" bestFit="1" customWidth="1"/>
    <col min="5372" max="5372" width="11.5703125" style="140" customWidth="1"/>
    <col min="5373" max="5373" width="16.28515625" style="140" customWidth="1"/>
    <col min="5374" max="5388" width="0" style="140" hidden="1" customWidth="1"/>
    <col min="5389" max="5389" width="11.140625" style="140" customWidth="1"/>
    <col min="5390" max="5390" width="9.28515625" style="140" customWidth="1"/>
    <col min="5391" max="5391" width="12.85546875" style="140" customWidth="1"/>
    <col min="5392" max="5392" width="10.5703125" style="140" customWidth="1"/>
    <col min="5393" max="5393" width="11" style="140" customWidth="1"/>
    <col min="5394" max="5394" width="12.7109375" style="140" bestFit="1" customWidth="1"/>
    <col min="5395" max="5395" width="11.28515625" style="140" customWidth="1"/>
    <col min="5396" max="5396" width="13" style="140" customWidth="1"/>
    <col min="5397" max="5397" width="11.28515625" style="140" customWidth="1"/>
    <col min="5398" max="5398" width="12.5703125" style="140" customWidth="1"/>
    <col min="5399" max="5399" width="4.5703125" style="140" customWidth="1"/>
    <col min="5400" max="5618" width="9.140625" style="140"/>
    <col min="5619" max="5619" width="14.28515625" style="140" customWidth="1"/>
    <col min="5620" max="5620" width="10.85546875" style="140" customWidth="1"/>
    <col min="5621" max="5621" width="10.140625" style="140" bestFit="1" customWidth="1"/>
    <col min="5622" max="5622" width="10.7109375" style="140" customWidth="1"/>
    <col min="5623" max="5623" width="11.28515625" style="140" customWidth="1"/>
    <col min="5624" max="5624" width="10.42578125" style="140" customWidth="1"/>
    <col min="5625" max="5625" width="11.42578125" style="140" customWidth="1"/>
    <col min="5626" max="5627" width="10" style="140" bestFit="1" customWidth="1"/>
    <col min="5628" max="5628" width="11.5703125" style="140" customWidth="1"/>
    <col min="5629" max="5629" width="16.28515625" style="140" customWidth="1"/>
    <col min="5630" max="5644" width="0" style="140" hidden="1" customWidth="1"/>
    <col min="5645" max="5645" width="11.140625" style="140" customWidth="1"/>
    <col min="5646" max="5646" width="9.28515625" style="140" customWidth="1"/>
    <col min="5647" max="5647" width="12.85546875" style="140" customWidth="1"/>
    <col min="5648" max="5648" width="10.5703125" style="140" customWidth="1"/>
    <col min="5649" max="5649" width="11" style="140" customWidth="1"/>
    <col min="5650" max="5650" width="12.7109375" style="140" bestFit="1" customWidth="1"/>
    <col min="5651" max="5651" width="11.28515625" style="140" customWidth="1"/>
    <col min="5652" max="5652" width="13" style="140" customWidth="1"/>
    <col min="5653" max="5653" width="11.28515625" style="140" customWidth="1"/>
    <col min="5654" max="5654" width="12.5703125" style="140" customWidth="1"/>
    <col min="5655" max="5655" width="4.5703125" style="140" customWidth="1"/>
    <col min="5656" max="5874" width="9.140625" style="140"/>
    <col min="5875" max="5875" width="14.28515625" style="140" customWidth="1"/>
    <col min="5876" max="5876" width="10.85546875" style="140" customWidth="1"/>
    <col min="5877" max="5877" width="10.140625" style="140" bestFit="1" customWidth="1"/>
    <col min="5878" max="5878" width="10.7109375" style="140" customWidth="1"/>
    <col min="5879" max="5879" width="11.28515625" style="140" customWidth="1"/>
    <col min="5880" max="5880" width="10.42578125" style="140" customWidth="1"/>
    <col min="5881" max="5881" width="11.42578125" style="140" customWidth="1"/>
    <col min="5882" max="5883" width="10" style="140" bestFit="1" customWidth="1"/>
    <col min="5884" max="5884" width="11.5703125" style="140" customWidth="1"/>
    <col min="5885" max="5885" width="16.28515625" style="140" customWidth="1"/>
    <col min="5886" max="5900" width="0" style="140" hidden="1" customWidth="1"/>
    <col min="5901" max="5901" width="11.140625" style="140" customWidth="1"/>
    <col min="5902" max="5902" width="9.28515625" style="140" customWidth="1"/>
    <col min="5903" max="5903" width="12.85546875" style="140" customWidth="1"/>
    <col min="5904" max="5904" width="10.5703125" style="140" customWidth="1"/>
    <col min="5905" max="5905" width="11" style="140" customWidth="1"/>
    <col min="5906" max="5906" width="12.7109375" style="140" bestFit="1" customWidth="1"/>
    <col min="5907" max="5907" width="11.28515625" style="140" customWidth="1"/>
    <col min="5908" max="5908" width="13" style="140" customWidth="1"/>
    <col min="5909" max="5909" width="11.28515625" style="140" customWidth="1"/>
    <col min="5910" max="5910" width="12.5703125" style="140" customWidth="1"/>
    <col min="5911" max="5911" width="4.5703125" style="140" customWidth="1"/>
    <col min="5912" max="6130" width="9.140625" style="140"/>
    <col min="6131" max="6131" width="14.28515625" style="140" customWidth="1"/>
    <col min="6132" max="6132" width="10.85546875" style="140" customWidth="1"/>
    <col min="6133" max="6133" width="10.140625" style="140" bestFit="1" customWidth="1"/>
    <col min="6134" max="6134" width="10.7109375" style="140" customWidth="1"/>
    <col min="6135" max="6135" width="11.28515625" style="140" customWidth="1"/>
    <col min="6136" max="6136" width="10.42578125" style="140" customWidth="1"/>
    <col min="6137" max="6137" width="11.42578125" style="140" customWidth="1"/>
    <col min="6138" max="6139" width="10" style="140" bestFit="1" customWidth="1"/>
    <col min="6140" max="6140" width="11.5703125" style="140" customWidth="1"/>
    <col min="6141" max="6141" width="16.28515625" style="140" customWidth="1"/>
    <col min="6142" max="6156" width="0" style="140" hidden="1" customWidth="1"/>
    <col min="6157" max="6157" width="11.140625" style="140" customWidth="1"/>
    <col min="6158" max="6158" width="9.28515625" style="140" customWidth="1"/>
    <col min="6159" max="6159" width="12.85546875" style="140" customWidth="1"/>
    <col min="6160" max="6160" width="10.5703125" style="140" customWidth="1"/>
    <col min="6161" max="6161" width="11" style="140" customWidth="1"/>
    <col min="6162" max="6162" width="12.7109375" style="140" bestFit="1" customWidth="1"/>
    <col min="6163" max="6163" width="11.28515625" style="140" customWidth="1"/>
    <col min="6164" max="6164" width="13" style="140" customWidth="1"/>
    <col min="6165" max="6165" width="11.28515625" style="140" customWidth="1"/>
    <col min="6166" max="6166" width="12.5703125" style="140" customWidth="1"/>
    <col min="6167" max="6167" width="4.5703125" style="140" customWidth="1"/>
    <col min="6168" max="6386" width="9.140625" style="140"/>
    <col min="6387" max="6387" width="14.28515625" style="140" customWidth="1"/>
    <col min="6388" max="6388" width="10.85546875" style="140" customWidth="1"/>
    <col min="6389" max="6389" width="10.140625" style="140" bestFit="1" customWidth="1"/>
    <col min="6390" max="6390" width="10.7109375" style="140" customWidth="1"/>
    <col min="6391" max="6391" width="11.28515625" style="140" customWidth="1"/>
    <col min="6392" max="6392" width="10.42578125" style="140" customWidth="1"/>
    <col min="6393" max="6393" width="11.42578125" style="140" customWidth="1"/>
    <col min="6394" max="6395" width="10" style="140" bestFit="1" customWidth="1"/>
    <col min="6396" max="6396" width="11.5703125" style="140" customWidth="1"/>
    <col min="6397" max="6397" width="16.28515625" style="140" customWidth="1"/>
    <col min="6398" max="6412" width="0" style="140" hidden="1" customWidth="1"/>
    <col min="6413" max="6413" width="11.140625" style="140" customWidth="1"/>
    <col min="6414" max="6414" width="9.28515625" style="140" customWidth="1"/>
    <col min="6415" max="6415" width="12.85546875" style="140" customWidth="1"/>
    <col min="6416" max="6416" width="10.5703125" style="140" customWidth="1"/>
    <col min="6417" max="6417" width="11" style="140" customWidth="1"/>
    <col min="6418" max="6418" width="12.7109375" style="140" bestFit="1" customWidth="1"/>
    <col min="6419" max="6419" width="11.28515625" style="140" customWidth="1"/>
    <col min="6420" max="6420" width="13" style="140" customWidth="1"/>
    <col min="6421" max="6421" width="11.28515625" style="140" customWidth="1"/>
    <col min="6422" max="6422" width="12.5703125" style="140" customWidth="1"/>
    <col min="6423" max="6423" width="4.5703125" style="140" customWidth="1"/>
    <col min="6424" max="6642" width="9.140625" style="140"/>
    <col min="6643" max="6643" width="14.28515625" style="140" customWidth="1"/>
    <col min="6644" max="6644" width="10.85546875" style="140" customWidth="1"/>
    <col min="6645" max="6645" width="10.140625" style="140" bestFit="1" customWidth="1"/>
    <col min="6646" max="6646" width="10.7109375" style="140" customWidth="1"/>
    <col min="6647" max="6647" width="11.28515625" style="140" customWidth="1"/>
    <col min="6648" max="6648" width="10.42578125" style="140" customWidth="1"/>
    <col min="6649" max="6649" width="11.42578125" style="140" customWidth="1"/>
    <col min="6650" max="6651" width="10" style="140" bestFit="1" customWidth="1"/>
    <col min="6652" max="6652" width="11.5703125" style="140" customWidth="1"/>
    <col min="6653" max="6653" width="16.28515625" style="140" customWidth="1"/>
    <col min="6654" max="6668" width="0" style="140" hidden="1" customWidth="1"/>
    <col min="6669" max="6669" width="11.140625" style="140" customWidth="1"/>
    <col min="6670" max="6670" width="9.28515625" style="140" customWidth="1"/>
    <col min="6671" max="6671" width="12.85546875" style="140" customWidth="1"/>
    <col min="6672" max="6672" width="10.5703125" style="140" customWidth="1"/>
    <col min="6673" max="6673" width="11" style="140" customWidth="1"/>
    <col min="6674" max="6674" width="12.7109375" style="140" bestFit="1" customWidth="1"/>
    <col min="6675" max="6675" width="11.28515625" style="140" customWidth="1"/>
    <col min="6676" max="6676" width="13" style="140" customWidth="1"/>
    <col min="6677" max="6677" width="11.28515625" style="140" customWidth="1"/>
    <col min="6678" max="6678" width="12.5703125" style="140" customWidth="1"/>
    <col min="6679" max="6679" width="4.5703125" style="140" customWidth="1"/>
    <col min="6680" max="6898" width="9.140625" style="140"/>
    <col min="6899" max="6899" width="14.28515625" style="140" customWidth="1"/>
    <col min="6900" max="6900" width="10.85546875" style="140" customWidth="1"/>
    <col min="6901" max="6901" width="10.140625" style="140" bestFit="1" customWidth="1"/>
    <col min="6902" max="6902" width="10.7109375" style="140" customWidth="1"/>
    <col min="6903" max="6903" width="11.28515625" style="140" customWidth="1"/>
    <col min="6904" max="6904" width="10.42578125" style="140" customWidth="1"/>
    <col min="6905" max="6905" width="11.42578125" style="140" customWidth="1"/>
    <col min="6906" max="6907" width="10" style="140" bestFit="1" customWidth="1"/>
    <col min="6908" max="6908" width="11.5703125" style="140" customWidth="1"/>
    <col min="6909" max="6909" width="16.28515625" style="140" customWidth="1"/>
    <col min="6910" max="6924" width="0" style="140" hidden="1" customWidth="1"/>
    <col min="6925" max="6925" width="11.140625" style="140" customWidth="1"/>
    <col min="6926" max="6926" width="9.28515625" style="140" customWidth="1"/>
    <col min="6927" max="6927" width="12.85546875" style="140" customWidth="1"/>
    <col min="6928" max="6928" width="10.5703125" style="140" customWidth="1"/>
    <col min="6929" max="6929" width="11" style="140" customWidth="1"/>
    <col min="6930" max="6930" width="12.7109375" style="140" bestFit="1" customWidth="1"/>
    <col min="6931" max="6931" width="11.28515625" style="140" customWidth="1"/>
    <col min="6932" max="6932" width="13" style="140" customWidth="1"/>
    <col min="6933" max="6933" width="11.28515625" style="140" customWidth="1"/>
    <col min="6934" max="6934" width="12.5703125" style="140" customWidth="1"/>
    <col min="6935" max="6935" width="4.5703125" style="140" customWidth="1"/>
    <col min="6936" max="7154" width="9.140625" style="140"/>
    <col min="7155" max="7155" width="14.28515625" style="140" customWidth="1"/>
    <col min="7156" max="7156" width="10.85546875" style="140" customWidth="1"/>
    <col min="7157" max="7157" width="10.140625" style="140" bestFit="1" customWidth="1"/>
    <col min="7158" max="7158" width="10.7109375" style="140" customWidth="1"/>
    <col min="7159" max="7159" width="11.28515625" style="140" customWidth="1"/>
    <col min="7160" max="7160" width="10.42578125" style="140" customWidth="1"/>
    <col min="7161" max="7161" width="11.42578125" style="140" customWidth="1"/>
    <col min="7162" max="7163" width="10" style="140" bestFit="1" customWidth="1"/>
    <col min="7164" max="7164" width="11.5703125" style="140" customWidth="1"/>
    <col min="7165" max="7165" width="16.28515625" style="140" customWidth="1"/>
    <col min="7166" max="7180" width="0" style="140" hidden="1" customWidth="1"/>
    <col min="7181" max="7181" width="11.140625" style="140" customWidth="1"/>
    <col min="7182" max="7182" width="9.28515625" style="140" customWidth="1"/>
    <col min="7183" max="7183" width="12.85546875" style="140" customWidth="1"/>
    <col min="7184" max="7184" width="10.5703125" style="140" customWidth="1"/>
    <col min="7185" max="7185" width="11" style="140" customWidth="1"/>
    <col min="7186" max="7186" width="12.7109375" style="140" bestFit="1" customWidth="1"/>
    <col min="7187" max="7187" width="11.28515625" style="140" customWidth="1"/>
    <col min="7188" max="7188" width="13" style="140" customWidth="1"/>
    <col min="7189" max="7189" width="11.28515625" style="140" customWidth="1"/>
    <col min="7190" max="7190" width="12.5703125" style="140" customWidth="1"/>
    <col min="7191" max="7191" width="4.5703125" style="140" customWidth="1"/>
    <col min="7192" max="7410" width="9.140625" style="140"/>
    <col min="7411" max="7411" width="14.28515625" style="140" customWidth="1"/>
    <col min="7412" max="7412" width="10.85546875" style="140" customWidth="1"/>
    <col min="7413" max="7413" width="10.140625" style="140" bestFit="1" customWidth="1"/>
    <col min="7414" max="7414" width="10.7109375" style="140" customWidth="1"/>
    <col min="7415" max="7415" width="11.28515625" style="140" customWidth="1"/>
    <col min="7416" max="7416" width="10.42578125" style="140" customWidth="1"/>
    <col min="7417" max="7417" width="11.42578125" style="140" customWidth="1"/>
    <col min="7418" max="7419" width="10" style="140" bestFit="1" customWidth="1"/>
    <col min="7420" max="7420" width="11.5703125" style="140" customWidth="1"/>
    <col min="7421" max="7421" width="16.28515625" style="140" customWidth="1"/>
    <col min="7422" max="7436" width="0" style="140" hidden="1" customWidth="1"/>
    <col min="7437" max="7437" width="11.140625" style="140" customWidth="1"/>
    <col min="7438" max="7438" width="9.28515625" style="140" customWidth="1"/>
    <col min="7439" max="7439" width="12.85546875" style="140" customWidth="1"/>
    <col min="7440" max="7440" width="10.5703125" style="140" customWidth="1"/>
    <col min="7441" max="7441" width="11" style="140" customWidth="1"/>
    <col min="7442" max="7442" width="12.7109375" style="140" bestFit="1" customWidth="1"/>
    <col min="7443" max="7443" width="11.28515625" style="140" customWidth="1"/>
    <col min="7444" max="7444" width="13" style="140" customWidth="1"/>
    <col min="7445" max="7445" width="11.28515625" style="140" customWidth="1"/>
    <col min="7446" max="7446" width="12.5703125" style="140" customWidth="1"/>
    <col min="7447" max="7447" width="4.5703125" style="140" customWidth="1"/>
    <col min="7448" max="7666" width="9.140625" style="140"/>
    <col min="7667" max="7667" width="14.28515625" style="140" customWidth="1"/>
    <col min="7668" max="7668" width="10.85546875" style="140" customWidth="1"/>
    <col min="7669" max="7669" width="10.140625" style="140" bestFit="1" customWidth="1"/>
    <col min="7670" max="7670" width="10.7109375" style="140" customWidth="1"/>
    <col min="7671" max="7671" width="11.28515625" style="140" customWidth="1"/>
    <col min="7672" max="7672" width="10.42578125" style="140" customWidth="1"/>
    <col min="7673" max="7673" width="11.42578125" style="140" customWidth="1"/>
    <col min="7674" max="7675" width="10" style="140" bestFit="1" customWidth="1"/>
    <col min="7676" max="7676" width="11.5703125" style="140" customWidth="1"/>
    <col min="7677" max="7677" width="16.28515625" style="140" customWidth="1"/>
    <col min="7678" max="7692" width="0" style="140" hidden="1" customWidth="1"/>
    <col min="7693" max="7693" width="11.140625" style="140" customWidth="1"/>
    <col min="7694" max="7694" width="9.28515625" style="140" customWidth="1"/>
    <col min="7695" max="7695" width="12.85546875" style="140" customWidth="1"/>
    <col min="7696" max="7696" width="10.5703125" style="140" customWidth="1"/>
    <col min="7697" max="7697" width="11" style="140" customWidth="1"/>
    <col min="7698" max="7698" width="12.7109375" style="140" bestFit="1" customWidth="1"/>
    <col min="7699" max="7699" width="11.28515625" style="140" customWidth="1"/>
    <col min="7700" max="7700" width="13" style="140" customWidth="1"/>
    <col min="7701" max="7701" width="11.28515625" style="140" customWidth="1"/>
    <col min="7702" max="7702" width="12.5703125" style="140" customWidth="1"/>
    <col min="7703" max="7703" width="4.5703125" style="140" customWidth="1"/>
    <col min="7704" max="7922" width="9.140625" style="140"/>
    <col min="7923" max="7923" width="14.28515625" style="140" customWidth="1"/>
    <col min="7924" max="7924" width="10.85546875" style="140" customWidth="1"/>
    <col min="7925" max="7925" width="10.140625" style="140" bestFit="1" customWidth="1"/>
    <col min="7926" max="7926" width="10.7109375" style="140" customWidth="1"/>
    <col min="7927" max="7927" width="11.28515625" style="140" customWidth="1"/>
    <col min="7928" max="7928" width="10.42578125" style="140" customWidth="1"/>
    <col min="7929" max="7929" width="11.42578125" style="140" customWidth="1"/>
    <col min="7930" max="7931" width="10" style="140" bestFit="1" customWidth="1"/>
    <col min="7932" max="7932" width="11.5703125" style="140" customWidth="1"/>
    <col min="7933" max="7933" width="16.28515625" style="140" customWidth="1"/>
    <col min="7934" max="7948" width="0" style="140" hidden="1" customWidth="1"/>
    <col min="7949" max="7949" width="11.140625" style="140" customWidth="1"/>
    <col min="7950" max="7950" width="9.28515625" style="140" customWidth="1"/>
    <col min="7951" max="7951" width="12.85546875" style="140" customWidth="1"/>
    <col min="7952" max="7952" width="10.5703125" style="140" customWidth="1"/>
    <col min="7953" max="7953" width="11" style="140" customWidth="1"/>
    <col min="7954" max="7954" width="12.7109375" style="140" bestFit="1" customWidth="1"/>
    <col min="7955" max="7955" width="11.28515625" style="140" customWidth="1"/>
    <col min="7956" max="7956" width="13" style="140" customWidth="1"/>
    <col min="7957" max="7957" width="11.28515625" style="140" customWidth="1"/>
    <col min="7958" max="7958" width="12.5703125" style="140" customWidth="1"/>
    <col min="7959" max="7959" width="4.5703125" style="140" customWidth="1"/>
    <col min="7960" max="8178" width="9.140625" style="140"/>
    <col min="8179" max="8179" width="14.28515625" style="140" customWidth="1"/>
    <col min="8180" max="8180" width="10.85546875" style="140" customWidth="1"/>
    <col min="8181" max="8181" width="10.140625" style="140" bestFit="1" customWidth="1"/>
    <col min="8182" max="8182" width="10.7109375" style="140" customWidth="1"/>
    <col min="8183" max="8183" width="11.28515625" style="140" customWidth="1"/>
    <col min="8184" max="8184" width="10.42578125" style="140" customWidth="1"/>
    <col min="8185" max="8185" width="11.42578125" style="140" customWidth="1"/>
    <col min="8186" max="8187" width="10" style="140" bestFit="1" customWidth="1"/>
    <col min="8188" max="8188" width="11.5703125" style="140" customWidth="1"/>
    <col min="8189" max="8189" width="16.28515625" style="140" customWidth="1"/>
    <col min="8190" max="8204" width="0" style="140" hidden="1" customWidth="1"/>
    <col min="8205" max="8205" width="11.140625" style="140" customWidth="1"/>
    <col min="8206" max="8206" width="9.28515625" style="140" customWidth="1"/>
    <col min="8207" max="8207" width="12.85546875" style="140" customWidth="1"/>
    <col min="8208" max="8208" width="10.5703125" style="140" customWidth="1"/>
    <col min="8209" max="8209" width="11" style="140" customWidth="1"/>
    <col min="8210" max="8210" width="12.7109375" style="140" bestFit="1" customWidth="1"/>
    <col min="8211" max="8211" width="11.28515625" style="140" customWidth="1"/>
    <col min="8212" max="8212" width="13" style="140" customWidth="1"/>
    <col min="8213" max="8213" width="11.28515625" style="140" customWidth="1"/>
    <col min="8214" max="8214" width="12.5703125" style="140" customWidth="1"/>
    <col min="8215" max="8215" width="4.5703125" style="140" customWidth="1"/>
    <col min="8216" max="8434" width="9.140625" style="140"/>
    <col min="8435" max="8435" width="14.28515625" style="140" customWidth="1"/>
    <col min="8436" max="8436" width="10.85546875" style="140" customWidth="1"/>
    <col min="8437" max="8437" width="10.140625" style="140" bestFit="1" customWidth="1"/>
    <col min="8438" max="8438" width="10.7109375" style="140" customWidth="1"/>
    <col min="8439" max="8439" width="11.28515625" style="140" customWidth="1"/>
    <col min="8440" max="8440" width="10.42578125" style="140" customWidth="1"/>
    <col min="8441" max="8441" width="11.42578125" style="140" customWidth="1"/>
    <col min="8442" max="8443" width="10" style="140" bestFit="1" customWidth="1"/>
    <col min="8444" max="8444" width="11.5703125" style="140" customWidth="1"/>
    <col min="8445" max="8445" width="16.28515625" style="140" customWidth="1"/>
    <col min="8446" max="8460" width="0" style="140" hidden="1" customWidth="1"/>
    <col min="8461" max="8461" width="11.140625" style="140" customWidth="1"/>
    <col min="8462" max="8462" width="9.28515625" style="140" customWidth="1"/>
    <col min="8463" max="8463" width="12.85546875" style="140" customWidth="1"/>
    <col min="8464" max="8464" width="10.5703125" style="140" customWidth="1"/>
    <col min="8465" max="8465" width="11" style="140" customWidth="1"/>
    <col min="8466" max="8466" width="12.7109375" style="140" bestFit="1" customWidth="1"/>
    <col min="8467" max="8467" width="11.28515625" style="140" customWidth="1"/>
    <col min="8468" max="8468" width="13" style="140" customWidth="1"/>
    <col min="8469" max="8469" width="11.28515625" style="140" customWidth="1"/>
    <col min="8470" max="8470" width="12.5703125" style="140" customWidth="1"/>
    <col min="8471" max="8471" width="4.5703125" style="140" customWidth="1"/>
    <col min="8472" max="8690" width="9.140625" style="140"/>
    <col min="8691" max="8691" width="14.28515625" style="140" customWidth="1"/>
    <col min="8692" max="8692" width="10.85546875" style="140" customWidth="1"/>
    <col min="8693" max="8693" width="10.140625" style="140" bestFit="1" customWidth="1"/>
    <col min="8694" max="8694" width="10.7109375" style="140" customWidth="1"/>
    <col min="8695" max="8695" width="11.28515625" style="140" customWidth="1"/>
    <col min="8696" max="8696" width="10.42578125" style="140" customWidth="1"/>
    <col min="8697" max="8697" width="11.42578125" style="140" customWidth="1"/>
    <col min="8698" max="8699" width="10" style="140" bestFit="1" customWidth="1"/>
    <col min="8700" max="8700" width="11.5703125" style="140" customWidth="1"/>
    <col min="8701" max="8701" width="16.28515625" style="140" customWidth="1"/>
    <col min="8702" max="8716" width="0" style="140" hidden="1" customWidth="1"/>
    <col min="8717" max="8717" width="11.140625" style="140" customWidth="1"/>
    <col min="8718" max="8718" width="9.28515625" style="140" customWidth="1"/>
    <col min="8719" max="8719" width="12.85546875" style="140" customWidth="1"/>
    <col min="8720" max="8720" width="10.5703125" style="140" customWidth="1"/>
    <col min="8721" max="8721" width="11" style="140" customWidth="1"/>
    <col min="8722" max="8722" width="12.7109375" style="140" bestFit="1" customWidth="1"/>
    <col min="8723" max="8723" width="11.28515625" style="140" customWidth="1"/>
    <col min="8724" max="8724" width="13" style="140" customWidth="1"/>
    <col min="8725" max="8725" width="11.28515625" style="140" customWidth="1"/>
    <col min="8726" max="8726" width="12.5703125" style="140" customWidth="1"/>
    <col min="8727" max="8727" width="4.5703125" style="140" customWidth="1"/>
    <col min="8728" max="8946" width="9.140625" style="140"/>
    <col min="8947" max="8947" width="14.28515625" style="140" customWidth="1"/>
    <col min="8948" max="8948" width="10.85546875" style="140" customWidth="1"/>
    <col min="8949" max="8949" width="10.140625" style="140" bestFit="1" customWidth="1"/>
    <col min="8950" max="8950" width="10.7109375" style="140" customWidth="1"/>
    <col min="8951" max="8951" width="11.28515625" style="140" customWidth="1"/>
    <col min="8952" max="8952" width="10.42578125" style="140" customWidth="1"/>
    <col min="8953" max="8953" width="11.42578125" style="140" customWidth="1"/>
    <col min="8954" max="8955" width="10" style="140" bestFit="1" customWidth="1"/>
    <col min="8956" max="8956" width="11.5703125" style="140" customWidth="1"/>
    <col min="8957" max="8957" width="16.28515625" style="140" customWidth="1"/>
    <col min="8958" max="8972" width="0" style="140" hidden="1" customWidth="1"/>
    <col min="8973" max="8973" width="11.140625" style="140" customWidth="1"/>
    <col min="8974" max="8974" width="9.28515625" style="140" customWidth="1"/>
    <col min="8975" max="8975" width="12.85546875" style="140" customWidth="1"/>
    <col min="8976" max="8976" width="10.5703125" style="140" customWidth="1"/>
    <col min="8977" max="8977" width="11" style="140" customWidth="1"/>
    <col min="8978" max="8978" width="12.7109375" style="140" bestFit="1" customWidth="1"/>
    <col min="8979" max="8979" width="11.28515625" style="140" customWidth="1"/>
    <col min="8980" max="8980" width="13" style="140" customWidth="1"/>
    <col min="8981" max="8981" width="11.28515625" style="140" customWidth="1"/>
    <col min="8982" max="8982" width="12.5703125" style="140" customWidth="1"/>
    <col min="8983" max="8983" width="4.5703125" style="140" customWidth="1"/>
    <col min="8984" max="9202" width="9.140625" style="140"/>
    <col min="9203" max="9203" width="14.28515625" style="140" customWidth="1"/>
    <col min="9204" max="9204" width="10.85546875" style="140" customWidth="1"/>
    <col min="9205" max="9205" width="10.140625" style="140" bestFit="1" customWidth="1"/>
    <col min="9206" max="9206" width="10.7109375" style="140" customWidth="1"/>
    <col min="9207" max="9207" width="11.28515625" style="140" customWidth="1"/>
    <col min="9208" max="9208" width="10.42578125" style="140" customWidth="1"/>
    <col min="9209" max="9209" width="11.42578125" style="140" customWidth="1"/>
    <col min="9210" max="9211" width="10" style="140" bestFit="1" customWidth="1"/>
    <col min="9212" max="9212" width="11.5703125" style="140" customWidth="1"/>
    <col min="9213" max="9213" width="16.28515625" style="140" customWidth="1"/>
    <col min="9214" max="9228" width="0" style="140" hidden="1" customWidth="1"/>
    <col min="9229" max="9229" width="11.140625" style="140" customWidth="1"/>
    <col min="9230" max="9230" width="9.28515625" style="140" customWidth="1"/>
    <col min="9231" max="9231" width="12.85546875" style="140" customWidth="1"/>
    <col min="9232" max="9232" width="10.5703125" style="140" customWidth="1"/>
    <col min="9233" max="9233" width="11" style="140" customWidth="1"/>
    <col min="9234" max="9234" width="12.7109375" style="140" bestFit="1" customWidth="1"/>
    <col min="9235" max="9235" width="11.28515625" style="140" customWidth="1"/>
    <col min="9236" max="9236" width="13" style="140" customWidth="1"/>
    <col min="9237" max="9237" width="11.28515625" style="140" customWidth="1"/>
    <col min="9238" max="9238" width="12.5703125" style="140" customWidth="1"/>
    <col min="9239" max="9239" width="4.5703125" style="140" customWidth="1"/>
    <col min="9240" max="9458" width="9.140625" style="140"/>
    <col min="9459" max="9459" width="14.28515625" style="140" customWidth="1"/>
    <col min="9460" max="9460" width="10.85546875" style="140" customWidth="1"/>
    <col min="9461" max="9461" width="10.140625" style="140" bestFit="1" customWidth="1"/>
    <col min="9462" max="9462" width="10.7109375" style="140" customWidth="1"/>
    <col min="9463" max="9463" width="11.28515625" style="140" customWidth="1"/>
    <col min="9464" max="9464" width="10.42578125" style="140" customWidth="1"/>
    <col min="9465" max="9465" width="11.42578125" style="140" customWidth="1"/>
    <col min="9466" max="9467" width="10" style="140" bestFit="1" customWidth="1"/>
    <col min="9468" max="9468" width="11.5703125" style="140" customWidth="1"/>
    <col min="9469" max="9469" width="16.28515625" style="140" customWidth="1"/>
    <col min="9470" max="9484" width="0" style="140" hidden="1" customWidth="1"/>
    <col min="9485" max="9485" width="11.140625" style="140" customWidth="1"/>
    <col min="9486" max="9486" width="9.28515625" style="140" customWidth="1"/>
    <col min="9487" max="9487" width="12.85546875" style="140" customWidth="1"/>
    <col min="9488" max="9488" width="10.5703125" style="140" customWidth="1"/>
    <col min="9489" max="9489" width="11" style="140" customWidth="1"/>
    <col min="9490" max="9490" width="12.7109375" style="140" bestFit="1" customWidth="1"/>
    <col min="9491" max="9491" width="11.28515625" style="140" customWidth="1"/>
    <col min="9492" max="9492" width="13" style="140" customWidth="1"/>
    <col min="9493" max="9493" width="11.28515625" style="140" customWidth="1"/>
    <col min="9494" max="9494" width="12.5703125" style="140" customWidth="1"/>
    <col min="9495" max="9495" width="4.5703125" style="140" customWidth="1"/>
    <col min="9496" max="9714" width="9.140625" style="140"/>
    <col min="9715" max="9715" width="14.28515625" style="140" customWidth="1"/>
    <col min="9716" max="9716" width="10.85546875" style="140" customWidth="1"/>
    <col min="9717" max="9717" width="10.140625" style="140" bestFit="1" customWidth="1"/>
    <col min="9718" max="9718" width="10.7109375" style="140" customWidth="1"/>
    <col min="9719" max="9719" width="11.28515625" style="140" customWidth="1"/>
    <col min="9720" max="9720" width="10.42578125" style="140" customWidth="1"/>
    <col min="9721" max="9721" width="11.42578125" style="140" customWidth="1"/>
    <col min="9722" max="9723" width="10" style="140" bestFit="1" customWidth="1"/>
    <col min="9724" max="9724" width="11.5703125" style="140" customWidth="1"/>
    <col min="9725" max="9725" width="16.28515625" style="140" customWidth="1"/>
    <col min="9726" max="9740" width="0" style="140" hidden="1" customWidth="1"/>
    <col min="9741" max="9741" width="11.140625" style="140" customWidth="1"/>
    <col min="9742" max="9742" width="9.28515625" style="140" customWidth="1"/>
    <col min="9743" max="9743" width="12.85546875" style="140" customWidth="1"/>
    <col min="9744" max="9744" width="10.5703125" style="140" customWidth="1"/>
    <col min="9745" max="9745" width="11" style="140" customWidth="1"/>
    <col min="9746" max="9746" width="12.7109375" style="140" bestFit="1" customWidth="1"/>
    <col min="9747" max="9747" width="11.28515625" style="140" customWidth="1"/>
    <col min="9748" max="9748" width="13" style="140" customWidth="1"/>
    <col min="9749" max="9749" width="11.28515625" style="140" customWidth="1"/>
    <col min="9750" max="9750" width="12.5703125" style="140" customWidth="1"/>
    <col min="9751" max="9751" width="4.5703125" style="140" customWidth="1"/>
    <col min="9752" max="9970" width="9.140625" style="140"/>
    <col min="9971" max="9971" width="14.28515625" style="140" customWidth="1"/>
    <col min="9972" max="9972" width="10.85546875" style="140" customWidth="1"/>
    <col min="9973" max="9973" width="10.140625" style="140" bestFit="1" customWidth="1"/>
    <col min="9974" max="9974" width="10.7109375" style="140" customWidth="1"/>
    <col min="9975" max="9975" width="11.28515625" style="140" customWidth="1"/>
    <col min="9976" max="9976" width="10.42578125" style="140" customWidth="1"/>
    <col min="9977" max="9977" width="11.42578125" style="140" customWidth="1"/>
    <col min="9978" max="9979" width="10" style="140" bestFit="1" customWidth="1"/>
    <col min="9980" max="9980" width="11.5703125" style="140" customWidth="1"/>
    <col min="9981" max="9981" width="16.28515625" style="140" customWidth="1"/>
    <col min="9982" max="9996" width="0" style="140" hidden="1" customWidth="1"/>
    <col min="9997" max="9997" width="11.140625" style="140" customWidth="1"/>
    <col min="9998" max="9998" width="9.28515625" style="140" customWidth="1"/>
    <col min="9999" max="9999" width="12.85546875" style="140" customWidth="1"/>
    <col min="10000" max="10000" width="10.5703125" style="140" customWidth="1"/>
    <col min="10001" max="10001" width="11" style="140" customWidth="1"/>
    <col min="10002" max="10002" width="12.7109375" style="140" bestFit="1" customWidth="1"/>
    <col min="10003" max="10003" width="11.28515625" style="140" customWidth="1"/>
    <col min="10004" max="10004" width="13" style="140" customWidth="1"/>
    <col min="10005" max="10005" width="11.28515625" style="140" customWidth="1"/>
    <col min="10006" max="10006" width="12.5703125" style="140" customWidth="1"/>
    <col min="10007" max="10007" width="4.5703125" style="140" customWidth="1"/>
    <col min="10008" max="10226" width="9.140625" style="140"/>
    <col min="10227" max="10227" width="14.28515625" style="140" customWidth="1"/>
    <col min="10228" max="10228" width="10.85546875" style="140" customWidth="1"/>
    <col min="10229" max="10229" width="10.140625" style="140" bestFit="1" customWidth="1"/>
    <col min="10230" max="10230" width="10.7109375" style="140" customWidth="1"/>
    <col min="10231" max="10231" width="11.28515625" style="140" customWidth="1"/>
    <col min="10232" max="10232" width="10.42578125" style="140" customWidth="1"/>
    <col min="10233" max="10233" width="11.42578125" style="140" customWidth="1"/>
    <col min="10234" max="10235" width="10" style="140" bestFit="1" customWidth="1"/>
    <col min="10236" max="10236" width="11.5703125" style="140" customWidth="1"/>
    <col min="10237" max="10237" width="16.28515625" style="140" customWidth="1"/>
    <col min="10238" max="10252" width="0" style="140" hidden="1" customWidth="1"/>
    <col min="10253" max="10253" width="11.140625" style="140" customWidth="1"/>
    <col min="10254" max="10254" width="9.28515625" style="140" customWidth="1"/>
    <col min="10255" max="10255" width="12.85546875" style="140" customWidth="1"/>
    <col min="10256" max="10256" width="10.5703125" style="140" customWidth="1"/>
    <col min="10257" max="10257" width="11" style="140" customWidth="1"/>
    <col min="10258" max="10258" width="12.7109375" style="140" bestFit="1" customWidth="1"/>
    <col min="10259" max="10259" width="11.28515625" style="140" customWidth="1"/>
    <col min="10260" max="10260" width="13" style="140" customWidth="1"/>
    <col min="10261" max="10261" width="11.28515625" style="140" customWidth="1"/>
    <col min="10262" max="10262" width="12.5703125" style="140" customWidth="1"/>
    <col min="10263" max="10263" width="4.5703125" style="140" customWidth="1"/>
    <col min="10264" max="10482" width="9.140625" style="140"/>
    <col min="10483" max="10483" width="14.28515625" style="140" customWidth="1"/>
    <col min="10484" max="10484" width="10.85546875" style="140" customWidth="1"/>
    <col min="10485" max="10485" width="10.140625" style="140" bestFit="1" customWidth="1"/>
    <col min="10486" max="10486" width="10.7109375" style="140" customWidth="1"/>
    <col min="10487" max="10487" width="11.28515625" style="140" customWidth="1"/>
    <col min="10488" max="10488" width="10.42578125" style="140" customWidth="1"/>
    <col min="10489" max="10489" width="11.42578125" style="140" customWidth="1"/>
    <col min="10490" max="10491" width="10" style="140" bestFit="1" customWidth="1"/>
    <col min="10492" max="10492" width="11.5703125" style="140" customWidth="1"/>
    <col min="10493" max="10493" width="16.28515625" style="140" customWidth="1"/>
    <col min="10494" max="10508" width="0" style="140" hidden="1" customWidth="1"/>
    <col min="10509" max="10509" width="11.140625" style="140" customWidth="1"/>
    <col min="10510" max="10510" width="9.28515625" style="140" customWidth="1"/>
    <col min="10511" max="10511" width="12.85546875" style="140" customWidth="1"/>
    <col min="10512" max="10512" width="10.5703125" style="140" customWidth="1"/>
    <col min="10513" max="10513" width="11" style="140" customWidth="1"/>
    <col min="10514" max="10514" width="12.7109375" style="140" bestFit="1" customWidth="1"/>
    <col min="10515" max="10515" width="11.28515625" style="140" customWidth="1"/>
    <col min="10516" max="10516" width="13" style="140" customWidth="1"/>
    <col min="10517" max="10517" width="11.28515625" style="140" customWidth="1"/>
    <col min="10518" max="10518" width="12.5703125" style="140" customWidth="1"/>
    <col min="10519" max="10519" width="4.5703125" style="140" customWidth="1"/>
    <col min="10520" max="10738" width="9.140625" style="140"/>
    <col min="10739" max="10739" width="14.28515625" style="140" customWidth="1"/>
    <col min="10740" max="10740" width="10.85546875" style="140" customWidth="1"/>
    <col min="10741" max="10741" width="10.140625" style="140" bestFit="1" customWidth="1"/>
    <col min="10742" max="10742" width="10.7109375" style="140" customWidth="1"/>
    <col min="10743" max="10743" width="11.28515625" style="140" customWidth="1"/>
    <col min="10744" max="10744" width="10.42578125" style="140" customWidth="1"/>
    <col min="10745" max="10745" width="11.42578125" style="140" customWidth="1"/>
    <col min="10746" max="10747" width="10" style="140" bestFit="1" customWidth="1"/>
    <col min="10748" max="10748" width="11.5703125" style="140" customWidth="1"/>
    <col min="10749" max="10749" width="16.28515625" style="140" customWidth="1"/>
    <col min="10750" max="10764" width="0" style="140" hidden="1" customWidth="1"/>
    <col min="10765" max="10765" width="11.140625" style="140" customWidth="1"/>
    <col min="10766" max="10766" width="9.28515625" style="140" customWidth="1"/>
    <col min="10767" max="10767" width="12.85546875" style="140" customWidth="1"/>
    <col min="10768" max="10768" width="10.5703125" style="140" customWidth="1"/>
    <col min="10769" max="10769" width="11" style="140" customWidth="1"/>
    <col min="10770" max="10770" width="12.7109375" style="140" bestFit="1" customWidth="1"/>
    <col min="10771" max="10771" width="11.28515625" style="140" customWidth="1"/>
    <col min="10772" max="10772" width="13" style="140" customWidth="1"/>
    <col min="10773" max="10773" width="11.28515625" style="140" customWidth="1"/>
    <col min="10774" max="10774" width="12.5703125" style="140" customWidth="1"/>
    <col min="10775" max="10775" width="4.5703125" style="140" customWidth="1"/>
    <col min="10776" max="10994" width="9.140625" style="140"/>
    <col min="10995" max="10995" width="14.28515625" style="140" customWidth="1"/>
    <col min="10996" max="10996" width="10.85546875" style="140" customWidth="1"/>
    <col min="10997" max="10997" width="10.140625" style="140" bestFit="1" customWidth="1"/>
    <col min="10998" max="10998" width="10.7109375" style="140" customWidth="1"/>
    <col min="10999" max="10999" width="11.28515625" style="140" customWidth="1"/>
    <col min="11000" max="11000" width="10.42578125" style="140" customWidth="1"/>
    <col min="11001" max="11001" width="11.42578125" style="140" customWidth="1"/>
    <col min="11002" max="11003" width="10" style="140" bestFit="1" customWidth="1"/>
    <col min="11004" max="11004" width="11.5703125" style="140" customWidth="1"/>
    <col min="11005" max="11005" width="16.28515625" style="140" customWidth="1"/>
    <col min="11006" max="11020" width="0" style="140" hidden="1" customWidth="1"/>
    <col min="11021" max="11021" width="11.140625" style="140" customWidth="1"/>
    <col min="11022" max="11022" width="9.28515625" style="140" customWidth="1"/>
    <col min="11023" max="11023" width="12.85546875" style="140" customWidth="1"/>
    <col min="11024" max="11024" width="10.5703125" style="140" customWidth="1"/>
    <col min="11025" max="11025" width="11" style="140" customWidth="1"/>
    <col min="11026" max="11026" width="12.7109375" style="140" bestFit="1" customWidth="1"/>
    <col min="11027" max="11027" width="11.28515625" style="140" customWidth="1"/>
    <col min="11028" max="11028" width="13" style="140" customWidth="1"/>
    <col min="11029" max="11029" width="11.28515625" style="140" customWidth="1"/>
    <col min="11030" max="11030" width="12.5703125" style="140" customWidth="1"/>
    <col min="11031" max="11031" width="4.5703125" style="140" customWidth="1"/>
    <col min="11032" max="11250" width="9.140625" style="140"/>
    <col min="11251" max="11251" width="14.28515625" style="140" customWidth="1"/>
    <col min="11252" max="11252" width="10.85546875" style="140" customWidth="1"/>
    <col min="11253" max="11253" width="10.140625" style="140" bestFit="1" customWidth="1"/>
    <col min="11254" max="11254" width="10.7109375" style="140" customWidth="1"/>
    <col min="11255" max="11255" width="11.28515625" style="140" customWidth="1"/>
    <col min="11256" max="11256" width="10.42578125" style="140" customWidth="1"/>
    <col min="11257" max="11257" width="11.42578125" style="140" customWidth="1"/>
    <col min="11258" max="11259" width="10" style="140" bestFit="1" customWidth="1"/>
    <col min="11260" max="11260" width="11.5703125" style="140" customWidth="1"/>
    <col min="11261" max="11261" width="16.28515625" style="140" customWidth="1"/>
    <col min="11262" max="11276" width="0" style="140" hidden="1" customWidth="1"/>
    <col min="11277" max="11277" width="11.140625" style="140" customWidth="1"/>
    <col min="11278" max="11278" width="9.28515625" style="140" customWidth="1"/>
    <col min="11279" max="11279" width="12.85546875" style="140" customWidth="1"/>
    <col min="11280" max="11280" width="10.5703125" style="140" customWidth="1"/>
    <col min="11281" max="11281" width="11" style="140" customWidth="1"/>
    <col min="11282" max="11282" width="12.7109375" style="140" bestFit="1" customWidth="1"/>
    <col min="11283" max="11283" width="11.28515625" style="140" customWidth="1"/>
    <col min="11284" max="11284" width="13" style="140" customWidth="1"/>
    <col min="11285" max="11285" width="11.28515625" style="140" customWidth="1"/>
    <col min="11286" max="11286" width="12.5703125" style="140" customWidth="1"/>
    <col min="11287" max="11287" width="4.5703125" style="140" customWidth="1"/>
    <col min="11288" max="11506" width="9.140625" style="140"/>
    <col min="11507" max="11507" width="14.28515625" style="140" customWidth="1"/>
    <col min="11508" max="11508" width="10.85546875" style="140" customWidth="1"/>
    <col min="11509" max="11509" width="10.140625" style="140" bestFit="1" customWidth="1"/>
    <col min="11510" max="11510" width="10.7109375" style="140" customWidth="1"/>
    <col min="11511" max="11511" width="11.28515625" style="140" customWidth="1"/>
    <col min="11512" max="11512" width="10.42578125" style="140" customWidth="1"/>
    <col min="11513" max="11513" width="11.42578125" style="140" customWidth="1"/>
    <col min="11514" max="11515" width="10" style="140" bestFit="1" customWidth="1"/>
    <col min="11516" max="11516" width="11.5703125" style="140" customWidth="1"/>
    <col min="11517" max="11517" width="16.28515625" style="140" customWidth="1"/>
    <col min="11518" max="11532" width="0" style="140" hidden="1" customWidth="1"/>
    <col min="11533" max="11533" width="11.140625" style="140" customWidth="1"/>
    <col min="11534" max="11534" width="9.28515625" style="140" customWidth="1"/>
    <col min="11535" max="11535" width="12.85546875" style="140" customWidth="1"/>
    <col min="11536" max="11536" width="10.5703125" style="140" customWidth="1"/>
    <col min="11537" max="11537" width="11" style="140" customWidth="1"/>
    <col min="11538" max="11538" width="12.7109375" style="140" bestFit="1" customWidth="1"/>
    <col min="11539" max="11539" width="11.28515625" style="140" customWidth="1"/>
    <col min="11540" max="11540" width="13" style="140" customWidth="1"/>
    <col min="11541" max="11541" width="11.28515625" style="140" customWidth="1"/>
    <col min="11542" max="11542" width="12.5703125" style="140" customWidth="1"/>
    <col min="11543" max="11543" width="4.5703125" style="140" customWidth="1"/>
    <col min="11544" max="11762" width="9.140625" style="140"/>
    <col min="11763" max="11763" width="14.28515625" style="140" customWidth="1"/>
    <col min="11764" max="11764" width="10.85546875" style="140" customWidth="1"/>
    <col min="11765" max="11765" width="10.140625" style="140" bestFit="1" customWidth="1"/>
    <col min="11766" max="11766" width="10.7109375" style="140" customWidth="1"/>
    <col min="11767" max="11767" width="11.28515625" style="140" customWidth="1"/>
    <col min="11768" max="11768" width="10.42578125" style="140" customWidth="1"/>
    <col min="11769" max="11769" width="11.42578125" style="140" customWidth="1"/>
    <col min="11770" max="11771" width="10" style="140" bestFit="1" customWidth="1"/>
    <col min="11772" max="11772" width="11.5703125" style="140" customWidth="1"/>
    <col min="11773" max="11773" width="16.28515625" style="140" customWidth="1"/>
    <col min="11774" max="11788" width="0" style="140" hidden="1" customWidth="1"/>
    <col min="11789" max="11789" width="11.140625" style="140" customWidth="1"/>
    <col min="11790" max="11790" width="9.28515625" style="140" customWidth="1"/>
    <col min="11791" max="11791" width="12.85546875" style="140" customWidth="1"/>
    <col min="11792" max="11792" width="10.5703125" style="140" customWidth="1"/>
    <col min="11793" max="11793" width="11" style="140" customWidth="1"/>
    <col min="11794" max="11794" width="12.7109375" style="140" bestFit="1" customWidth="1"/>
    <col min="11795" max="11795" width="11.28515625" style="140" customWidth="1"/>
    <col min="11796" max="11796" width="13" style="140" customWidth="1"/>
    <col min="11797" max="11797" width="11.28515625" style="140" customWidth="1"/>
    <col min="11798" max="11798" width="12.5703125" style="140" customWidth="1"/>
    <col min="11799" max="11799" width="4.5703125" style="140" customWidth="1"/>
    <col min="11800" max="12018" width="9.140625" style="140"/>
    <col min="12019" max="12019" width="14.28515625" style="140" customWidth="1"/>
    <col min="12020" max="12020" width="10.85546875" style="140" customWidth="1"/>
    <col min="12021" max="12021" width="10.140625" style="140" bestFit="1" customWidth="1"/>
    <col min="12022" max="12022" width="10.7109375" style="140" customWidth="1"/>
    <col min="12023" max="12023" width="11.28515625" style="140" customWidth="1"/>
    <col min="12024" max="12024" width="10.42578125" style="140" customWidth="1"/>
    <col min="12025" max="12025" width="11.42578125" style="140" customWidth="1"/>
    <col min="12026" max="12027" width="10" style="140" bestFit="1" customWidth="1"/>
    <col min="12028" max="12028" width="11.5703125" style="140" customWidth="1"/>
    <col min="12029" max="12029" width="16.28515625" style="140" customWidth="1"/>
    <col min="12030" max="12044" width="0" style="140" hidden="1" customWidth="1"/>
    <col min="12045" max="12045" width="11.140625" style="140" customWidth="1"/>
    <col min="12046" max="12046" width="9.28515625" style="140" customWidth="1"/>
    <col min="12047" max="12047" width="12.85546875" style="140" customWidth="1"/>
    <col min="12048" max="12048" width="10.5703125" style="140" customWidth="1"/>
    <col min="12049" max="12049" width="11" style="140" customWidth="1"/>
    <col min="12050" max="12050" width="12.7109375" style="140" bestFit="1" customWidth="1"/>
    <col min="12051" max="12051" width="11.28515625" style="140" customWidth="1"/>
    <col min="12052" max="12052" width="13" style="140" customWidth="1"/>
    <col min="12053" max="12053" width="11.28515625" style="140" customWidth="1"/>
    <col min="12054" max="12054" width="12.5703125" style="140" customWidth="1"/>
    <col min="12055" max="12055" width="4.5703125" style="140" customWidth="1"/>
    <col min="12056" max="12274" width="9.140625" style="140"/>
    <col min="12275" max="12275" width="14.28515625" style="140" customWidth="1"/>
    <col min="12276" max="12276" width="10.85546875" style="140" customWidth="1"/>
    <col min="12277" max="12277" width="10.140625" style="140" bestFit="1" customWidth="1"/>
    <col min="12278" max="12278" width="10.7109375" style="140" customWidth="1"/>
    <col min="12279" max="12279" width="11.28515625" style="140" customWidth="1"/>
    <col min="12280" max="12280" width="10.42578125" style="140" customWidth="1"/>
    <col min="12281" max="12281" width="11.42578125" style="140" customWidth="1"/>
    <col min="12282" max="12283" width="10" style="140" bestFit="1" customWidth="1"/>
    <col min="12284" max="12284" width="11.5703125" style="140" customWidth="1"/>
    <col min="12285" max="12285" width="16.28515625" style="140" customWidth="1"/>
    <col min="12286" max="12300" width="0" style="140" hidden="1" customWidth="1"/>
    <col min="12301" max="12301" width="11.140625" style="140" customWidth="1"/>
    <col min="12302" max="12302" width="9.28515625" style="140" customWidth="1"/>
    <col min="12303" max="12303" width="12.85546875" style="140" customWidth="1"/>
    <col min="12304" max="12304" width="10.5703125" style="140" customWidth="1"/>
    <col min="12305" max="12305" width="11" style="140" customWidth="1"/>
    <col min="12306" max="12306" width="12.7109375" style="140" bestFit="1" customWidth="1"/>
    <col min="12307" max="12307" width="11.28515625" style="140" customWidth="1"/>
    <col min="12308" max="12308" width="13" style="140" customWidth="1"/>
    <col min="12309" max="12309" width="11.28515625" style="140" customWidth="1"/>
    <col min="12310" max="12310" width="12.5703125" style="140" customWidth="1"/>
    <col min="12311" max="12311" width="4.5703125" style="140" customWidth="1"/>
    <col min="12312" max="12530" width="9.140625" style="140"/>
    <col min="12531" max="12531" width="14.28515625" style="140" customWidth="1"/>
    <col min="12532" max="12532" width="10.85546875" style="140" customWidth="1"/>
    <col min="12533" max="12533" width="10.140625" style="140" bestFit="1" customWidth="1"/>
    <col min="12534" max="12534" width="10.7109375" style="140" customWidth="1"/>
    <col min="12535" max="12535" width="11.28515625" style="140" customWidth="1"/>
    <col min="12536" max="12536" width="10.42578125" style="140" customWidth="1"/>
    <col min="12537" max="12537" width="11.42578125" style="140" customWidth="1"/>
    <col min="12538" max="12539" width="10" style="140" bestFit="1" customWidth="1"/>
    <col min="12540" max="12540" width="11.5703125" style="140" customWidth="1"/>
    <col min="12541" max="12541" width="16.28515625" style="140" customWidth="1"/>
    <col min="12542" max="12556" width="0" style="140" hidden="1" customWidth="1"/>
    <col min="12557" max="12557" width="11.140625" style="140" customWidth="1"/>
    <col min="12558" max="12558" width="9.28515625" style="140" customWidth="1"/>
    <col min="12559" max="12559" width="12.85546875" style="140" customWidth="1"/>
    <col min="12560" max="12560" width="10.5703125" style="140" customWidth="1"/>
    <col min="12561" max="12561" width="11" style="140" customWidth="1"/>
    <col min="12562" max="12562" width="12.7109375" style="140" bestFit="1" customWidth="1"/>
    <col min="12563" max="12563" width="11.28515625" style="140" customWidth="1"/>
    <col min="12564" max="12564" width="13" style="140" customWidth="1"/>
    <col min="12565" max="12565" width="11.28515625" style="140" customWidth="1"/>
    <col min="12566" max="12566" width="12.5703125" style="140" customWidth="1"/>
    <col min="12567" max="12567" width="4.5703125" style="140" customWidth="1"/>
    <col min="12568" max="12786" width="9.140625" style="140"/>
    <col min="12787" max="12787" width="14.28515625" style="140" customWidth="1"/>
    <col min="12788" max="12788" width="10.85546875" style="140" customWidth="1"/>
    <col min="12789" max="12789" width="10.140625" style="140" bestFit="1" customWidth="1"/>
    <col min="12790" max="12790" width="10.7109375" style="140" customWidth="1"/>
    <col min="12791" max="12791" width="11.28515625" style="140" customWidth="1"/>
    <col min="12792" max="12792" width="10.42578125" style="140" customWidth="1"/>
    <col min="12793" max="12793" width="11.42578125" style="140" customWidth="1"/>
    <col min="12794" max="12795" width="10" style="140" bestFit="1" customWidth="1"/>
    <col min="12796" max="12796" width="11.5703125" style="140" customWidth="1"/>
    <col min="12797" max="12797" width="16.28515625" style="140" customWidth="1"/>
    <col min="12798" max="12812" width="0" style="140" hidden="1" customWidth="1"/>
    <col min="12813" max="12813" width="11.140625" style="140" customWidth="1"/>
    <col min="12814" max="12814" width="9.28515625" style="140" customWidth="1"/>
    <col min="12815" max="12815" width="12.85546875" style="140" customWidth="1"/>
    <col min="12816" max="12816" width="10.5703125" style="140" customWidth="1"/>
    <col min="12817" max="12817" width="11" style="140" customWidth="1"/>
    <col min="12818" max="12818" width="12.7109375" style="140" bestFit="1" customWidth="1"/>
    <col min="12819" max="12819" width="11.28515625" style="140" customWidth="1"/>
    <col min="12820" max="12820" width="13" style="140" customWidth="1"/>
    <col min="12821" max="12821" width="11.28515625" style="140" customWidth="1"/>
    <col min="12822" max="12822" width="12.5703125" style="140" customWidth="1"/>
    <col min="12823" max="12823" width="4.5703125" style="140" customWidth="1"/>
    <col min="12824" max="13042" width="9.140625" style="140"/>
    <col min="13043" max="13043" width="14.28515625" style="140" customWidth="1"/>
    <col min="13044" max="13044" width="10.85546875" style="140" customWidth="1"/>
    <col min="13045" max="13045" width="10.140625" style="140" bestFit="1" customWidth="1"/>
    <col min="13046" max="13046" width="10.7109375" style="140" customWidth="1"/>
    <col min="13047" max="13047" width="11.28515625" style="140" customWidth="1"/>
    <col min="13048" max="13048" width="10.42578125" style="140" customWidth="1"/>
    <col min="13049" max="13049" width="11.42578125" style="140" customWidth="1"/>
    <col min="13050" max="13051" width="10" style="140" bestFit="1" customWidth="1"/>
    <col min="13052" max="13052" width="11.5703125" style="140" customWidth="1"/>
    <col min="13053" max="13053" width="16.28515625" style="140" customWidth="1"/>
    <col min="13054" max="13068" width="0" style="140" hidden="1" customWidth="1"/>
    <col min="13069" max="13069" width="11.140625" style="140" customWidth="1"/>
    <col min="13070" max="13070" width="9.28515625" style="140" customWidth="1"/>
    <col min="13071" max="13071" width="12.85546875" style="140" customWidth="1"/>
    <col min="13072" max="13072" width="10.5703125" style="140" customWidth="1"/>
    <col min="13073" max="13073" width="11" style="140" customWidth="1"/>
    <col min="13074" max="13074" width="12.7109375" style="140" bestFit="1" customWidth="1"/>
    <col min="13075" max="13075" width="11.28515625" style="140" customWidth="1"/>
    <col min="13076" max="13076" width="13" style="140" customWidth="1"/>
    <col min="13077" max="13077" width="11.28515625" style="140" customWidth="1"/>
    <col min="13078" max="13078" width="12.5703125" style="140" customWidth="1"/>
    <col min="13079" max="13079" width="4.5703125" style="140" customWidth="1"/>
    <col min="13080" max="13298" width="9.140625" style="140"/>
    <col min="13299" max="13299" width="14.28515625" style="140" customWidth="1"/>
    <col min="13300" max="13300" width="10.85546875" style="140" customWidth="1"/>
    <col min="13301" max="13301" width="10.140625" style="140" bestFit="1" customWidth="1"/>
    <col min="13302" max="13302" width="10.7109375" style="140" customWidth="1"/>
    <col min="13303" max="13303" width="11.28515625" style="140" customWidth="1"/>
    <col min="13304" max="13304" width="10.42578125" style="140" customWidth="1"/>
    <col min="13305" max="13305" width="11.42578125" style="140" customWidth="1"/>
    <col min="13306" max="13307" width="10" style="140" bestFit="1" customWidth="1"/>
    <col min="13308" max="13308" width="11.5703125" style="140" customWidth="1"/>
    <col min="13309" max="13309" width="16.28515625" style="140" customWidth="1"/>
    <col min="13310" max="13324" width="0" style="140" hidden="1" customWidth="1"/>
    <col min="13325" max="13325" width="11.140625" style="140" customWidth="1"/>
    <col min="13326" max="13326" width="9.28515625" style="140" customWidth="1"/>
    <col min="13327" max="13327" width="12.85546875" style="140" customWidth="1"/>
    <col min="13328" max="13328" width="10.5703125" style="140" customWidth="1"/>
    <col min="13329" max="13329" width="11" style="140" customWidth="1"/>
    <col min="13330" max="13330" width="12.7109375" style="140" bestFit="1" customWidth="1"/>
    <col min="13331" max="13331" width="11.28515625" style="140" customWidth="1"/>
    <col min="13332" max="13332" width="13" style="140" customWidth="1"/>
    <col min="13333" max="13333" width="11.28515625" style="140" customWidth="1"/>
    <col min="13334" max="13334" width="12.5703125" style="140" customWidth="1"/>
    <col min="13335" max="13335" width="4.5703125" style="140" customWidth="1"/>
    <col min="13336" max="13554" width="9.140625" style="140"/>
    <col min="13555" max="13555" width="14.28515625" style="140" customWidth="1"/>
    <col min="13556" max="13556" width="10.85546875" style="140" customWidth="1"/>
    <col min="13557" max="13557" width="10.140625" style="140" bestFit="1" customWidth="1"/>
    <col min="13558" max="13558" width="10.7109375" style="140" customWidth="1"/>
    <col min="13559" max="13559" width="11.28515625" style="140" customWidth="1"/>
    <col min="13560" max="13560" width="10.42578125" style="140" customWidth="1"/>
    <col min="13561" max="13561" width="11.42578125" style="140" customWidth="1"/>
    <col min="13562" max="13563" width="10" style="140" bestFit="1" customWidth="1"/>
    <col min="13564" max="13564" width="11.5703125" style="140" customWidth="1"/>
    <col min="13565" max="13565" width="16.28515625" style="140" customWidth="1"/>
    <col min="13566" max="13580" width="0" style="140" hidden="1" customWidth="1"/>
    <col min="13581" max="13581" width="11.140625" style="140" customWidth="1"/>
    <col min="13582" max="13582" width="9.28515625" style="140" customWidth="1"/>
    <col min="13583" max="13583" width="12.85546875" style="140" customWidth="1"/>
    <col min="13584" max="13584" width="10.5703125" style="140" customWidth="1"/>
    <col min="13585" max="13585" width="11" style="140" customWidth="1"/>
    <col min="13586" max="13586" width="12.7109375" style="140" bestFit="1" customWidth="1"/>
    <col min="13587" max="13587" width="11.28515625" style="140" customWidth="1"/>
    <col min="13588" max="13588" width="13" style="140" customWidth="1"/>
    <col min="13589" max="13589" width="11.28515625" style="140" customWidth="1"/>
    <col min="13590" max="13590" width="12.5703125" style="140" customWidth="1"/>
    <col min="13591" max="13591" width="4.5703125" style="140" customWidth="1"/>
    <col min="13592" max="13810" width="9.140625" style="140"/>
    <col min="13811" max="13811" width="14.28515625" style="140" customWidth="1"/>
    <col min="13812" max="13812" width="10.85546875" style="140" customWidth="1"/>
    <col min="13813" max="13813" width="10.140625" style="140" bestFit="1" customWidth="1"/>
    <col min="13814" max="13814" width="10.7109375" style="140" customWidth="1"/>
    <col min="13815" max="13815" width="11.28515625" style="140" customWidth="1"/>
    <col min="13816" max="13816" width="10.42578125" style="140" customWidth="1"/>
    <col min="13817" max="13817" width="11.42578125" style="140" customWidth="1"/>
    <col min="13818" max="13819" width="10" style="140" bestFit="1" customWidth="1"/>
    <col min="13820" max="13820" width="11.5703125" style="140" customWidth="1"/>
    <col min="13821" max="13821" width="16.28515625" style="140" customWidth="1"/>
    <col min="13822" max="13836" width="0" style="140" hidden="1" customWidth="1"/>
    <col min="13837" max="13837" width="11.140625" style="140" customWidth="1"/>
    <col min="13838" max="13838" width="9.28515625" style="140" customWidth="1"/>
    <col min="13839" max="13839" width="12.85546875" style="140" customWidth="1"/>
    <col min="13840" max="13840" width="10.5703125" style="140" customWidth="1"/>
    <col min="13841" max="13841" width="11" style="140" customWidth="1"/>
    <col min="13842" max="13842" width="12.7109375" style="140" bestFit="1" customWidth="1"/>
    <col min="13843" max="13843" width="11.28515625" style="140" customWidth="1"/>
    <col min="13844" max="13844" width="13" style="140" customWidth="1"/>
    <col min="13845" max="13845" width="11.28515625" style="140" customWidth="1"/>
    <col min="13846" max="13846" width="12.5703125" style="140" customWidth="1"/>
    <col min="13847" max="13847" width="4.5703125" style="140" customWidth="1"/>
    <col min="13848" max="14066" width="9.140625" style="140"/>
    <col min="14067" max="14067" width="14.28515625" style="140" customWidth="1"/>
    <col min="14068" max="14068" width="10.85546875" style="140" customWidth="1"/>
    <col min="14069" max="14069" width="10.140625" style="140" bestFit="1" customWidth="1"/>
    <col min="14070" max="14070" width="10.7109375" style="140" customWidth="1"/>
    <col min="14071" max="14071" width="11.28515625" style="140" customWidth="1"/>
    <col min="14072" max="14072" width="10.42578125" style="140" customWidth="1"/>
    <col min="14073" max="14073" width="11.42578125" style="140" customWidth="1"/>
    <col min="14074" max="14075" width="10" style="140" bestFit="1" customWidth="1"/>
    <col min="14076" max="14076" width="11.5703125" style="140" customWidth="1"/>
    <col min="14077" max="14077" width="16.28515625" style="140" customWidth="1"/>
    <col min="14078" max="14092" width="0" style="140" hidden="1" customWidth="1"/>
    <col min="14093" max="14093" width="11.140625" style="140" customWidth="1"/>
    <col min="14094" max="14094" width="9.28515625" style="140" customWidth="1"/>
    <col min="14095" max="14095" width="12.85546875" style="140" customWidth="1"/>
    <col min="14096" max="14096" width="10.5703125" style="140" customWidth="1"/>
    <col min="14097" max="14097" width="11" style="140" customWidth="1"/>
    <col min="14098" max="14098" width="12.7109375" style="140" bestFit="1" customWidth="1"/>
    <col min="14099" max="14099" width="11.28515625" style="140" customWidth="1"/>
    <col min="14100" max="14100" width="13" style="140" customWidth="1"/>
    <col min="14101" max="14101" width="11.28515625" style="140" customWidth="1"/>
    <col min="14102" max="14102" width="12.5703125" style="140" customWidth="1"/>
    <col min="14103" max="14103" width="4.5703125" style="140" customWidth="1"/>
    <col min="14104" max="14322" width="9.140625" style="140"/>
    <col min="14323" max="14323" width="14.28515625" style="140" customWidth="1"/>
    <col min="14324" max="14324" width="10.85546875" style="140" customWidth="1"/>
    <col min="14325" max="14325" width="10.140625" style="140" bestFit="1" customWidth="1"/>
    <col min="14326" max="14326" width="10.7109375" style="140" customWidth="1"/>
    <col min="14327" max="14327" width="11.28515625" style="140" customWidth="1"/>
    <col min="14328" max="14328" width="10.42578125" style="140" customWidth="1"/>
    <col min="14329" max="14329" width="11.42578125" style="140" customWidth="1"/>
    <col min="14330" max="14331" width="10" style="140" bestFit="1" customWidth="1"/>
    <col min="14332" max="14332" width="11.5703125" style="140" customWidth="1"/>
    <col min="14333" max="14333" width="16.28515625" style="140" customWidth="1"/>
    <col min="14334" max="14348" width="0" style="140" hidden="1" customWidth="1"/>
    <col min="14349" max="14349" width="11.140625" style="140" customWidth="1"/>
    <col min="14350" max="14350" width="9.28515625" style="140" customWidth="1"/>
    <col min="14351" max="14351" width="12.85546875" style="140" customWidth="1"/>
    <col min="14352" max="14352" width="10.5703125" style="140" customWidth="1"/>
    <col min="14353" max="14353" width="11" style="140" customWidth="1"/>
    <col min="14354" max="14354" width="12.7109375" style="140" bestFit="1" customWidth="1"/>
    <col min="14355" max="14355" width="11.28515625" style="140" customWidth="1"/>
    <col min="14356" max="14356" width="13" style="140" customWidth="1"/>
    <col min="14357" max="14357" width="11.28515625" style="140" customWidth="1"/>
    <col min="14358" max="14358" width="12.5703125" style="140" customWidth="1"/>
    <col min="14359" max="14359" width="4.5703125" style="140" customWidth="1"/>
    <col min="14360" max="14578" width="9.140625" style="140"/>
    <col min="14579" max="14579" width="14.28515625" style="140" customWidth="1"/>
    <col min="14580" max="14580" width="10.85546875" style="140" customWidth="1"/>
    <col min="14581" max="14581" width="10.140625" style="140" bestFit="1" customWidth="1"/>
    <col min="14582" max="14582" width="10.7109375" style="140" customWidth="1"/>
    <col min="14583" max="14583" width="11.28515625" style="140" customWidth="1"/>
    <col min="14584" max="14584" width="10.42578125" style="140" customWidth="1"/>
    <col min="14585" max="14585" width="11.42578125" style="140" customWidth="1"/>
    <col min="14586" max="14587" width="10" style="140" bestFit="1" customWidth="1"/>
    <col min="14588" max="14588" width="11.5703125" style="140" customWidth="1"/>
    <col min="14589" max="14589" width="16.28515625" style="140" customWidth="1"/>
    <col min="14590" max="14604" width="0" style="140" hidden="1" customWidth="1"/>
    <col min="14605" max="14605" width="11.140625" style="140" customWidth="1"/>
    <col min="14606" max="14606" width="9.28515625" style="140" customWidth="1"/>
    <col min="14607" max="14607" width="12.85546875" style="140" customWidth="1"/>
    <col min="14608" max="14608" width="10.5703125" style="140" customWidth="1"/>
    <col min="14609" max="14609" width="11" style="140" customWidth="1"/>
    <col min="14610" max="14610" width="12.7109375" style="140" bestFit="1" customWidth="1"/>
    <col min="14611" max="14611" width="11.28515625" style="140" customWidth="1"/>
    <col min="14612" max="14612" width="13" style="140" customWidth="1"/>
    <col min="14613" max="14613" width="11.28515625" style="140" customWidth="1"/>
    <col min="14614" max="14614" width="12.5703125" style="140" customWidth="1"/>
    <col min="14615" max="14615" width="4.5703125" style="140" customWidth="1"/>
    <col min="14616" max="14834" width="9.140625" style="140"/>
    <col min="14835" max="14835" width="14.28515625" style="140" customWidth="1"/>
    <col min="14836" max="14836" width="10.85546875" style="140" customWidth="1"/>
    <col min="14837" max="14837" width="10.140625" style="140" bestFit="1" customWidth="1"/>
    <col min="14838" max="14838" width="10.7109375" style="140" customWidth="1"/>
    <col min="14839" max="14839" width="11.28515625" style="140" customWidth="1"/>
    <col min="14840" max="14840" width="10.42578125" style="140" customWidth="1"/>
    <col min="14841" max="14841" width="11.42578125" style="140" customWidth="1"/>
    <col min="14842" max="14843" width="10" style="140" bestFit="1" customWidth="1"/>
    <col min="14844" max="14844" width="11.5703125" style="140" customWidth="1"/>
    <col min="14845" max="14845" width="16.28515625" style="140" customWidth="1"/>
    <col min="14846" max="14860" width="0" style="140" hidden="1" customWidth="1"/>
    <col min="14861" max="14861" width="11.140625" style="140" customWidth="1"/>
    <col min="14862" max="14862" width="9.28515625" style="140" customWidth="1"/>
    <col min="14863" max="14863" width="12.85546875" style="140" customWidth="1"/>
    <col min="14864" max="14864" width="10.5703125" style="140" customWidth="1"/>
    <col min="14865" max="14865" width="11" style="140" customWidth="1"/>
    <col min="14866" max="14866" width="12.7109375" style="140" bestFit="1" customWidth="1"/>
    <col min="14867" max="14867" width="11.28515625" style="140" customWidth="1"/>
    <col min="14868" max="14868" width="13" style="140" customWidth="1"/>
    <col min="14869" max="14869" width="11.28515625" style="140" customWidth="1"/>
    <col min="14870" max="14870" width="12.5703125" style="140" customWidth="1"/>
    <col min="14871" max="14871" width="4.5703125" style="140" customWidth="1"/>
    <col min="14872" max="15090" width="9.140625" style="140"/>
    <col min="15091" max="15091" width="14.28515625" style="140" customWidth="1"/>
    <col min="15092" max="15092" width="10.85546875" style="140" customWidth="1"/>
    <col min="15093" max="15093" width="10.140625" style="140" bestFit="1" customWidth="1"/>
    <col min="15094" max="15094" width="10.7109375" style="140" customWidth="1"/>
    <col min="15095" max="15095" width="11.28515625" style="140" customWidth="1"/>
    <col min="15096" max="15096" width="10.42578125" style="140" customWidth="1"/>
    <col min="15097" max="15097" width="11.42578125" style="140" customWidth="1"/>
    <col min="15098" max="15099" width="10" style="140" bestFit="1" customWidth="1"/>
    <col min="15100" max="15100" width="11.5703125" style="140" customWidth="1"/>
    <col min="15101" max="15101" width="16.28515625" style="140" customWidth="1"/>
    <col min="15102" max="15116" width="0" style="140" hidden="1" customWidth="1"/>
    <col min="15117" max="15117" width="11.140625" style="140" customWidth="1"/>
    <col min="15118" max="15118" width="9.28515625" style="140" customWidth="1"/>
    <col min="15119" max="15119" width="12.85546875" style="140" customWidth="1"/>
    <col min="15120" max="15120" width="10.5703125" style="140" customWidth="1"/>
    <col min="15121" max="15121" width="11" style="140" customWidth="1"/>
    <col min="15122" max="15122" width="12.7109375" style="140" bestFit="1" customWidth="1"/>
    <col min="15123" max="15123" width="11.28515625" style="140" customWidth="1"/>
    <col min="15124" max="15124" width="13" style="140" customWidth="1"/>
    <col min="15125" max="15125" width="11.28515625" style="140" customWidth="1"/>
    <col min="15126" max="15126" width="12.5703125" style="140" customWidth="1"/>
    <col min="15127" max="15127" width="4.5703125" style="140" customWidth="1"/>
    <col min="15128" max="15346" width="9.140625" style="140"/>
    <col min="15347" max="15347" width="14.28515625" style="140" customWidth="1"/>
    <col min="15348" max="15348" width="10.85546875" style="140" customWidth="1"/>
    <col min="15349" max="15349" width="10.140625" style="140" bestFit="1" customWidth="1"/>
    <col min="15350" max="15350" width="10.7109375" style="140" customWidth="1"/>
    <col min="15351" max="15351" width="11.28515625" style="140" customWidth="1"/>
    <col min="15352" max="15352" width="10.42578125" style="140" customWidth="1"/>
    <col min="15353" max="15353" width="11.42578125" style="140" customWidth="1"/>
    <col min="15354" max="15355" width="10" style="140" bestFit="1" customWidth="1"/>
    <col min="15356" max="15356" width="11.5703125" style="140" customWidth="1"/>
    <col min="15357" max="15357" width="16.28515625" style="140" customWidth="1"/>
    <col min="15358" max="15372" width="0" style="140" hidden="1" customWidth="1"/>
    <col min="15373" max="15373" width="11.140625" style="140" customWidth="1"/>
    <col min="15374" max="15374" width="9.28515625" style="140" customWidth="1"/>
    <col min="15375" max="15375" width="12.85546875" style="140" customWidth="1"/>
    <col min="15376" max="15376" width="10.5703125" style="140" customWidth="1"/>
    <col min="15377" max="15377" width="11" style="140" customWidth="1"/>
    <col min="15378" max="15378" width="12.7109375" style="140" bestFit="1" customWidth="1"/>
    <col min="15379" max="15379" width="11.28515625" style="140" customWidth="1"/>
    <col min="15380" max="15380" width="13" style="140" customWidth="1"/>
    <col min="15381" max="15381" width="11.28515625" style="140" customWidth="1"/>
    <col min="15382" max="15382" width="12.5703125" style="140" customWidth="1"/>
    <col min="15383" max="15383" width="4.5703125" style="140" customWidth="1"/>
    <col min="15384" max="15602" width="9.140625" style="140"/>
    <col min="15603" max="15603" width="14.28515625" style="140" customWidth="1"/>
    <col min="15604" max="15604" width="10.85546875" style="140" customWidth="1"/>
    <col min="15605" max="15605" width="10.140625" style="140" bestFit="1" customWidth="1"/>
    <col min="15606" max="15606" width="10.7109375" style="140" customWidth="1"/>
    <col min="15607" max="15607" width="11.28515625" style="140" customWidth="1"/>
    <col min="15608" max="15608" width="10.42578125" style="140" customWidth="1"/>
    <col min="15609" max="15609" width="11.42578125" style="140" customWidth="1"/>
    <col min="15610" max="15611" width="10" style="140" bestFit="1" customWidth="1"/>
    <col min="15612" max="15612" width="11.5703125" style="140" customWidth="1"/>
    <col min="15613" max="15613" width="16.28515625" style="140" customWidth="1"/>
    <col min="15614" max="15628" width="0" style="140" hidden="1" customWidth="1"/>
    <col min="15629" max="15629" width="11.140625" style="140" customWidth="1"/>
    <col min="15630" max="15630" width="9.28515625" style="140" customWidth="1"/>
    <col min="15631" max="15631" width="12.85546875" style="140" customWidth="1"/>
    <col min="15632" max="15632" width="10.5703125" style="140" customWidth="1"/>
    <col min="15633" max="15633" width="11" style="140" customWidth="1"/>
    <col min="15634" max="15634" width="12.7109375" style="140" bestFit="1" customWidth="1"/>
    <col min="15635" max="15635" width="11.28515625" style="140" customWidth="1"/>
    <col min="15636" max="15636" width="13" style="140" customWidth="1"/>
    <col min="15637" max="15637" width="11.28515625" style="140" customWidth="1"/>
    <col min="15638" max="15638" width="12.5703125" style="140" customWidth="1"/>
    <col min="15639" max="15639" width="4.5703125" style="140" customWidth="1"/>
    <col min="15640" max="15858" width="9.140625" style="140"/>
    <col min="15859" max="15859" width="14.28515625" style="140" customWidth="1"/>
    <col min="15860" max="15860" width="10.85546875" style="140" customWidth="1"/>
    <col min="15861" max="15861" width="10.140625" style="140" bestFit="1" customWidth="1"/>
    <col min="15862" max="15862" width="10.7109375" style="140" customWidth="1"/>
    <col min="15863" max="15863" width="11.28515625" style="140" customWidth="1"/>
    <col min="15864" max="15864" width="10.42578125" style="140" customWidth="1"/>
    <col min="15865" max="15865" width="11.42578125" style="140" customWidth="1"/>
    <col min="15866" max="15867" width="10" style="140" bestFit="1" customWidth="1"/>
    <col min="15868" max="15868" width="11.5703125" style="140" customWidth="1"/>
    <col min="15869" max="15869" width="16.28515625" style="140" customWidth="1"/>
    <col min="15870" max="15884" width="0" style="140" hidden="1" customWidth="1"/>
    <col min="15885" max="15885" width="11.140625" style="140" customWidth="1"/>
    <col min="15886" max="15886" width="9.28515625" style="140" customWidth="1"/>
    <col min="15887" max="15887" width="12.85546875" style="140" customWidth="1"/>
    <col min="15888" max="15888" width="10.5703125" style="140" customWidth="1"/>
    <col min="15889" max="15889" width="11" style="140" customWidth="1"/>
    <col min="15890" max="15890" width="12.7109375" style="140" bestFit="1" customWidth="1"/>
    <col min="15891" max="15891" width="11.28515625" style="140" customWidth="1"/>
    <col min="15892" max="15892" width="13" style="140" customWidth="1"/>
    <col min="15893" max="15893" width="11.28515625" style="140" customWidth="1"/>
    <col min="15894" max="15894" width="12.5703125" style="140" customWidth="1"/>
    <col min="15895" max="15895" width="4.5703125" style="140" customWidth="1"/>
    <col min="15896" max="16114" width="9.140625" style="140"/>
    <col min="16115" max="16115" width="14.28515625" style="140" customWidth="1"/>
    <col min="16116" max="16116" width="10.85546875" style="140" customWidth="1"/>
    <col min="16117" max="16117" width="10.140625" style="140" bestFit="1" customWidth="1"/>
    <col min="16118" max="16118" width="10.7109375" style="140" customWidth="1"/>
    <col min="16119" max="16119" width="11.28515625" style="140" customWidth="1"/>
    <col min="16120" max="16120" width="10.42578125" style="140" customWidth="1"/>
    <col min="16121" max="16121" width="11.42578125" style="140" customWidth="1"/>
    <col min="16122" max="16123" width="10" style="140" bestFit="1" customWidth="1"/>
    <col min="16124" max="16124" width="11.5703125" style="140" customWidth="1"/>
    <col min="16125" max="16125" width="16.28515625" style="140" customWidth="1"/>
    <col min="16126" max="16140" width="0" style="140" hidden="1" customWidth="1"/>
    <col min="16141" max="16141" width="11.140625" style="140" customWidth="1"/>
    <col min="16142" max="16142" width="9.28515625" style="140" customWidth="1"/>
    <col min="16143" max="16143" width="12.85546875" style="140" customWidth="1"/>
    <col min="16144" max="16144" width="10.5703125" style="140" customWidth="1"/>
    <col min="16145" max="16145" width="11" style="140" customWidth="1"/>
    <col min="16146" max="16146" width="12.7109375" style="140" bestFit="1" customWidth="1"/>
    <col min="16147" max="16147" width="11.28515625" style="140" customWidth="1"/>
    <col min="16148" max="16148" width="13" style="140" customWidth="1"/>
    <col min="16149" max="16149" width="11.28515625" style="140" customWidth="1"/>
    <col min="16150" max="16150" width="12.5703125" style="140" customWidth="1"/>
    <col min="16151" max="16151" width="4.5703125" style="140" customWidth="1"/>
    <col min="16152" max="16384" width="9.140625" style="140"/>
  </cols>
  <sheetData>
    <row r="1" spans="1:23" ht="24.95" customHeight="1" thickBot="1">
      <c r="A1" s="173"/>
      <c r="B1" s="174"/>
      <c r="C1" s="174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8"/>
    </row>
    <row r="2" spans="1:23" ht="24.95" customHeight="1" thickBot="1">
      <c r="A2" s="128"/>
      <c r="B2" s="289" t="s">
        <v>394</v>
      </c>
      <c r="C2" s="288"/>
      <c r="D2" s="446" t="s">
        <v>56</v>
      </c>
      <c r="E2" s="447"/>
      <c r="F2" s="448"/>
      <c r="G2" s="133"/>
      <c r="H2" s="139"/>
      <c r="I2" s="289" t="s">
        <v>387</v>
      </c>
      <c r="J2" s="288"/>
      <c r="K2" s="446" t="s">
        <v>65</v>
      </c>
      <c r="L2" s="447"/>
      <c r="M2" s="448"/>
      <c r="N2" s="133"/>
      <c r="O2" s="302"/>
      <c r="P2" s="133"/>
      <c r="Q2" s="133"/>
      <c r="R2" s="133"/>
      <c r="S2" s="133"/>
      <c r="T2" s="133"/>
      <c r="U2" s="133"/>
      <c r="V2" s="133"/>
      <c r="W2" s="149"/>
    </row>
    <row r="3" spans="1:23" ht="24.95" customHeight="1" thickBot="1">
      <c r="A3" s="128"/>
      <c r="B3" s="418"/>
      <c r="C3" s="133"/>
      <c r="D3" s="133"/>
      <c r="E3" s="133"/>
      <c r="F3" s="133"/>
      <c r="G3" s="133"/>
      <c r="H3" s="139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49"/>
    </row>
    <row r="4" spans="1:23" ht="24.95" customHeight="1" thickBot="1">
      <c r="A4" s="128"/>
      <c r="B4" s="289" t="s">
        <v>395</v>
      </c>
      <c r="C4" s="288"/>
      <c r="D4" s="446" t="s">
        <v>49</v>
      </c>
      <c r="E4" s="447"/>
      <c r="F4" s="448"/>
      <c r="G4" s="133"/>
      <c r="H4" s="139"/>
      <c r="I4" s="289" t="s">
        <v>389</v>
      </c>
      <c r="J4" s="288"/>
      <c r="K4" s="446" t="s">
        <v>51</v>
      </c>
      <c r="L4" s="447"/>
      <c r="M4" s="448"/>
      <c r="N4" s="133"/>
      <c r="O4" s="133"/>
      <c r="P4" s="133"/>
      <c r="Q4" s="133"/>
      <c r="R4" s="133"/>
      <c r="S4" s="133"/>
      <c r="T4" s="133"/>
      <c r="U4" s="133"/>
      <c r="V4" s="133"/>
      <c r="W4" s="149"/>
    </row>
    <row r="5" spans="1:23" ht="24.95" customHeight="1" thickBot="1">
      <c r="A5" s="128"/>
      <c r="B5" s="133"/>
      <c r="C5" s="133"/>
      <c r="D5" s="133"/>
      <c r="E5" s="133"/>
      <c r="F5" s="133"/>
      <c r="G5" s="133"/>
      <c r="H5" s="139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49"/>
    </row>
    <row r="6" spans="1:23" ht="24.95" customHeight="1" thickBot="1">
      <c r="A6" s="128"/>
      <c r="B6" s="289" t="s">
        <v>396</v>
      </c>
      <c r="C6" s="288"/>
      <c r="D6" s="449" t="s">
        <v>45</v>
      </c>
      <c r="E6" s="450"/>
      <c r="F6" s="451"/>
      <c r="G6" s="133"/>
      <c r="H6" s="139"/>
      <c r="I6" s="289" t="s">
        <v>388</v>
      </c>
      <c r="J6" s="288"/>
      <c r="K6" s="446" t="s">
        <v>53</v>
      </c>
      <c r="L6" s="447"/>
      <c r="M6" s="448"/>
      <c r="N6" s="133"/>
      <c r="O6" s="133"/>
      <c r="P6" s="133"/>
      <c r="Q6" s="133"/>
      <c r="R6" s="133"/>
      <c r="S6" s="133"/>
      <c r="T6" s="133"/>
      <c r="U6" s="133"/>
      <c r="V6" s="133"/>
      <c r="W6" s="149"/>
    </row>
    <row r="7" spans="1:23" ht="24.95" customHeight="1" thickBot="1">
      <c r="A7" s="151"/>
      <c r="B7" s="175"/>
      <c r="C7" s="175"/>
      <c r="D7" s="152"/>
      <c r="E7" s="152"/>
      <c r="F7" s="152"/>
      <c r="G7" s="152"/>
      <c r="H7" s="152"/>
      <c r="I7" s="152"/>
      <c r="J7" s="152"/>
      <c r="K7" s="175"/>
      <c r="L7" s="175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3"/>
    </row>
    <row r="8" spans="1:23" ht="24.95" customHeight="1" thickBot="1">
      <c r="A8" s="188"/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86"/>
    </row>
    <row r="9" spans="1:23" ht="24.95" customHeight="1" thickBot="1">
      <c r="A9" s="473" t="s">
        <v>91</v>
      </c>
      <c r="B9" s="474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75"/>
      <c r="R9" s="144"/>
      <c r="S9" s="144"/>
      <c r="T9" s="144"/>
      <c r="U9" s="144"/>
      <c r="V9" s="144"/>
      <c r="W9" s="186"/>
    </row>
    <row r="10" spans="1:23" s="143" customFormat="1" ht="24.95" customHeight="1" thickBot="1">
      <c r="A10" s="141" t="s">
        <v>4</v>
      </c>
      <c r="B10" s="401" t="s">
        <v>380</v>
      </c>
      <c r="C10" s="297" t="s">
        <v>5</v>
      </c>
      <c r="D10" s="298" t="s">
        <v>6</v>
      </c>
      <c r="E10" s="298" t="s">
        <v>28</v>
      </c>
      <c r="F10" s="298" t="s">
        <v>29</v>
      </c>
      <c r="G10" s="298" t="s">
        <v>7</v>
      </c>
      <c r="H10" s="298" t="s">
        <v>8</v>
      </c>
      <c r="I10" s="298" t="s">
        <v>23</v>
      </c>
      <c r="J10" s="298" t="s">
        <v>24</v>
      </c>
      <c r="K10" s="298" t="s">
        <v>9</v>
      </c>
      <c r="L10" s="298" t="s">
        <v>10</v>
      </c>
      <c r="M10" s="298" t="s">
        <v>11</v>
      </c>
      <c r="N10" s="298" t="s">
        <v>25</v>
      </c>
      <c r="O10" s="298" t="s">
        <v>12</v>
      </c>
      <c r="P10" s="298" t="s">
        <v>13</v>
      </c>
      <c r="Q10" s="299" t="s">
        <v>77</v>
      </c>
      <c r="R10" s="142"/>
      <c r="S10" s="142"/>
      <c r="T10" s="142"/>
      <c r="U10" s="142"/>
      <c r="V10" s="142"/>
      <c r="W10" s="187"/>
    </row>
    <row r="11" spans="1:23" s="143" customFormat="1" ht="24.95" customHeight="1" thickBot="1">
      <c r="A11" s="195" t="s">
        <v>1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142"/>
      <c r="S11" s="142"/>
      <c r="T11" s="142" t="s">
        <v>362</v>
      </c>
      <c r="U11" s="142"/>
      <c r="V11" s="142"/>
      <c r="W11" s="187"/>
    </row>
    <row r="12" spans="1:23" s="143" customFormat="1" ht="24.95" customHeight="1" thickBot="1">
      <c r="A12" s="141" t="s">
        <v>2</v>
      </c>
      <c r="B12" s="349"/>
      <c r="C12" s="349"/>
      <c r="D12" s="349"/>
      <c r="E12" s="349"/>
      <c r="F12" s="349"/>
      <c r="G12" s="349"/>
      <c r="H12" s="349"/>
      <c r="I12" s="349"/>
      <c r="J12" s="349"/>
      <c r="K12" s="349"/>
      <c r="L12" s="349"/>
      <c r="M12" s="349"/>
      <c r="N12" s="349"/>
      <c r="O12" s="349">
        <v>2</v>
      </c>
      <c r="P12" s="349"/>
      <c r="Q12" s="349"/>
      <c r="R12" s="142"/>
      <c r="S12" s="142"/>
      <c r="T12" s="142"/>
      <c r="U12" s="142"/>
      <c r="V12" s="142"/>
      <c r="W12" s="187"/>
    </row>
    <row r="13" spans="1:23" s="143" customFormat="1" ht="24.95" customHeight="1" thickBot="1">
      <c r="A13" s="141" t="s">
        <v>3</v>
      </c>
      <c r="B13" s="349"/>
      <c r="C13" s="349"/>
      <c r="D13" s="349"/>
      <c r="E13" s="349"/>
      <c r="F13" s="349"/>
      <c r="G13" s="349"/>
      <c r="H13" s="349"/>
      <c r="I13" s="349"/>
      <c r="J13" s="349"/>
      <c r="K13" s="349"/>
      <c r="L13" s="349"/>
      <c r="M13" s="349"/>
      <c r="N13" s="349"/>
      <c r="O13" s="349">
        <v>1</v>
      </c>
      <c r="P13" s="349"/>
      <c r="Q13" s="349"/>
      <c r="R13" s="142"/>
      <c r="S13" s="142"/>
      <c r="T13" s="142"/>
      <c r="U13" s="142"/>
      <c r="V13" s="142"/>
      <c r="W13" s="187"/>
    </row>
    <row r="14" spans="1:23" s="143" customFormat="1" ht="24.95" customHeight="1" thickBot="1">
      <c r="A14" s="141" t="s">
        <v>27</v>
      </c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142"/>
      <c r="S14" s="142"/>
      <c r="T14" s="142"/>
      <c r="U14" s="142"/>
      <c r="V14" s="142"/>
      <c r="W14" s="187"/>
    </row>
    <row r="15" spans="1:23" ht="24.95" customHeight="1" thickBot="1">
      <c r="A15" s="188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86"/>
    </row>
    <row r="16" spans="1:23" ht="24.95" customHeight="1" thickBot="1">
      <c r="A16" s="473" t="s">
        <v>90</v>
      </c>
      <c r="B16" s="474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474"/>
      <c r="N16" s="474"/>
      <c r="O16" s="474"/>
      <c r="P16" s="474"/>
      <c r="Q16" s="475"/>
      <c r="R16" s="144"/>
      <c r="S16" s="144"/>
      <c r="T16" s="144"/>
      <c r="U16" s="144"/>
      <c r="V16" s="144"/>
      <c r="W16" s="186"/>
    </row>
    <row r="17" spans="1:23" s="143" customFormat="1" ht="24.95" customHeight="1" thickBot="1">
      <c r="A17" s="141"/>
      <c r="B17" s="141" t="s">
        <v>380</v>
      </c>
      <c r="C17" s="298" t="s">
        <v>5</v>
      </c>
      <c r="D17" s="298" t="s">
        <v>6</v>
      </c>
      <c r="E17" s="298" t="s">
        <v>30</v>
      </c>
      <c r="F17" s="298" t="s">
        <v>29</v>
      </c>
      <c r="G17" s="298" t="s">
        <v>7</v>
      </c>
      <c r="H17" s="298" t="s">
        <v>8</v>
      </c>
      <c r="I17" s="298" t="s">
        <v>23</v>
      </c>
      <c r="J17" s="298" t="s">
        <v>24</v>
      </c>
      <c r="K17" s="298" t="s">
        <v>9</v>
      </c>
      <c r="L17" s="298" t="s">
        <v>10</v>
      </c>
      <c r="M17" s="298" t="s">
        <v>11</v>
      </c>
      <c r="N17" s="298" t="s">
        <v>25</v>
      </c>
      <c r="O17" s="298" t="s">
        <v>12</v>
      </c>
      <c r="P17" s="298" t="s">
        <v>13</v>
      </c>
      <c r="Q17" s="299" t="s">
        <v>77</v>
      </c>
      <c r="R17" s="142"/>
      <c r="S17" s="142"/>
      <c r="T17" s="142"/>
      <c r="U17" s="142"/>
      <c r="V17" s="142"/>
      <c r="W17" s="187"/>
    </row>
    <row r="18" spans="1:23" s="143" customFormat="1" ht="24.95" customHeight="1" thickBot="1">
      <c r="A18" s="195"/>
      <c r="B18" s="349"/>
      <c r="C18" s="349"/>
      <c r="D18" s="349"/>
      <c r="E18" s="349"/>
      <c r="F18" s="349"/>
      <c r="G18" s="349"/>
      <c r="H18" s="349"/>
      <c r="I18" s="349">
        <v>4</v>
      </c>
      <c r="J18" s="349"/>
      <c r="K18" s="349"/>
      <c r="L18" s="349"/>
      <c r="M18" s="349"/>
      <c r="N18" s="349"/>
      <c r="O18" s="349">
        <v>1</v>
      </c>
      <c r="P18" s="349"/>
      <c r="Q18" s="349"/>
      <c r="R18" s="142"/>
      <c r="S18" s="142"/>
      <c r="T18" s="142"/>
      <c r="U18" s="142"/>
      <c r="V18" s="142"/>
      <c r="W18" s="187"/>
    </row>
    <row r="19" spans="1:23" ht="24.95" customHeight="1" thickBot="1">
      <c r="A19" s="189"/>
      <c r="B19" s="419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86"/>
    </row>
    <row r="20" spans="1:23" ht="24.95" customHeight="1" thickBot="1">
      <c r="A20" s="473" t="s">
        <v>55</v>
      </c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5"/>
      <c r="R20" s="144"/>
      <c r="S20" s="144"/>
      <c r="T20" s="144"/>
      <c r="U20" s="144"/>
      <c r="V20" s="144"/>
      <c r="W20" s="186"/>
    </row>
    <row r="21" spans="1:23" s="143" customFormat="1" ht="24.95" customHeight="1" thickBot="1">
      <c r="A21" s="141" t="s">
        <v>0</v>
      </c>
      <c r="B21" s="401" t="s">
        <v>380</v>
      </c>
      <c r="C21" s="297" t="s">
        <v>5</v>
      </c>
      <c r="D21" s="298" t="s">
        <v>6</v>
      </c>
      <c r="E21" s="298" t="s">
        <v>30</v>
      </c>
      <c r="F21" s="298" t="s">
        <v>29</v>
      </c>
      <c r="G21" s="298" t="s">
        <v>7</v>
      </c>
      <c r="H21" s="298" t="s">
        <v>8</v>
      </c>
      <c r="I21" s="298" t="s">
        <v>23</v>
      </c>
      <c r="J21" s="298" t="s">
        <v>24</v>
      </c>
      <c r="K21" s="298" t="s">
        <v>9</v>
      </c>
      <c r="L21" s="298" t="s">
        <v>10</v>
      </c>
      <c r="M21" s="298" t="s">
        <v>11</v>
      </c>
      <c r="N21" s="298" t="s">
        <v>25</v>
      </c>
      <c r="O21" s="298" t="s">
        <v>12</v>
      </c>
      <c r="P21" s="298" t="s">
        <v>13</v>
      </c>
      <c r="Q21" s="299" t="s">
        <v>77</v>
      </c>
      <c r="R21" s="142"/>
      <c r="S21" s="142"/>
      <c r="T21" s="142"/>
      <c r="U21" s="142"/>
      <c r="V21" s="142"/>
      <c r="W21" s="187"/>
    </row>
    <row r="22" spans="1:23" s="143" customFormat="1" ht="24.95" customHeight="1" thickBot="1">
      <c r="A22" s="141" t="s">
        <v>16</v>
      </c>
      <c r="B22" s="349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  <c r="O22" s="300" t="s">
        <v>88</v>
      </c>
      <c r="P22" s="300" t="s">
        <v>88</v>
      </c>
      <c r="Q22" s="301" t="s">
        <v>88</v>
      </c>
      <c r="R22" s="142"/>
      <c r="S22" s="142"/>
      <c r="T22" s="142"/>
      <c r="U22" s="142"/>
      <c r="V22" s="142"/>
      <c r="W22" s="187"/>
    </row>
    <row r="23" spans="1:23" s="143" customFormat="1" ht="24.95" customHeight="1" thickBot="1">
      <c r="A23" s="141" t="s">
        <v>17</v>
      </c>
      <c r="B23" s="349">
        <v>1</v>
      </c>
      <c r="C23" s="349"/>
      <c r="D23" s="349"/>
      <c r="E23" s="349"/>
      <c r="F23" s="349"/>
      <c r="G23" s="349"/>
      <c r="H23" s="349"/>
      <c r="I23" s="349">
        <v>4</v>
      </c>
      <c r="J23" s="349"/>
      <c r="K23" s="349"/>
      <c r="L23" s="349"/>
      <c r="M23" s="349"/>
      <c r="N23" s="349"/>
      <c r="O23" s="349">
        <v>1</v>
      </c>
      <c r="P23" s="349"/>
      <c r="Q23" s="349"/>
      <c r="R23" s="142"/>
      <c r="S23" s="142"/>
      <c r="T23" s="142"/>
      <c r="U23" s="142"/>
      <c r="V23" s="142"/>
      <c r="W23" s="187"/>
    </row>
    <row r="24" spans="1:23" s="143" customFormat="1" ht="24.95" customHeight="1" thickBot="1">
      <c r="A24" s="141" t="s">
        <v>31</v>
      </c>
      <c r="B24" s="349"/>
      <c r="C24" s="349"/>
      <c r="D24" s="349"/>
      <c r="E24" s="349"/>
      <c r="F24" s="349"/>
      <c r="G24" s="349"/>
      <c r="H24" s="349"/>
      <c r="I24" s="349"/>
      <c r="J24" s="349"/>
      <c r="K24" s="349"/>
      <c r="L24" s="349"/>
      <c r="M24" s="349"/>
      <c r="N24" s="349"/>
      <c r="O24" s="349"/>
      <c r="P24" s="349"/>
      <c r="Q24" s="349"/>
      <c r="R24" s="142"/>
      <c r="S24" s="142"/>
      <c r="T24" s="142"/>
      <c r="U24" s="142"/>
      <c r="V24" s="142"/>
      <c r="W24" s="187"/>
    </row>
    <row r="25" spans="1:23" s="143" customFormat="1" ht="24.95" customHeight="1" thickBot="1">
      <c r="A25" s="141" t="s">
        <v>32</v>
      </c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142"/>
      <c r="S25" s="142"/>
      <c r="T25" s="142"/>
      <c r="U25" s="142"/>
      <c r="V25" s="142"/>
      <c r="W25" s="187"/>
    </row>
    <row r="26" spans="1:23" ht="24.95" customHeight="1" thickBot="1">
      <c r="A26" s="189"/>
      <c r="B26" s="419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86"/>
    </row>
    <row r="27" spans="1:23" ht="24.95" customHeight="1" thickBot="1">
      <c r="A27" s="473" t="s">
        <v>92</v>
      </c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5"/>
      <c r="R27" s="144"/>
      <c r="S27" s="144"/>
      <c r="T27" s="144"/>
      <c r="U27" s="144"/>
      <c r="V27" s="144"/>
      <c r="W27" s="186"/>
    </row>
    <row r="28" spans="1:23" s="143" customFormat="1" ht="24.95" customHeight="1" thickBot="1">
      <c r="A28" s="141" t="s">
        <v>14</v>
      </c>
      <c r="B28" s="401" t="s">
        <v>380</v>
      </c>
      <c r="C28" s="297" t="s">
        <v>5</v>
      </c>
      <c r="D28" s="298" t="s">
        <v>6</v>
      </c>
      <c r="E28" s="298" t="s">
        <v>30</v>
      </c>
      <c r="F28" s="298" t="s">
        <v>29</v>
      </c>
      <c r="G28" s="298" t="s">
        <v>7</v>
      </c>
      <c r="H28" s="298" t="s">
        <v>8</v>
      </c>
      <c r="I28" s="298" t="s">
        <v>23</v>
      </c>
      <c r="J28" s="298" t="s">
        <v>24</v>
      </c>
      <c r="K28" s="298" t="s">
        <v>9</v>
      </c>
      <c r="L28" s="298" t="s">
        <v>10</v>
      </c>
      <c r="M28" s="298" t="s">
        <v>11</v>
      </c>
      <c r="N28" s="298" t="s">
        <v>25</v>
      </c>
      <c r="O28" s="298" t="s">
        <v>12</v>
      </c>
      <c r="P28" s="298" t="s">
        <v>13</v>
      </c>
      <c r="Q28" s="299" t="s">
        <v>77</v>
      </c>
      <c r="R28" s="142"/>
      <c r="S28" s="142"/>
      <c r="T28" s="142"/>
      <c r="U28" s="142"/>
      <c r="V28" s="142"/>
      <c r="W28" s="187"/>
    </row>
    <row r="29" spans="1:23" s="143" customFormat="1" ht="24.95" customHeight="1" thickBot="1">
      <c r="A29" s="141" t="s">
        <v>16</v>
      </c>
      <c r="B29" s="349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349"/>
      <c r="O29" s="300" t="s">
        <v>88</v>
      </c>
      <c r="P29" s="300" t="s">
        <v>88</v>
      </c>
      <c r="Q29" s="301" t="s">
        <v>88</v>
      </c>
      <c r="R29" s="142"/>
      <c r="S29" s="142"/>
      <c r="T29" s="142"/>
      <c r="U29" s="142"/>
      <c r="V29" s="142"/>
      <c r="W29" s="187"/>
    </row>
    <row r="30" spans="1:23" s="143" customFormat="1" ht="24.95" customHeight="1" thickBot="1">
      <c r="A30" s="141" t="s">
        <v>17</v>
      </c>
      <c r="B30" s="349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142"/>
      <c r="S30" s="142"/>
      <c r="T30" s="142"/>
      <c r="U30" s="142"/>
      <c r="V30" s="142"/>
      <c r="W30" s="187"/>
    </row>
    <row r="31" spans="1:23" s="143" customFormat="1" ht="24.95" customHeight="1" thickBot="1">
      <c r="A31" s="141" t="s">
        <v>31</v>
      </c>
      <c r="B31" s="349"/>
      <c r="C31" s="349"/>
      <c r="D31" s="349"/>
      <c r="E31" s="349"/>
      <c r="F31" s="349"/>
      <c r="G31" s="349"/>
      <c r="H31" s="349"/>
      <c r="I31" s="349"/>
      <c r="J31" s="349"/>
      <c r="K31" s="349"/>
      <c r="L31" s="349"/>
      <c r="M31" s="349"/>
      <c r="N31" s="349"/>
      <c r="O31" s="349"/>
      <c r="P31" s="349"/>
      <c r="Q31" s="349"/>
      <c r="R31" s="142"/>
      <c r="S31" s="142"/>
      <c r="T31" s="142"/>
      <c r="U31" s="142"/>
      <c r="V31" s="142"/>
      <c r="W31" s="187"/>
    </row>
    <row r="32" spans="1:23" s="143" customFormat="1" ht="24.95" customHeight="1" thickBot="1">
      <c r="A32" s="141" t="s">
        <v>32</v>
      </c>
      <c r="B32" s="349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142"/>
      <c r="S32" s="142"/>
      <c r="T32" s="142"/>
      <c r="U32" s="142"/>
      <c r="V32" s="142"/>
      <c r="W32" s="187"/>
    </row>
    <row r="33" spans="1:23" ht="24.95" customHeight="1" thickBot="1">
      <c r="A33" s="189"/>
      <c r="B33" s="419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85"/>
      <c r="R33" s="144"/>
      <c r="S33" s="144"/>
      <c r="T33" s="144"/>
      <c r="U33" s="144"/>
      <c r="V33" s="144"/>
      <c r="W33" s="186"/>
    </row>
    <row r="34" spans="1:23" s="145" customFormat="1" ht="24.95" customHeight="1" thickBot="1">
      <c r="A34" s="473" t="s">
        <v>347</v>
      </c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5"/>
      <c r="Q34" s="190"/>
      <c r="R34" s="190"/>
      <c r="S34" s="190"/>
      <c r="T34" s="190"/>
      <c r="U34" s="190"/>
      <c r="V34" s="190"/>
      <c r="W34" s="191"/>
    </row>
    <row r="35" spans="1:23" s="143" customFormat="1" ht="24.95" customHeight="1" thickBot="1">
      <c r="A35" s="468"/>
      <c r="B35" s="469"/>
      <c r="C35" s="476" t="s">
        <v>405</v>
      </c>
      <c r="D35" s="476"/>
      <c r="E35" s="476"/>
      <c r="F35" s="476" t="s">
        <v>404</v>
      </c>
      <c r="G35" s="476"/>
      <c r="H35" s="476"/>
      <c r="I35" s="476"/>
      <c r="J35" s="477" t="s">
        <v>234</v>
      </c>
      <c r="K35" s="478"/>
      <c r="L35" s="478"/>
      <c r="M35" s="478"/>
      <c r="N35" s="478"/>
      <c r="O35" s="478"/>
      <c r="P35" s="479"/>
      <c r="Q35" s="142"/>
      <c r="R35" s="142"/>
      <c r="S35" s="142"/>
      <c r="T35" s="142"/>
      <c r="U35" s="142"/>
      <c r="V35" s="142"/>
      <c r="W35" s="187"/>
    </row>
    <row r="36" spans="1:23" s="143" customFormat="1" ht="24.95" customHeight="1" thickBot="1">
      <c r="A36" s="466" t="s">
        <v>26</v>
      </c>
      <c r="B36" s="467"/>
      <c r="C36" s="466" t="s">
        <v>363</v>
      </c>
      <c r="D36" s="470"/>
      <c r="E36" s="470"/>
      <c r="F36" s="471" t="s">
        <v>364</v>
      </c>
      <c r="G36" s="472"/>
      <c r="H36" s="298" t="s">
        <v>19</v>
      </c>
      <c r="I36" s="299" t="s">
        <v>33</v>
      </c>
      <c r="J36" s="297" t="s">
        <v>18</v>
      </c>
      <c r="K36" s="298" t="s">
        <v>19</v>
      </c>
      <c r="L36" s="298" t="s">
        <v>33</v>
      </c>
      <c r="M36" s="298" t="s">
        <v>36</v>
      </c>
      <c r="N36" s="298" t="s">
        <v>37</v>
      </c>
      <c r="O36" s="298" t="s">
        <v>38</v>
      </c>
      <c r="P36" s="299" t="s">
        <v>39</v>
      </c>
      <c r="Q36" s="142"/>
      <c r="R36" s="142"/>
      <c r="S36" s="142"/>
      <c r="T36" s="142"/>
      <c r="U36" s="142"/>
      <c r="V36" s="142"/>
      <c r="W36" s="187"/>
    </row>
    <row r="37" spans="1:23" s="143" customFormat="1" ht="24.95" customHeight="1" thickBot="1">
      <c r="A37" s="466" t="s">
        <v>15</v>
      </c>
      <c r="B37" s="467"/>
      <c r="C37" s="464"/>
      <c r="D37" s="465"/>
      <c r="E37" s="463"/>
      <c r="F37" s="462"/>
      <c r="G37" s="463"/>
      <c r="H37" s="349"/>
      <c r="I37" s="349"/>
      <c r="J37" s="349"/>
      <c r="K37" s="349"/>
      <c r="L37" s="349"/>
      <c r="M37" s="349"/>
      <c r="N37" s="349"/>
      <c r="O37" s="349"/>
      <c r="P37" s="349"/>
      <c r="Q37" s="142"/>
      <c r="R37" s="142"/>
      <c r="S37" s="142"/>
      <c r="T37" s="142"/>
      <c r="U37" s="142"/>
      <c r="V37" s="142"/>
      <c r="W37" s="187"/>
    </row>
    <row r="38" spans="1:23" ht="24.95" customHeight="1" thickBot="1">
      <c r="A38" s="192"/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4"/>
    </row>
  </sheetData>
  <mergeCells count="21">
    <mergeCell ref="A9:Q9"/>
    <mergeCell ref="A16:Q16"/>
    <mergeCell ref="A20:Q20"/>
    <mergeCell ref="C35:E35"/>
    <mergeCell ref="F35:I35"/>
    <mergeCell ref="J35:P35"/>
    <mergeCell ref="A27:Q27"/>
    <mergeCell ref="A34:P34"/>
    <mergeCell ref="D2:F2"/>
    <mergeCell ref="D4:F4"/>
    <mergeCell ref="D6:F6"/>
    <mergeCell ref="K2:M2"/>
    <mergeCell ref="K4:M4"/>
    <mergeCell ref="K6:M6"/>
    <mergeCell ref="F37:G37"/>
    <mergeCell ref="C37:E37"/>
    <mergeCell ref="A36:B36"/>
    <mergeCell ref="A37:B37"/>
    <mergeCell ref="A35:B35"/>
    <mergeCell ref="C36:E36"/>
    <mergeCell ref="F36:G36"/>
  </mergeCells>
  <conditionalFormatting sqref="C11:Q14">
    <cfRule type="cellIs" dxfId="42" priority="15" operator="greaterThan">
      <formula>0</formula>
    </cfRule>
  </conditionalFormatting>
  <conditionalFormatting sqref="O23:Q23 O25:Q25 Q24">
    <cfRule type="cellIs" dxfId="41" priority="11" operator="greaterThan">
      <formula>0</formula>
    </cfRule>
  </conditionalFormatting>
  <conditionalFormatting sqref="O30:Q32">
    <cfRule type="cellIs" dxfId="40" priority="9" operator="greaterThan">
      <formula>0</formula>
    </cfRule>
  </conditionalFormatting>
  <conditionalFormatting sqref="C37 H37:P37 F37">
    <cfRule type="cellIs" dxfId="39" priority="8" operator="greaterThan">
      <formula>0</formula>
    </cfRule>
  </conditionalFormatting>
  <conditionalFormatting sqref="B11:Q14">
    <cfRule type="cellIs" dxfId="38" priority="7" operator="greaterThan">
      <formula>0</formula>
    </cfRule>
  </conditionalFormatting>
  <conditionalFormatting sqref="O24:P24">
    <cfRule type="cellIs" dxfId="37" priority="4" operator="greaterThan">
      <formula>0</formula>
    </cfRule>
  </conditionalFormatting>
  <conditionalFormatting sqref="B18:Q18">
    <cfRule type="cellIs" dxfId="36" priority="3" operator="greaterThan">
      <formula>0</formula>
    </cfRule>
  </conditionalFormatting>
  <conditionalFormatting sqref="B22:N25">
    <cfRule type="cellIs" dxfId="35" priority="2" operator="greaterThan">
      <formula>0</formula>
    </cfRule>
  </conditionalFormatting>
  <conditionalFormatting sqref="B29:N32">
    <cfRule type="cellIs" dxfId="34" priority="1" operator="greaterThan">
      <formula>0</formula>
    </cfRule>
  </conditionalFormatting>
  <pageMargins left="0.5" right="0.5" top="1" bottom="1" header="0.5" footer="0.5"/>
  <pageSetup paperSize="9" scale="8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'BUSBAR DATA'!$B$42:$B$43</xm:f>
          </x14:formula1>
          <xm:sqref>D2:F2</xm:sqref>
        </x14:dataValidation>
        <x14:dataValidation type="list" allowBlank="1" showInputMessage="1" showErrorMessage="1">
          <x14:formula1>
            <xm:f>'BUSBAR DATA'!$B$44:$B$45</xm:f>
          </x14:formula1>
          <xm:sqref>D4:F4</xm:sqref>
        </x14:dataValidation>
        <x14:dataValidation type="list" allowBlank="1" showInputMessage="1" showErrorMessage="1">
          <x14:formula1>
            <xm:f>'BUSBAR DATA'!$B$46:$B$49</xm:f>
          </x14:formula1>
          <xm:sqref>D6:F6</xm:sqref>
        </x14:dataValidation>
        <x14:dataValidation type="list" allowBlank="1" showInputMessage="1" showErrorMessage="1">
          <x14:formula1>
            <xm:f>'BUSBAR DATA'!$B$50:$B$51</xm:f>
          </x14:formula1>
          <xm:sqref>K2:M2</xm:sqref>
        </x14:dataValidation>
        <x14:dataValidation type="list" allowBlank="1" showInputMessage="1" showErrorMessage="1">
          <x14:formula1>
            <xm:f>'BUSBAR DATA'!$B$52:$B$53</xm:f>
          </x14:formula1>
          <xm:sqref>K4:M4</xm:sqref>
        </x14:dataValidation>
        <x14:dataValidation type="list" allowBlank="1" showInputMessage="1" showErrorMessage="1">
          <x14:formula1>
            <xm:f>'BUSBAR DATA'!$B$54:$B$55</xm:f>
          </x14:formula1>
          <xm:sqref>K6:M6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B63"/>
  <sheetViews>
    <sheetView showGridLines="0" zoomScaleNormal="100" workbookViewId="0">
      <selection activeCell="B3" sqref="B3"/>
    </sheetView>
  </sheetViews>
  <sheetFormatPr defaultRowHeight="12.75"/>
  <cols>
    <col min="1" max="1" width="98.140625" style="305" customWidth="1"/>
    <col min="2" max="2" width="8.85546875" style="306" bestFit="1" customWidth="1"/>
    <col min="4" max="4" width="16.5703125" customWidth="1"/>
  </cols>
  <sheetData>
    <row r="1" spans="1:2" ht="14.25">
      <c r="A1" s="308" t="s">
        <v>403</v>
      </c>
      <c r="B1" s="309" t="s">
        <v>386</v>
      </c>
    </row>
    <row r="2" spans="1:2">
      <c r="A2" s="304" t="s">
        <v>503</v>
      </c>
      <c r="B2" s="350"/>
    </row>
    <row r="3" spans="1:2">
      <c r="A3" s="304" t="s">
        <v>160</v>
      </c>
      <c r="B3" s="350">
        <v>1</v>
      </c>
    </row>
    <row r="4" spans="1:2">
      <c r="A4" s="304" t="s">
        <v>162</v>
      </c>
      <c r="B4" s="350"/>
    </row>
    <row r="5" spans="1:2">
      <c r="A5" s="304" t="s">
        <v>161</v>
      </c>
      <c r="B5" s="350"/>
    </row>
    <row r="6" spans="1:2">
      <c r="A6" s="304" t="s">
        <v>176</v>
      </c>
      <c r="B6" s="350"/>
    </row>
    <row r="7" spans="1:2">
      <c r="A7" s="304" t="s">
        <v>153</v>
      </c>
      <c r="B7" s="350"/>
    </row>
    <row r="8" spans="1:2">
      <c r="A8" s="304" t="s">
        <v>154</v>
      </c>
      <c r="B8" s="350"/>
    </row>
    <row r="9" spans="1:2">
      <c r="A9" s="304" t="s">
        <v>155</v>
      </c>
      <c r="B9" s="350"/>
    </row>
    <row r="10" spans="1:2">
      <c r="A10" s="304" t="s">
        <v>502</v>
      </c>
      <c r="B10" s="350"/>
    </row>
    <row r="11" spans="1:2">
      <c r="A11" s="304" t="s">
        <v>156</v>
      </c>
      <c r="B11" s="350"/>
    </row>
    <row r="12" spans="1:2">
      <c r="A12" s="304" t="s">
        <v>510</v>
      </c>
      <c r="B12" s="350"/>
    </row>
    <row r="13" spans="1:2">
      <c r="A13" s="304" t="s">
        <v>509</v>
      </c>
      <c r="B13" s="350"/>
    </row>
    <row r="14" spans="1:2">
      <c r="A14" s="304" t="s">
        <v>504</v>
      </c>
      <c r="B14" s="350"/>
    </row>
    <row r="15" spans="1:2">
      <c r="A15" s="304" t="s">
        <v>505</v>
      </c>
      <c r="B15" s="350"/>
    </row>
    <row r="16" spans="1:2">
      <c r="A16" s="304" t="s">
        <v>508</v>
      </c>
      <c r="B16" s="350"/>
    </row>
    <row r="17" spans="1:2">
      <c r="A17" s="304" t="s">
        <v>506</v>
      </c>
      <c r="B17" s="350"/>
    </row>
    <row r="18" spans="1:2">
      <c r="A18" s="304" t="s">
        <v>507</v>
      </c>
      <c r="B18" s="350"/>
    </row>
    <row r="19" spans="1:2" ht="14.25">
      <c r="A19" s="307" t="s">
        <v>401</v>
      </c>
      <c r="B19" s="350"/>
    </row>
    <row r="20" spans="1:2">
      <c r="A20" s="304" t="s">
        <v>172</v>
      </c>
      <c r="B20" s="350"/>
    </row>
    <row r="21" spans="1:2">
      <c r="A21" s="304" t="s">
        <v>171</v>
      </c>
      <c r="B21" s="350"/>
    </row>
    <row r="22" spans="1:2">
      <c r="A22" s="304" t="s">
        <v>167</v>
      </c>
      <c r="B22" s="350"/>
    </row>
    <row r="23" spans="1:2">
      <c r="A23" s="304" t="s">
        <v>169</v>
      </c>
      <c r="B23" s="350"/>
    </row>
    <row r="24" spans="1:2">
      <c r="A24" s="304" t="s">
        <v>168</v>
      </c>
      <c r="B24" s="350"/>
    </row>
    <row r="25" spans="1:2">
      <c r="A25" s="304" t="s">
        <v>170</v>
      </c>
      <c r="B25" s="350"/>
    </row>
    <row r="26" spans="1:2">
      <c r="A26" s="304" t="s">
        <v>173</v>
      </c>
      <c r="B26" s="350"/>
    </row>
    <row r="27" spans="1:2">
      <c r="A27" s="304" t="s">
        <v>174</v>
      </c>
      <c r="B27" s="350"/>
    </row>
    <row r="28" spans="1:2">
      <c r="A28" s="304" t="s">
        <v>175</v>
      </c>
      <c r="B28" s="350"/>
    </row>
    <row r="29" spans="1:2">
      <c r="A29" s="304" t="s">
        <v>184</v>
      </c>
      <c r="B29" s="350"/>
    </row>
    <row r="30" spans="1:2" ht="14.25">
      <c r="A30" s="307" t="s">
        <v>406</v>
      </c>
      <c r="B30" s="350"/>
    </row>
    <row r="31" spans="1:2">
      <c r="A31" s="304" t="s">
        <v>407</v>
      </c>
      <c r="B31" s="350"/>
    </row>
    <row r="32" spans="1:2">
      <c r="A32" s="304" t="s">
        <v>408</v>
      </c>
      <c r="B32" s="350"/>
    </row>
    <row r="33" spans="1:2">
      <c r="A33" s="304" t="s">
        <v>409</v>
      </c>
      <c r="B33" s="350"/>
    </row>
    <row r="34" spans="1:2" ht="14.25">
      <c r="A34" s="307" t="s">
        <v>397</v>
      </c>
      <c r="B34" s="350"/>
    </row>
    <row r="35" spans="1:2">
      <c r="A35" s="304" t="s">
        <v>186</v>
      </c>
      <c r="B35" s="350"/>
    </row>
    <row r="36" spans="1:2">
      <c r="A36" s="304" t="s">
        <v>185</v>
      </c>
      <c r="B36" s="350"/>
    </row>
    <row r="37" spans="1:2">
      <c r="A37" s="304" t="s">
        <v>187</v>
      </c>
      <c r="B37" s="350"/>
    </row>
    <row r="38" spans="1:2">
      <c r="A38" s="304" t="s">
        <v>188</v>
      </c>
      <c r="B38" s="350"/>
    </row>
    <row r="39" spans="1:2" ht="14.25">
      <c r="A39" s="307" t="s">
        <v>398</v>
      </c>
      <c r="B39" s="350"/>
    </row>
    <row r="40" spans="1:2">
      <c r="A40" s="304" t="s">
        <v>163</v>
      </c>
      <c r="B40" s="350"/>
    </row>
    <row r="41" spans="1:2">
      <c r="A41" s="304" t="s">
        <v>164</v>
      </c>
      <c r="B41" s="350"/>
    </row>
    <row r="42" spans="1:2">
      <c r="A42" s="304" t="s">
        <v>165</v>
      </c>
      <c r="B42" s="350"/>
    </row>
    <row r="43" spans="1:2">
      <c r="A43" s="304" t="s">
        <v>166</v>
      </c>
      <c r="B43" s="350"/>
    </row>
    <row r="44" spans="1:2" ht="14.25">
      <c r="A44" s="307" t="s">
        <v>399</v>
      </c>
      <c r="B44" s="350"/>
    </row>
    <row r="45" spans="1:2">
      <c r="A45" s="304" t="s">
        <v>177</v>
      </c>
      <c r="B45" s="350"/>
    </row>
    <row r="46" spans="1:2">
      <c r="A46" s="304" t="s">
        <v>178</v>
      </c>
      <c r="B46" s="350"/>
    </row>
    <row r="47" spans="1:2">
      <c r="A47" s="304" t="s">
        <v>179</v>
      </c>
      <c r="B47" s="350"/>
    </row>
    <row r="48" spans="1:2">
      <c r="A48" s="304" t="s">
        <v>180</v>
      </c>
      <c r="B48" s="350"/>
    </row>
    <row r="49" spans="1:2">
      <c r="A49" s="304" t="s">
        <v>181</v>
      </c>
      <c r="B49" s="350"/>
    </row>
    <row r="50" spans="1:2">
      <c r="A50" s="304" t="s">
        <v>182</v>
      </c>
      <c r="B50" s="350"/>
    </row>
    <row r="51" spans="1:2">
      <c r="A51" s="304" t="s">
        <v>183</v>
      </c>
      <c r="B51" s="350"/>
    </row>
    <row r="52" spans="1:2" ht="14.25">
      <c r="A52" s="307" t="s">
        <v>402</v>
      </c>
      <c r="B52" s="350"/>
    </row>
    <row r="53" spans="1:2">
      <c r="A53" s="304" t="s">
        <v>157</v>
      </c>
      <c r="B53" s="350"/>
    </row>
    <row r="54" spans="1:2">
      <c r="A54" s="304" t="s">
        <v>159</v>
      </c>
      <c r="B54" s="350"/>
    </row>
    <row r="55" spans="1:2">
      <c r="A55" s="304" t="s">
        <v>158</v>
      </c>
      <c r="B55" s="350"/>
    </row>
    <row r="56" spans="1:2">
      <c r="A56" s="304" t="s">
        <v>496</v>
      </c>
      <c r="B56" s="350"/>
    </row>
    <row r="57" spans="1:2">
      <c r="A57" s="304" t="s">
        <v>497</v>
      </c>
      <c r="B57" s="350"/>
    </row>
    <row r="58" spans="1:2">
      <c r="A58" s="304" t="s">
        <v>498</v>
      </c>
      <c r="B58" s="350"/>
    </row>
    <row r="59" spans="1:2">
      <c r="A59" s="304" t="s">
        <v>499</v>
      </c>
      <c r="B59" s="350"/>
    </row>
    <row r="60" spans="1:2" ht="14.25">
      <c r="A60" s="307" t="s">
        <v>400</v>
      </c>
      <c r="B60" s="350"/>
    </row>
    <row r="61" spans="1:2">
      <c r="A61" s="304" t="s">
        <v>189</v>
      </c>
      <c r="B61" s="350"/>
    </row>
    <row r="62" spans="1:2">
      <c r="A62" s="304" t="s">
        <v>191</v>
      </c>
      <c r="B62" s="350"/>
    </row>
    <row r="63" spans="1:2">
      <c r="A63" s="304" t="s">
        <v>500</v>
      </c>
      <c r="B63" s="350"/>
    </row>
  </sheetData>
  <conditionalFormatting sqref="B2:B63">
    <cfRule type="cellIs" dxfId="33" priority="2" operator="greater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FL151"/>
  <sheetViews>
    <sheetView showGridLines="0" tabSelected="1" zoomScale="85" zoomScaleNormal="85" workbookViewId="0">
      <selection activeCell="B20" sqref="B20:B23"/>
    </sheetView>
  </sheetViews>
  <sheetFormatPr defaultColWidth="9.140625" defaultRowHeight="15" customHeight="1"/>
  <cols>
    <col min="1" max="1" width="21.42578125" style="311" bestFit="1" customWidth="1"/>
    <col min="2" max="4" width="16.7109375" style="311" customWidth="1"/>
    <col min="5" max="5" width="18.5703125" style="311" customWidth="1"/>
    <col min="6" max="6" width="16.7109375" style="311" customWidth="1"/>
    <col min="7" max="7" width="18.28515625" style="311" customWidth="1"/>
    <col min="8" max="8" width="14.42578125" style="311" customWidth="1"/>
    <col min="9" max="9" width="11.7109375" style="311" customWidth="1"/>
    <col min="10" max="10" width="18" style="311" customWidth="1"/>
    <col min="11" max="11" width="18.28515625" style="311" customWidth="1"/>
    <col min="12" max="12" width="15.28515625" style="311" customWidth="1"/>
    <col min="13" max="13" width="18.85546875" style="311" customWidth="1"/>
    <col min="14" max="14" width="17.7109375" style="311" customWidth="1"/>
    <col min="15" max="15" width="18.5703125" style="311" customWidth="1"/>
    <col min="16" max="16" width="21" style="311" customWidth="1"/>
    <col min="17" max="17" width="15" style="311" customWidth="1"/>
    <col min="18" max="18" width="22.85546875" style="311" customWidth="1"/>
    <col min="19" max="19" width="23.140625" style="311" customWidth="1"/>
    <col min="20" max="20" width="18.5703125" style="311" customWidth="1"/>
    <col min="21" max="21" width="23.7109375" style="311" customWidth="1"/>
    <col min="22" max="22" width="22.85546875" style="311" customWidth="1"/>
    <col min="23" max="23" width="15" style="311" customWidth="1"/>
    <col min="24" max="24" width="23.42578125" style="311" customWidth="1"/>
    <col min="25" max="25" width="14.85546875" style="311" customWidth="1"/>
    <col min="26" max="26" width="16.7109375" style="311" customWidth="1"/>
    <col min="27" max="27" width="17.42578125" style="311" customWidth="1"/>
    <col min="28" max="28" width="15.85546875" style="311" customWidth="1"/>
    <col min="29" max="29" width="17.28515625" style="311" customWidth="1"/>
    <col min="30" max="30" width="21.5703125" style="311" customWidth="1"/>
    <col min="31" max="31" width="21.7109375" style="311" customWidth="1"/>
    <col min="32" max="32" width="21.42578125" style="311" customWidth="1"/>
    <col min="33" max="33" width="10" style="311" customWidth="1"/>
    <col min="34" max="34" width="12.140625" style="311" customWidth="1"/>
    <col min="35" max="35" width="16.42578125" style="311" customWidth="1"/>
    <col min="36" max="84" width="11.42578125" style="311" customWidth="1"/>
    <col min="85" max="85" width="11.85546875" style="311" customWidth="1"/>
    <col min="86" max="86" width="11.28515625" style="311" customWidth="1"/>
    <col min="87" max="129" width="11.42578125" style="311" customWidth="1"/>
    <col min="130" max="133" width="14.28515625" style="311" customWidth="1"/>
    <col min="134" max="141" width="15.7109375" style="311" customWidth="1"/>
    <col min="142" max="143" width="17.140625" style="311" customWidth="1"/>
    <col min="144" max="147" width="14.28515625" style="311" customWidth="1"/>
    <col min="148" max="155" width="15.7109375" style="311" customWidth="1"/>
    <col min="156" max="156" width="17.140625" style="311" customWidth="1"/>
    <col min="157" max="157" width="26.28515625" style="311" customWidth="1"/>
    <col min="158" max="158" width="33.42578125" style="311" customWidth="1"/>
    <col min="159" max="159" width="33.5703125" style="311" customWidth="1"/>
    <col min="160" max="160" width="33.85546875" style="311" customWidth="1"/>
    <col min="161" max="161" width="33.42578125" style="311" customWidth="1"/>
    <col min="162" max="162" width="33.5703125" style="311" customWidth="1"/>
    <col min="163" max="163" width="37.28515625" style="311" customWidth="1"/>
    <col min="164" max="164" width="37.42578125" style="311" customWidth="1"/>
    <col min="165" max="165" width="37.7109375" style="311" customWidth="1"/>
    <col min="166" max="166" width="33.42578125" style="311" customWidth="1"/>
    <col min="167" max="167" width="27.7109375" style="311" customWidth="1"/>
    <col min="168" max="168" width="8.7109375" style="311" customWidth="1"/>
    <col min="169" max="16384" width="9.140625" style="311"/>
  </cols>
  <sheetData>
    <row r="1" spans="1:168" ht="15" customHeight="1" thickBot="1">
      <c r="A1" s="495" t="s">
        <v>286</v>
      </c>
      <c r="B1" s="482" t="s">
        <v>438</v>
      </c>
      <c r="C1" s="483"/>
      <c r="D1" s="483"/>
      <c r="E1" s="483"/>
      <c r="F1" s="484"/>
      <c r="G1" s="482" t="s">
        <v>439</v>
      </c>
      <c r="H1" s="483"/>
      <c r="I1" s="483"/>
      <c r="J1" s="484"/>
      <c r="K1" s="482" t="s">
        <v>446</v>
      </c>
      <c r="L1" s="483"/>
      <c r="M1" s="483"/>
      <c r="N1" s="484"/>
      <c r="O1" s="482" t="s">
        <v>425</v>
      </c>
      <c r="P1" s="483"/>
      <c r="Q1" s="483"/>
      <c r="R1" s="483"/>
      <c r="S1" s="484"/>
      <c r="T1" s="483" t="s">
        <v>426</v>
      </c>
      <c r="U1" s="483"/>
      <c r="V1" s="483"/>
      <c r="W1" s="483"/>
      <c r="X1" s="484"/>
      <c r="Y1" s="482" t="s">
        <v>287</v>
      </c>
      <c r="Z1" s="483"/>
      <c r="AA1" s="483"/>
      <c r="AB1" s="483"/>
      <c r="AC1" s="483"/>
      <c r="AD1" s="483"/>
      <c r="AE1" s="483"/>
      <c r="AF1" s="483"/>
      <c r="AG1" s="483"/>
      <c r="AH1" s="483"/>
      <c r="AI1" s="483"/>
      <c r="AJ1" s="483"/>
      <c r="AK1" s="483"/>
      <c r="AL1" s="483"/>
      <c r="AM1" s="483"/>
      <c r="AN1" s="483"/>
      <c r="AO1" s="483"/>
      <c r="AP1" s="484"/>
      <c r="AQ1" s="482" t="s">
        <v>447</v>
      </c>
      <c r="AR1" s="483"/>
      <c r="AS1" s="483"/>
      <c r="AT1" s="483"/>
      <c r="AU1" s="483"/>
      <c r="AV1" s="484"/>
      <c r="AW1" s="482" t="s">
        <v>448</v>
      </c>
      <c r="AX1" s="483"/>
      <c r="AY1" s="483"/>
      <c r="AZ1" s="483"/>
      <c r="BA1" s="483"/>
      <c r="BB1" s="484"/>
      <c r="BC1" s="483" t="s">
        <v>449</v>
      </c>
      <c r="BD1" s="483"/>
      <c r="BE1" s="483"/>
      <c r="BF1" s="483"/>
      <c r="BG1" s="483"/>
      <c r="BH1" s="484"/>
      <c r="BI1" s="483" t="s">
        <v>450</v>
      </c>
      <c r="BJ1" s="483"/>
      <c r="BK1" s="483"/>
      <c r="BL1" s="483"/>
      <c r="BM1" s="483"/>
      <c r="BN1" s="484"/>
      <c r="BO1" s="482" t="s">
        <v>452</v>
      </c>
      <c r="BP1" s="483"/>
      <c r="BQ1" s="483"/>
      <c r="BR1" s="483"/>
      <c r="BS1" s="483"/>
      <c r="BT1" s="483"/>
      <c r="BU1" s="483"/>
      <c r="BV1" s="483"/>
      <c r="BW1" s="483"/>
      <c r="BX1" s="482" t="s">
        <v>451</v>
      </c>
      <c r="BY1" s="483"/>
      <c r="BZ1" s="483"/>
      <c r="CA1" s="483"/>
      <c r="CB1" s="483"/>
      <c r="CC1" s="483"/>
      <c r="CD1" s="483"/>
      <c r="CE1" s="483"/>
      <c r="CF1" s="484"/>
      <c r="CG1" s="482" t="s">
        <v>453</v>
      </c>
      <c r="CH1" s="483"/>
      <c r="CI1" s="483"/>
      <c r="CJ1" s="483"/>
      <c r="CK1" s="483"/>
      <c r="CL1" s="483"/>
      <c r="CM1" s="483"/>
      <c r="CN1" s="483"/>
      <c r="CO1" s="483"/>
      <c r="CP1" s="482" t="s">
        <v>454</v>
      </c>
      <c r="CQ1" s="483"/>
      <c r="CR1" s="483"/>
      <c r="CS1" s="483"/>
      <c r="CT1" s="483"/>
      <c r="CU1" s="483"/>
      <c r="CV1" s="483"/>
      <c r="CW1" s="483"/>
      <c r="CX1" s="484"/>
      <c r="CY1" s="482" t="s">
        <v>292</v>
      </c>
      <c r="CZ1" s="483"/>
      <c r="DA1" s="483"/>
      <c r="DB1" s="483"/>
      <c r="DC1" s="483"/>
      <c r="DD1" s="483"/>
      <c r="DE1" s="483"/>
      <c r="DF1" s="483"/>
      <c r="DG1" s="484"/>
      <c r="DH1" s="482" t="s">
        <v>455</v>
      </c>
      <c r="DI1" s="483"/>
      <c r="DJ1" s="483"/>
      <c r="DK1" s="483"/>
      <c r="DL1" s="483"/>
      <c r="DM1" s="483"/>
      <c r="DN1" s="483"/>
      <c r="DO1" s="483"/>
      <c r="DP1" s="483"/>
      <c r="DQ1" s="482" t="s">
        <v>456</v>
      </c>
      <c r="DR1" s="483"/>
      <c r="DS1" s="483"/>
      <c r="DT1" s="483"/>
      <c r="DU1" s="483"/>
      <c r="DV1" s="483"/>
      <c r="DW1" s="483"/>
      <c r="DX1" s="483"/>
      <c r="DY1" s="484"/>
      <c r="DZ1" s="482" t="s">
        <v>293</v>
      </c>
      <c r="EA1" s="483"/>
      <c r="EB1" s="483"/>
      <c r="EC1" s="483"/>
      <c r="ED1" s="483"/>
      <c r="EE1" s="483"/>
      <c r="EF1" s="483"/>
      <c r="EG1" s="483"/>
      <c r="EH1" s="483"/>
      <c r="EI1" s="483"/>
      <c r="EJ1" s="483"/>
      <c r="EK1" s="483"/>
      <c r="EL1" s="483"/>
      <c r="EM1" s="484"/>
      <c r="EN1" s="483" t="s">
        <v>294</v>
      </c>
      <c r="EO1" s="483"/>
      <c r="EP1" s="483"/>
      <c r="EQ1" s="483"/>
      <c r="ER1" s="483"/>
      <c r="ES1" s="483"/>
      <c r="ET1" s="483"/>
      <c r="EU1" s="483"/>
      <c r="EV1" s="483"/>
      <c r="EW1" s="483"/>
      <c r="EX1" s="483"/>
      <c r="EY1" s="483"/>
      <c r="EZ1" s="483"/>
      <c r="FA1" s="484"/>
      <c r="FB1" s="482" t="s">
        <v>295</v>
      </c>
      <c r="FC1" s="483"/>
      <c r="FD1" s="483"/>
      <c r="FE1" s="483"/>
      <c r="FF1" s="483"/>
      <c r="FG1" s="483"/>
      <c r="FH1" s="483"/>
      <c r="FI1" s="484"/>
      <c r="FJ1" s="354" t="s">
        <v>384</v>
      </c>
      <c r="FK1" s="402" t="s">
        <v>294</v>
      </c>
      <c r="FL1" s="485" t="s">
        <v>351</v>
      </c>
    </row>
    <row r="2" spans="1:168" ht="30" customHeight="1" thickBot="1">
      <c r="A2" s="486"/>
      <c r="B2" s="316" t="s">
        <v>250</v>
      </c>
      <c r="C2" s="316" t="s">
        <v>251</v>
      </c>
      <c r="D2" s="316" t="s">
        <v>252</v>
      </c>
      <c r="E2" s="316" t="s">
        <v>254</v>
      </c>
      <c r="F2" s="385" t="s">
        <v>255</v>
      </c>
      <c r="G2" s="411" t="s">
        <v>440</v>
      </c>
      <c r="H2" s="386" t="s">
        <v>441</v>
      </c>
      <c r="I2" s="386" t="s">
        <v>442</v>
      </c>
      <c r="J2" s="386" t="s">
        <v>443</v>
      </c>
      <c r="K2" s="386" t="s">
        <v>267</v>
      </c>
      <c r="L2" s="386" t="s">
        <v>268</v>
      </c>
      <c r="M2" s="411" t="s">
        <v>444</v>
      </c>
      <c r="N2" s="411" t="s">
        <v>445</v>
      </c>
      <c r="O2" s="414" t="s">
        <v>282</v>
      </c>
      <c r="P2" s="415" t="s">
        <v>285</v>
      </c>
      <c r="Q2" s="416" t="s">
        <v>283</v>
      </c>
      <c r="R2" s="416" t="s">
        <v>284</v>
      </c>
      <c r="S2" s="417" t="s">
        <v>467</v>
      </c>
      <c r="T2" s="414" t="s">
        <v>282</v>
      </c>
      <c r="U2" s="415" t="s">
        <v>285</v>
      </c>
      <c r="V2" s="416" t="s">
        <v>283</v>
      </c>
      <c r="W2" s="416" t="s">
        <v>284</v>
      </c>
      <c r="X2" s="417" t="s">
        <v>468</v>
      </c>
      <c r="Y2" s="417" t="s">
        <v>469</v>
      </c>
      <c r="Z2" s="417" t="s">
        <v>470</v>
      </c>
      <c r="AA2" s="417" t="s">
        <v>471</v>
      </c>
      <c r="AB2" s="417" t="s">
        <v>472</v>
      </c>
      <c r="AC2" s="417" t="s">
        <v>473</v>
      </c>
      <c r="AD2" s="314" t="s">
        <v>288</v>
      </c>
      <c r="AE2" s="314" t="s">
        <v>289</v>
      </c>
      <c r="AF2" s="314" t="s">
        <v>290</v>
      </c>
      <c r="AG2" s="315" t="s">
        <v>291</v>
      </c>
      <c r="AH2" s="314" t="s">
        <v>296</v>
      </c>
      <c r="AI2" s="314" t="s">
        <v>342</v>
      </c>
      <c r="AJ2" s="314" t="s">
        <v>343</v>
      </c>
      <c r="AK2" s="487" t="s">
        <v>4</v>
      </c>
      <c r="AL2" s="488"/>
      <c r="AM2" s="488"/>
      <c r="AN2" s="488"/>
      <c r="AO2" s="489"/>
      <c r="AP2" s="314" t="s">
        <v>344</v>
      </c>
      <c r="AQ2" s="316" t="s">
        <v>297</v>
      </c>
      <c r="AR2" s="314" t="s">
        <v>298</v>
      </c>
      <c r="AS2" s="314" t="s">
        <v>299</v>
      </c>
      <c r="AT2" s="314" t="s">
        <v>300</v>
      </c>
      <c r="AU2" s="314" t="s">
        <v>301</v>
      </c>
      <c r="AV2" s="315" t="s">
        <v>302</v>
      </c>
      <c r="AW2" s="316" t="s">
        <v>297</v>
      </c>
      <c r="AX2" s="314" t="s">
        <v>298</v>
      </c>
      <c r="AY2" s="314" t="s">
        <v>299</v>
      </c>
      <c r="AZ2" s="314" t="s">
        <v>300</v>
      </c>
      <c r="BA2" s="314" t="s">
        <v>301</v>
      </c>
      <c r="BB2" s="315" t="s">
        <v>302</v>
      </c>
      <c r="BC2" s="404" t="s">
        <v>297</v>
      </c>
      <c r="BD2" s="314" t="s">
        <v>298</v>
      </c>
      <c r="BE2" s="314" t="s">
        <v>299</v>
      </c>
      <c r="BF2" s="314" t="s">
        <v>300</v>
      </c>
      <c r="BG2" s="314" t="s">
        <v>301</v>
      </c>
      <c r="BH2" s="314" t="s">
        <v>302</v>
      </c>
      <c r="BI2" s="404" t="s">
        <v>297</v>
      </c>
      <c r="BJ2" s="314" t="s">
        <v>298</v>
      </c>
      <c r="BK2" s="314" t="s">
        <v>299</v>
      </c>
      <c r="BL2" s="314" t="s">
        <v>300</v>
      </c>
      <c r="BM2" s="314" t="s">
        <v>301</v>
      </c>
      <c r="BN2" s="314" t="s">
        <v>302</v>
      </c>
      <c r="BO2" s="316" t="s">
        <v>303</v>
      </c>
      <c r="BP2" s="314" t="s">
        <v>304</v>
      </c>
      <c r="BQ2" s="316" t="s">
        <v>305</v>
      </c>
      <c r="BR2" s="314" t="s">
        <v>306</v>
      </c>
      <c r="BS2" s="316" t="s">
        <v>307</v>
      </c>
      <c r="BT2" s="314" t="s">
        <v>308</v>
      </c>
      <c r="BU2" s="314" t="s">
        <v>309</v>
      </c>
      <c r="BV2" s="314" t="s">
        <v>310</v>
      </c>
      <c r="BW2" s="403" t="s">
        <v>311</v>
      </c>
      <c r="BX2" s="316" t="s">
        <v>303</v>
      </c>
      <c r="BY2" s="314" t="s">
        <v>304</v>
      </c>
      <c r="BZ2" s="316" t="s">
        <v>305</v>
      </c>
      <c r="CA2" s="314" t="s">
        <v>306</v>
      </c>
      <c r="CB2" s="316" t="s">
        <v>307</v>
      </c>
      <c r="CC2" s="314" t="s">
        <v>308</v>
      </c>
      <c r="CD2" s="314" t="s">
        <v>309</v>
      </c>
      <c r="CE2" s="314" t="s">
        <v>310</v>
      </c>
      <c r="CF2" s="315" t="s">
        <v>311</v>
      </c>
      <c r="CG2" s="316" t="s">
        <v>303</v>
      </c>
      <c r="CH2" s="314" t="s">
        <v>304</v>
      </c>
      <c r="CI2" s="316" t="s">
        <v>305</v>
      </c>
      <c r="CJ2" s="314" t="s">
        <v>306</v>
      </c>
      <c r="CK2" s="316" t="s">
        <v>307</v>
      </c>
      <c r="CL2" s="314" t="s">
        <v>308</v>
      </c>
      <c r="CM2" s="314" t="s">
        <v>309</v>
      </c>
      <c r="CN2" s="314" t="s">
        <v>310</v>
      </c>
      <c r="CO2" s="403" t="s">
        <v>311</v>
      </c>
      <c r="CP2" s="316" t="s">
        <v>303</v>
      </c>
      <c r="CQ2" s="314" t="s">
        <v>304</v>
      </c>
      <c r="CR2" s="316" t="s">
        <v>305</v>
      </c>
      <c r="CS2" s="314" t="s">
        <v>306</v>
      </c>
      <c r="CT2" s="316" t="s">
        <v>307</v>
      </c>
      <c r="CU2" s="314" t="s">
        <v>308</v>
      </c>
      <c r="CV2" s="314" t="s">
        <v>309</v>
      </c>
      <c r="CW2" s="314" t="s">
        <v>310</v>
      </c>
      <c r="CX2" s="315" t="s">
        <v>311</v>
      </c>
      <c r="CY2" s="316" t="s">
        <v>303</v>
      </c>
      <c r="CZ2" s="314" t="s">
        <v>304</v>
      </c>
      <c r="DA2" s="316" t="s">
        <v>305</v>
      </c>
      <c r="DB2" s="314" t="s">
        <v>306</v>
      </c>
      <c r="DC2" s="316" t="s">
        <v>307</v>
      </c>
      <c r="DD2" s="314" t="s">
        <v>308</v>
      </c>
      <c r="DE2" s="314" t="s">
        <v>309</v>
      </c>
      <c r="DF2" s="314" t="s">
        <v>310</v>
      </c>
      <c r="DG2" s="314" t="s">
        <v>311</v>
      </c>
      <c r="DH2" s="316" t="s">
        <v>303</v>
      </c>
      <c r="DI2" s="314" t="s">
        <v>304</v>
      </c>
      <c r="DJ2" s="316" t="s">
        <v>305</v>
      </c>
      <c r="DK2" s="314" t="s">
        <v>306</v>
      </c>
      <c r="DL2" s="316" t="s">
        <v>307</v>
      </c>
      <c r="DM2" s="314" t="s">
        <v>308</v>
      </c>
      <c r="DN2" s="314" t="s">
        <v>309</v>
      </c>
      <c r="DO2" s="314" t="s">
        <v>310</v>
      </c>
      <c r="DP2" s="314" t="s">
        <v>311</v>
      </c>
      <c r="DQ2" s="316" t="s">
        <v>303</v>
      </c>
      <c r="DR2" s="314" t="s">
        <v>304</v>
      </c>
      <c r="DS2" s="316" t="s">
        <v>305</v>
      </c>
      <c r="DT2" s="314" t="s">
        <v>306</v>
      </c>
      <c r="DU2" s="316" t="s">
        <v>307</v>
      </c>
      <c r="DV2" s="314" t="s">
        <v>308</v>
      </c>
      <c r="DW2" s="314" t="s">
        <v>309</v>
      </c>
      <c r="DX2" s="314" t="s">
        <v>310</v>
      </c>
      <c r="DY2" s="315" t="s">
        <v>311</v>
      </c>
      <c r="DZ2" s="316" t="s">
        <v>312</v>
      </c>
      <c r="EA2" s="314" t="s">
        <v>313</v>
      </c>
      <c r="EB2" s="314" t="s">
        <v>314</v>
      </c>
      <c r="EC2" s="314" t="s">
        <v>315</v>
      </c>
      <c r="ED2" s="314" t="s">
        <v>316</v>
      </c>
      <c r="EE2" s="314" t="s">
        <v>317</v>
      </c>
      <c r="EF2" s="314" t="s">
        <v>318</v>
      </c>
      <c r="EG2" s="314" t="s">
        <v>319</v>
      </c>
      <c r="EH2" s="314" t="s">
        <v>320</v>
      </c>
      <c r="EI2" s="314" t="s">
        <v>321</v>
      </c>
      <c r="EJ2" s="314" t="s">
        <v>322</v>
      </c>
      <c r="EK2" s="314" t="s">
        <v>323</v>
      </c>
      <c r="EL2" s="314" t="s">
        <v>324</v>
      </c>
      <c r="EM2" s="315" t="s">
        <v>325</v>
      </c>
      <c r="EN2" s="315" t="s">
        <v>312</v>
      </c>
      <c r="EO2" s="315" t="s">
        <v>313</v>
      </c>
      <c r="EP2" s="315" t="s">
        <v>314</v>
      </c>
      <c r="EQ2" s="315" t="s">
        <v>315</v>
      </c>
      <c r="ER2" s="315" t="s">
        <v>316</v>
      </c>
      <c r="ES2" s="315" t="s">
        <v>317</v>
      </c>
      <c r="ET2" s="315" t="s">
        <v>318</v>
      </c>
      <c r="EU2" s="315" t="s">
        <v>319</v>
      </c>
      <c r="EV2" s="315" t="s">
        <v>320</v>
      </c>
      <c r="EW2" s="315" t="s">
        <v>321</v>
      </c>
      <c r="EX2" s="315" t="s">
        <v>322</v>
      </c>
      <c r="EY2" s="315" t="s">
        <v>323</v>
      </c>
      <c r="EZ2" s="315" t="s">
        <v>324</v>
      </c>
      <c r="FA2" s="315" t="s">
        <v>466</v>
      </c>
      <c r="FB2" s="315" t="s">
        <v>326</v>
      </c>
      <c r="FC2" s="315" t="s">
        <v>327</v>
      </c>
      <c r="FD2" s="315" t="s">
        <v>328</v>
      </c>
      <c r="FE2" s="315" t="s">
        <v>329</v>
      </c>
      <c r="FF2" s="315" t="s">
        <v>330</v>
      </c>
      <c r="FG2" s="315" t="s">
        <v>331</v>
      </c>
      <c r="FH2" s="315" t="s">
        <v>332</v>
      </c>
      <c r="FI2" s="315" t="s">
        <v>333</v>
      </c>
      <c r="FJ2" s="315" t="s">
        <v>384</v>
      </c>
      <c r="FK2" s="315" t="s">
        <v>385</v>
      </c>
      <c r="FL2" s="486"/>
    </row>
    <row r="3" spans="1:168" ht="19.5" customHeight="1" thickBot="1">
      <c r="A3" s="189"/>
      <c r="B3" s="406" t="s">
        <v>287</v>
      </c>
      <c r="C3" s="406" t="s">
        <v>287</v>
      </c>
      <c r="D3" s="406" t="s">
        <v>287</v>
      </c>
      <c r="E3" s="406" t="s">
        <v>287</v>
      </c>
      <c r="F3" s="406" t="s">
        <v>287</v>
      </c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6"/>
      <c r="W3" s="406"/>
      <c r="X3" s="406"/>
      <c r="Y3" s="409">
        <v>1059245</v>
      </c>
      <c r="Z3" s="409">
        <v>1059245</v>
      </c>
      <c r="AA3" s="409">
        <v>1059245</v>
      </c>
      <c r="AB3" s="409">
        <v>1059245</v>
      </c>
      <c r="AC3" s="409">
        <v>1059245</v>
      </c>
      <c r="AD3" s="406"/>
      <c r="AE3" s="406"/>
      <c r="AF3" s="406"/>
      <c r="AG3" s="406"/>
      <c r="AH3" s="406"/>
      <c r="AI3" s="92"/>
      <c r="AJ3" s="387"/>
      <c r="AK3" s="407">
        <v>400</v>
      </c>
      <c r="AL3" s="407">
        <v>600</v>
      </c>
      <c r="AM3" s="407">
        <v>800</v>
      </c>
      <c r="AN3" s="407">
        <v>1000</v>
      </c>
      <c r="AO3" s="407">
        <v>1200</v>
      </c>
      <c r="AP3" s="387"/>
      <c r="AQ3" s="387">
        <v>1012088</v>
      </c>
      <c r="AR3" s="387">
        <v>1012088</v>
      </c>
      <c r="AS3" s="387">
        <v>1012088</v>
      </c>
      <c r="AT3" s="387">
        <v>1012089</v>
      </c>
      <c r="AU3" s="387">
        <v>1012089</v>
      </c>
      <c r="AV3" s="387">
        <v>1012089</v>
      </c>
      <c r="AW3" s="387">
        <v>1012092</v>
      </c>
      <c r="AX3" s="387">
        <v>1012092</v>
      </c>
      <c r="AY3" s="387">
        <v>1012092</v>
      </c>
      <c r="AZ3" s="387">
        <v>1012093</v>
      </c>
      <c r="BA3" s="387">
        <v>1012093</v>
      </c>
      <c r="BB3" s="387">
        <v>1012093</v>
      </c>
      <c r="BC3" s="387">
        <v>1012090</v>
      </c>
      <c r="BD3" s="387">
        <v>1012090</v>
      </c>
      <c r="BE3" s="387">
        <v>1012090</v>
      </c>
      <c r="BF3" s="387">
        <v>1012091</v>
      </c>
      <c r="BG3" s="387">
        <v>1012091</v>
      </c>
      <c r="BH3" s="92">
        <v>1012091</v>
      </c>
      <c r="BI3" s="92">
        <v>1012090</v>
      </c>
      <c r="BJ3" s="92">
        <v>1012090</v>
      </c>
      <c r="BK3" s="92">
        <v>1012090</v>
      </c>
      <c r="BL3" s="92">
        <v>1012091</v>
      </c>
      <c r="BM3" s="92">
        <v>1012091</v>
      </c>
      <c r="BN3" s="92">
        <v>1012091</v>
      </c>
      <c r="BO3" s="92">
        <v>1086481</v>
      </c>
      <c r="BP3" s="92">
        <v>1086482</v>
      </c>
      <c r="BQ3" s="92">
        <v>1086483</v>
      </c>
      <c r="BR3" s="92">
        <v>1086484</v>
      </c>
      <c r="BS3" s="92">
        <v>1086485</v>
      </c>
      <c r="BT3" s="92">
        <v>1086486</v>
      </c>
      <c r="BU3" s="92">
        <v>1086487</v>
      </c>
      <c r="BV3" s="92">
        <v>1086488</v>
      </c>
      <c r="BW3" s="92">
        <v>1086489</v>
      </c>
      <c r="BX3" s="92">
        <v>1086490</v>
      </c>
      <c r="BY3" s="92">
        <v>1086491</v>
      </c>
      <c r="BZ3" s="92">
        <v>1086491</v>
      </c>
      <c r="CA3" s="92">
        <v>1086492</v>
      </c>
      <c r="CB3" s="92">
        <v>1086492</v>
      </c>
      <c r="CC3" s="92">
        <v>1086493</v>
      </c>
      <c r="CD3" s="92">
        <v>1086493</v>
      </c>
      <c r="CE3" s="92">
        <v>1086494</v>
      </c>
      <c r="CF3" s="92">
        <v>1086494</v>
      </c>
      <c r="CG3" s="92">
        <v>1086481</v>
      </c>
      <c r="CH3" s="92">
        <v>1086482</v>
      </c>
      <c r="CI3" s="387">
        <v>1086483</v>
      </c>
      <c r="CJ3" s="387">
        <v>1086484</v>
      </c>
      <c r="CK3" s="387">
        <v>1086485</v>
      </c>
      <c r="CL3" s="92">
        <v>1086486</v>
      </c>
      <c r="CM3" s="92">
        <v>1086487</v>
      </c>
      <c r="CN3" s="92">
        <v>1086488</v>
      </c>
      <c r="CO3" s="92">
        <v>1086489</v>
      </c>
      <c r="CP3" s="92">
        <v>1086490</v>
      </c>
      <c r="CQ3" s="92">
        <v>1086491</v>
      </c>
      <c r="CR3" s="387">
        <v>1086491</v>
      </c>
      <c r="CS3" s="387">
        <v>1086492</v>
      </c>
      <c r="CT3" s="387">
        <v>1086492</v>
      </c>
      <c r="CU3" s="92">
        <v>1086493</v>
      </c>
      <c r="CV3" s="92">
        <v>1086493</v>
      </c>
      <c r="CW3" s="92">
        <v>1086494</v>
      </c>
      <c r="CX3" s="92">
        <v>1086494</v>
      </c>
      <c r="CY3" s="92">
        <v>1062580</v>
      </c>
      <c r="CZ3" s="92">
        <v>1062581</v>
      </c>
      <c r="DA3" s="92">
        <v>1062582</v>
      </c>
      <c r="DB3" s="92">
        <v>1062583</v>
      </c>
      <c r="DC3" s="92">
        <v>1062584</v>
      </c>
      <c r="DD3" s="92">
        <v>1062585</v>
      </c>
      <c r="DE3" s="92">
        <v>1062586</v>
      </c>
      <c r="DF3" s="92"/>
      <c r="DG3" s="92"/>
      <c r="DH3" s="92">
        <v>1012074</v>
      </c>
      <c r="DI3" s="92">
        <v>1012074</v>
      </c>
      <c r="DJ3" s="92">
        <v>1012074</v>
      </c>
      <c r="DK3" s="92">
        <v>1012075</v>
      </c>
      <c r="DL3" s="92">
        <v>1012075</v>
      </c>
      <c r="DM3" s="92">
        <v>1012075</v>
      </c>
      <c r="DN3" s="92">
        <v>1012076</v>
      </c>
      <c r="DO3" s="92">
        <v>1012076</v>
      </c>
      <c r="DP3" s="92">
        <v>1012076</v>
      </c>
      <c r="DQ3" s="92">
        <v>1012071</v>
      </c>
      <c r="DR3" s="92">
        <v>1012071</v>
      </c>
      <c r="DS3" s="92">
        <v>1012071</v>
      </c>
      <c r="DT3" s="92">
        <v>1012072</v>
      </c>
      <c r="DU3" s="92">
        <v>1012072</v>
      </c>
      <c r="DV3" s="92">
        <v>1012072</v>
      </c>
      <c r="DW3" s="92">
        <v>1012073</v>
      </c>
      <c r="DX3" s="92">
        <v>1012073</v>
      </c>
      <c r="DY3" s="92">
        <v>1012073</v>
      </c>
      <c r="DZ3" s="92">
        <v>1011778</v>
      </c>
      <c r="EA3" s="92">
        <v>1011779</v>
      </c>
      <c r="EB3" s="92">
        <v>1016259</v>
      </c>
      <c r="EC3" s="92">
        <v>1016260</v>
      </c>
      <c r="ED3" s="92">
        <v>1016261</v>
      </c>
      <c r="EE3" s="92">
        <v>1016262</v>
      </c>
      <c r="EF3" s="92">
        <v>1016263</v>
      </c>
      <c r="EG3" s="92">
        <v>1013430</v>
      </c>
      <c r="EH3" s="92">
        <v>1016273</v>
      </c>
      <c r="EI3" s="92">
        <v>1016279</v>
      </c>
      <c r="EJ3" s="92">
        <v>1016280</v>
      </c>
      <c r="EK3" s="92">
        <v>1016275</v>
      </c>
      <c r="EL3" s="92">
        <v>1016276</v>
      </c>
      <c r="EM3" s="92">
        <v>1030337</v>
      </c>
      <c r="EN3" s="92">
        <v>1016257</v>
      </c>
      <c r="EO3" s="92">
        <v>1016258</v>
      </c>
      <c r="EP3" s="92">
        <v>1030335</v>
      </c>
      <c r="EQ3" s="92">
        <v>1011781</v>
      </c>
      <c r="ER3" s="92">
        <v>1016261</v>
      </c>
      <c r="ES3" s="92">
        <v>1011783</v>
      </c>
      <c r="ET3" s="92">
        <v>1011784</v>
      </c>
      <c r="EU3" s="92">
        <v>1016264</v>
      </c>
      <c r="EV3" s="92">
        <v>1016265</v>
      </c>
      <c r="EW3" s="92">
        <v>1016268</v>
      </c>
      <c r="EX3" s="92">
        <v>1016266</v>
      </c>
      <c r="EY3" s="92">
        <v>1016269</v>
      </c>
      <c r="EZ3" s="92">
        <v>1016267</v>
      </c>
      <c r="FA3" s="92">
        <v>1077468</v>
      </c>
      <c r="FB3" s="92">
        <v>1014755</v>
      </c>
      <c r="FC3" s="92">
        <v>1014756</v>
      </c>
      <c r="FD3" s="92">
        <v>1014757</v>
      </c>
      <c r="FE3" s="92">
        <v>1014758</v>
      </c>
      <c r="FF3" s="92">
        <v>1014759</v>
      </c>
      <c r="FG3" s="92">
        <v>1059137</v>
      </c>
      <c r="FH3" s="92">
        <v>1059138</v>
      </c>
      <c r="FI3" s="92">
        <v>1059139</v>
      </c>
      <c r="FJ3" s="92">
        <v>1040806</v>
      </c>
      <c r="FK3" s="92"/>
      <c r="FL3" s="420" t="s">
        <v>350</v>
      </c>
    </row>
    <row r="4" spans="1:168" ht="28.5" customHeight="1" thickBot="1">
      <c r="A4" s="405"/>
      <c r="B4" s="410">
        <f>SUMIF('Steel Calculations'!$AH:$AH,RESULTS!B$2,'Steel Calculations'!$AI:$AI)</f>
        <v>3810.8</v>
      </c>
      <c r="C4" s="410">
        <f>SUMIF('Steel Calculations'!$AH:$AH,RESULTS!C$2,'Steel Calculations'!$AI:$AI)</f>
        <v>4416.45</v>
      </c>
      <c r="D4" s="410">
        <f>SUMIF('Steel Calculations'!$AH:$AH,RESULTS!D$2,'Steel Calculations'!$AI:$AI)</f>
        <v>4486.5</v>
      </c>
      <c r="E4" s="410" t="str">
        <f>IF(SUMIF('Steel Calculations'!$AH:$AH,RESULTS!E$2,'Steel Calculations'!$AI:$AI)&gt;0,SUMIF('Steel Calculations'!$AH:$AH,RESULTS!E$2,'Steel Calculations'!$AI:$AI),"#N/A")</f>
        <v>#N/A</v>
      </c>
      <c r="F4" s="410" t="str">
        <f>IF(SUMIF('Steel Calculations'!$AH:$AH,RESULTS!F$2,'Steel Calculations'!$AI:$AI)&gt;0,SUMIF('Steel Calculations'!$AH:$AH,RESULTS!F$2,'Steel Calculations'!$AI:$AI),"#N/A")</f>
        <v>#N/A</v>
      </c>
      <c r="G4" s="410">
        <f>'Busbar Calculations'!I261</f>
        <v>14638.203429048001</v>
      </c>
      <c r="H4" s="410">
        <f>'Busbar Calculations'!J261</f>
        <v>420.0345316800001</v>
      </c>
      <c r="I4" s="410">
        <f>'Busbar Calculations'!J262</f>
        <v>0</v>
      </c>
      <c r="J4" s="410">
        <f>'Busbar Calculations'!K262</f>
        <v>4886.49</v>
      </c>
      <c r="K4" s="410">
        <f>ROUTING!G146</f>
        <v>1101.9000000000001</v>
      </c>
      <c r="L4" s="410">
        <f>ROUTING!G145</f>
        <v>2293.75</v>
      </c>
      <c r="M4" s="410">
        <f>ROUTING!G135</f>
        <v>1284.4000000000001</v>
      </c>
      <c r="N4" s="410">
        <f>ROUTING!G134</f>
        <v>3170.5</v>
      </c>
      <c r="O4" s="310">
        <f>ROUTING!B$132</f>
        <v>113</v>
      </c>
      <c r="P4" s="310">
        <f>ROUTING!C$132</f>
        <v>4.5999999999999996</v>
      </c>
      <c r="Q4" s="310">
        <f>ROUTING!D$132</f>
        <v>4.5</v>
      </c>
      <c r="R4" s="310">
        <f>ROUTING!E$132</f>
        <v>39.099999999999994</v>
      </c>
      <c r="S4" s="310">
        <f>ROUTING!F$132</f>
        <v>0.5</v>
      </c>
      <c r="T4" s="310">
        <f>ROUTING!B$143</f>
        <v>97.25</v>
      </c>
      <c r="U4" s="310">
        <f>ROUTING!C$143</f>
        <v>4.5999999999999996</v>
      </c>
      <c r="V4" s="310">
        <f>ROUTING!D$143</f>
        <v>4.5</v>
      </c>
      <c r="W4" s="310">
        <f>ROUTING!E$143</f>
        <v>10.850000000000001</v>
      </c>
      <c r="X4" s="310">
        <f>ROUTING!F$143</f>
        <v>0.5</v>
      </c>
      <c r="Y4" s="310">
        <f>B$4/'BUSBAR DATA'!$C$63</f>
        <v>4.3552</v>
      </c>
      <c r="Z4" s="310">
        <f>C$4/'BUSBAR DATA'!$C$63</f>
        <v>5.0473714285714282</v>
      </c>
      <c r="AA4" s="310">
        <f>D$4/'BUSBAR DATA'!$C$63</f>
        <v>5.1274285714285712</v>
      </c>
      <c r="AB4" s="310" t="e">
        <f>E$4/'BUSBAR DATA'!$C$63</f>
        <v>#VALUE!</v>
      </c>
      <c r="AC4" s="310" t="e">
        <f>F$4/'BUSBAR DATA'!$C$63</f>
        <v>#VALUE!</v>
      </c>
      <c r="AD4" s="310" t="e">
        <v>#N/A</v>
      </c>
      <c r="AE4" s="310" t="e">
        <v>#N/A</v>
      </c>
      <c r="AF4" s="310" t="e">
        <v>#N/A</v>
      </c>
      <c r="AG4" s="310" t="e">
        <v>#N/A</v>
      </c>
      <c r="AH4" s="310" t="str">
        <f>'ENCL 2013'!$D$2</f>
        <v>FORM1</v>
      </c>
      <c r="AI4" s="310">
        <f>IF(OR($AH$4="FORM1",$AH$4="FORM2"),SUM('ENCL 2013'!G42:K42),SUM('ENCL 2013'!G43:K43))</f>
        <v>3</v>
      </c>
      <c r="AJ4" s="310" t="str">
        <f>IF(OR($AH$4="FORM1",$AH$4="FORM2"),'ENCL 2013'!L$42,'ENCL 2013'!L$43)</f>
        <v>1850</v>
      </c>
      <c r="AK4" s="310">
        <f>IF(OR($AH$4="FORM1",$AH$4="FORM2"),'ENCL 2013'!G$42,'ENCL 2013'!G$43)</f>
        <v>0</v>
      </c>
      <c r="AL4" s="310">
        <f>IF(OR($AH$4="FORM1",$AH$4="FORM2"),'ENCL 2013'!H$42,'ENCL 2013'!H$43)</f>
        <v>0</v>
      </c>
      <c r="AM4" s="310">
        <f>IF(OR($AH$4="FORM1",$AH$4="FORM2"),'ENCL 2013'!I$42,'ENCL 2013'!I$43)</f>
        <v>2</v>
      </c>
      <c r="AN4" s="310">
        <f>IF(OR($AH$4="FORM1",$AH$4="FORM2"),'ENCL 2013'!J$42,'ENCL 2013'!J$43)</f>
        <v>1</v>
      </c>
      <c r="AO4" s="310">
        <f>IF(OR($AH$4="FORM1",$AH$4="FORM2"),'ENCL 2013'!K$42,'ENCL 2013'!K$43)</f>
        <v>0</v>
      </c>
      <c r="AP4" s="310" t="str">
        <f>IF(OR($AH$4="FORM1",$AH$4="FORM2"),'ENCL 2013'!M$42,'ENCL 2013'!M$43)</f>
        <v>800</v>
      </c>
      <c r="AQ4" s="310" t="e">
        <v>#N/A</v>
      </c>
      <c r="AR4" s="310" t="e">
        <v>#N/A</v>
      </c>
      <c r="AS4" s="310" t="e">
        <v>#N/A</v>
      </c>
      <c r="AT4" s="310" t="e">
        <v>#N/A</v>
      </c>
      <c r="AU4" s="310" t="e">
        <v>#N/A</v>
      </c>
      <c r="AV4" s="310" t="e">
        <v>#N/A</v>
      </c>
      <c r="AW4" s="310" t="e">
        <v>#N/A</v>
      </c>
      <c r="AX4" s="310" t="e">
        <v>#N/A</v>
      </c>
      <c r="AY4" s="310" t="e">
        <v>#N/A</v>
      </c>
      <c r="AZ4" s="310" t="e">
        <v>#N/A</v>
      </c>
      <c r="BA4" s="310" t="e">
        <v>#N/A</v>
      </c>
      <c r="BB4" s="310" t="e">
        <v>#N/A</v>
      </c>
      <c r="BC4" s="310" t="e">
        <v>#N/A</v>
      </c>
      <c r="BD4" s="310" t="e">
        <v>#N/A</v>
      </c>
      <c r="BE4" s="310" t="e">
        <v>#N/A</v>
      </c>
      <c r="BF4" s="310" t="e">
        <v>#N/A</v>
      </c>
      <c r="BG4" s="310" t="e">
        <v>#N/A</v>
      </c>
      <c r="BH4" s="310" t="e">
        <v>#N/A</v>
      </c>
      <c r="BI4" s="310" t="e">
        <v>#N/A</v>
      </c>
      <c r="BJ4" s="310" t="e">
        <v>#N/A</v>
      </c>
      <c r="BK4" s="310" t="e">
        <v>#N/A</v>
      </c>
      <c r="BL4" s="310" t="e">
        <v>#N/A</v>
      </c>
      <c r="BM4" s="310" t="e">
        <v>#N/A</v>
      </c>
      <c r="BN4" s="310" t="e">
        <v>#N/A</v>
      </c>
      <c r="BO4" s="310" t="e">
        <v>#N/A</v>
      </c>
      <c r="BP4" s="310" t="e">
        <v>#N/A</v>
      </c>
      <c r="BQ4" s="310" t="e">
        <v>#N/A</v>
      </c>
      <c r="BR4" s="310" t="e">
        <v>#N/A</v>
      </c>
      <c r="BS4" s="310" t="e">
        <v>#N/A</v>
      </c>
      <c r="BT4" s="310" t="e">
        <v>#N/A</v>
      </c>
      <c r="BU4" s="310" t="e">
        <v>#N/A</v>
      </c>
      <c r="BV4" s="310" t="e">
        <v>#N/A</v>
      </c>
      <c r="BW4" s="310" t="e">
        <v>#N/A</v>
      </c>
      <c r="BX4" s="310" t="e">
        <v>#N/A</v>
      </c>
      <c r="BY4" s="310" t="e">
        <v>#N/A</v>
      </c>
      <c r="BZ4" s="310" t="e">
        <v>#N/A</v>
      </c>
      <c r="CA4" s="310" t="e">
        <v>#N/A</v>
      </c>
      <c r="CB4" s="310" t="e">
        <v>#N/A</v>
      </c>
      <c r="CC4" s="310" t="e">
        <v>#N/A</v>
      </c>
      <c r="CD4" s="310" t="e">
        <v>#N/A</v>
      </c>
      <c r="CE4" s="310" t="e">
        <v>#N/A</v>
      </c>
      <c r="CF4" s="310" t="e">
        <v>#N/A</v>
      </c>
      <c r="CG4" s="310" t="e">
        <v>#N/A</v>
      </c>
      <c r="CH4" s="310" t="e">
        <v>#N/A</v>
      </c>
      <c r="CI4" s="310" t="e">
        <v>#N/A</v>
      </c>
      <c r="CJ4" s="310" t="e">
        <v>#N/A</v>
      </c>
      <c r="CK4" s="310" t="e">
        <v>#N/A</v>
      </c>
      <c r="CL4" s="310" t="e">
        <v>#N/A</v>
      </c>
      <c r="CM4" s="310" t="e">
        <v>#N/A</v>
      </c>
      <c r="CN4" s="310" t="e">
        <v>#N/A</v>
      </c>
      <c r="CO4" s="310" t="e">
        <v>#N/A</v>
      </c>
      <c r="CP4" s="310" t="e">
        <v>#N/A</v>
      </c>
      <c r="CQ4" s="310" t="e">
        <v>#N/A</v>
      </c>
      <c r="CR4" s="310" t="e">
        <v>#N/A</v>
      </c>
      <c r="CS4" s="310" t="e">
        <v>#N/A</v>
      </c>
      <c r="CT4" s="310" t="e">
        <v>#N/A</v>
      </c>
      <c r="CU4" s="310" t="e">
        <v>#N/A</v>
      </c>
      <c r="CV4" s="310" t="e">
        <v>#N/A</v>
      </c>
      <c r="CW4" s="310" t="e">
        <v>#N/A</v>
      </c>
      <c r="CX4" s="310" t="e">
        <v>#N/A</v>
      </c>
      <c r="CY4" s="310" t="e">
        <v>#N/A</v>
      </c>
      <c r="CZ4" s="310" t="e">
        <v>#N/A</v>
      </c>
      <c r="DA4" s="310" t="e">
        <v>#N/A</v>
      </c>
      <c r="DB4" s="310" t="e">
        <v>#N/A</v>
      </c>
      <c r="DC4" s="310" t="e">
        <v>#N/A</v>
      </c>
      <c r="DD4" s="310" t="e">
        <v>#N/A</v>
      </c>
      <c r="DE4" s="310" t="e">
        <v>#N/A</v>
      </c>
      <c r="DF4" s="310" t="e">
        <v>#N/A</v>
      </c>
      <c r="DG4" s="310" t="e">
        <v>#N/A</v>
      </c>
      <c r="DH4" s="310" t="e">
        <v>#N/A</v>
      </c>
      <c r="DI4" s="310" t="e">
        <v>#N/A</v>
      </c>
      <c r="DJ4" s="310" t="e">
        <v>#N/A</v>
      </c>
      <c r="DK4" s="310" t="e">
        <v>#N/A</v>
      </c>
      <c r="DL4" s="310" t="e">
        <v>#N/A</v>
      </c>
      <c r="DM4" s="310" t="e">
        <v>#N/A</v>
      </c>
      <c r="DN4" s="310" t="e">
        <v>#N/A</v>
      </c>
      <c r="DO4" s="310" t="e">
        <v>#N/A</v>
      </c>
      <c r="DP4" s="310" t="e">
        <v>#N/A</v>
      </c>
      <c r="DQ4" s="310" t="e">
        <v>#N/A</v>
      </c>
      <c r="DR4" s="310" t="e">
        <v>#N/A</v>
      </c>
      <c r="DS4" s="310" t="e">
        <v>#N/A</v>
      </c>
      <c r="DT4" s="310" t="e">
        <v>#N/A</v>
      </c>
      <c r="DU4" s="310" t="e">
        <v>#N/A</v>
      </c>
      <c r="DV4" s="310" t="e">
        <v>#N/A</v>
      </c>
      <c r="DW4" s="310" t="e">
        <v>#N/A</v>
      </c>
      <c r="DX4" s="310" t="e">
        <v>#N/A</v>
      </c>
      <c r="DY4" s="310" t="e">
        <v>#N/A</v>
      </c>
      <c r="DZ4" s="310" t="e">
        <f>VLOOKUP(DZ$3,BOM!$A:$D,3,0)</f>
        <v>#N/A</v>
      </c>
      <c r="EA4" s="310">
        <f>VLOOKUP(EA$3,BOM!$A:$D,3,0)</f>
        <v>0</v>
      </c>
      <c r="EB4" s="310">
        <f>VLOOKUP(EB$3,BOM!$A:$D,3,0)</f>
        <v>0</v>
      </c>
      <c r="EC4" s="310">
        <f>VLOOKUP(EC$3,BOM!$A:$D,3,0)</f>
        <v>0</v>
      </c>
      <c r="ED4" s="310" t="e">
        <f>VLOOKUP(ED$3,BOM!$A:$D,3,0)</f>
        <v>#N/A</v>
      </c>
      <c r="EE4" s="310">
        <f>VLOOKUP(EE$3,BOM!$A:$D,3,0)</f>
        <v>4.8060000000000009</v>
      </c>
      <c r="EF4" s="310">
        <f>VLOOKUP(EF$3,BOM!$A:$D,3,0)</f>
        <v>0</v>
      </c>
      <c r="EG4" s="310">
        <f>VLOOKUP(EG$3,BOM!$A:$D,3,0)</f>
        <v>0</v>
      </c>
      <c r="EH4" s="310" t="e">
        <f>VLOOKUP(EH$3,BOM!$A:$D,3,0)</f>
        <v>#N/A</v>
      </c>
      <c r="EI4" s="310">
        <f>VLOOKUP(EI$3,BOM!$A:$D,3,0)</f>
        <v>0</v>
      </c>
      <c r="EJ4" s="310">
        <f>VLOOKUP(EJ$3,BOM!$A:$D,3,0)</f>
        <v>125.27640000000002</v>
      </c>
      <c r="EK4" s="310">
        <f>VLOOKUP(EK$3,BOM!$A:$D,3,0)</f>
        <v>48.594000000000001</v>
      </c>
      <c r="EL4" s="310">
        <f>VLOOKUP(EL$3,BOM!$A:$D,3,0)</f>
        <v>380.47500000000008</v>
      </c>
      <c r="EM4" s="310" t="e">
        <f>VLOOKUP(EM$3,BOM!$A:$D,3,0)</f>
        <v>#N/A</v>
      </c>
      <c r="EN4" s="310" t="e">
        <f>VLOOKUP(EN$3,BOM!$A:$D,3,0)</f>
        <v>#N/A</v>
      </c>
      <c r="EO4" s="310">
        <f>VLOOKUP(EO$3,BOM!$A:$D,3,0)</f>
        <v>0</v>
      </c>
      <c r="EP4" s="310">
        <f>VLOOKUP(EP$3,BOM!$A:$D,3,0)</f>
        <v>0</v>
      </c>
      <c r="EQ4" s="310">
        <f>VLOOKUP(EQ$3,BOM!$A:$D,3,0)</f>
        <v>0</v>
      </c>
      <c r="ER4" s="310" t="e">
        <f>VLOOKUP(ER$3,BOM!$A:$D,3,0)</f>
        <v>#N/A</v>
      </c>
      <c r="ES4" s="310">
        <f>VLOOKUP(ES$3,BOM!$A:$D,3,0)</f>
        <v>4.8060000000000009</v>
      </c>
      <c r="ET4" s="310">
        <f>VLOOKUP(ET$3,BOM!$A:$D,3,0)</f>
        <v>0</v>
      </c>
      <c r="EU4" s="310">
        <f>VLOOKUP(EU$3,BOM!$A:$D,3,0)</f>
        <v>0</v>
      </c>
      <c r="EV4" s="310" t="e">
        <f>VLOOKUP(EV$3,BOM!$A:$D,3,0)</f>
        <v>#N/A</v>
      </c>
      <c r="EW4" s="310">
        <f>VLOOKUP(EW$3,BOM!$A:$D,3,0)</f>
        <v>0</v>
      </c>
      <c r="EX4" s="310">
        <f>VLOOKUP(EX$3,BOM!$A:$D,3,0)</f>
        <v>48.594000000000001</v>
      </c>
      <c r="EY4" s="310">
        <f>VLOOKUP(EY$3,BOM!$A:$D,3,0)</f>
        <v>125.27640000000002</v>
      </c>
      <c r="EZ4" s="310">
        <f>VLOOKUP(EZ$3,BOM!$A:$D,3,0)</f>
        <v>380.47500000000008</v>
      </c>
      <c r="FA4" s="310">
        <f>VLOOKUP(FA$3,BOM!$A:$D,3,0)</f>
        <v>13.961400000000001</v>
      </c>
      <c r="FB4" s="310">
        <f>VLOOKUP(FB$3,BOM!$A:$D,3,0)</f>
        <v>0</v>
      </c>
      <c r="FC4" s="310">
        <f>VLOOKUP(FC$3,BOM!$A:$D,3,0)</f>
        <v>0</v>
      </c>
      <c r="FD4" s="310">
        <f>VLOOKUP(FD$3,BOM!$A:$D,3,0)</f>
        <v>0</v>
      </c>
      <c r="FE4" s="310" t="e">
        <f>VLOOKUP(FE$3,BOM!$A:$D,3,0)</f>
        <v>#N/A</v>
      </c>
      <c r="FF4" s="310" t="e">
        <f>VLOOKUP(FF$3,BOM!$A:$D,3,0)</f>
        <v>#N/A</v>
      </c>
      <c r="FG4" s="310">
        <f>VLOOKUP(FG$3,BOM!$A:$D,3,0)</f>
        <v>0</v>
      </c>
      <c r="FH4" s="310">
        <f>VLOOKUP(FH$3,BOM!$A:$D,3,0)</f>
        <v>0</v>
      </c>
      <c r="FI4" s="310">
        <f>VLOOKUP(FI$3,BOM!$A:$D,3,0)</f>
        <v>0</v>
      </c>
      <c r="FJ4" s="310">
        <f>VLOOKUP(FJ$3,BOM!$A:$D,3,0)</f>
        <v>0</v>
      </c>
      <c r="FK4" s="408"/>
      <c r="FL4" s="406" t="s">
        <v>287</v>
      </c>
    </row>
    <row r="6" spans="1:168" ht="15" customHeight="1">
      <c r="B6" s="494" t="s">
        <v>483</v>
      </c>
      <c r="C6" s="494"/>
      <c r="D6" s="494"/>
      <c r="E6" s="494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A6" s="494"/>
      <c r="AB6" s="494"/>
      <c r="AC6" s="494"/>
      <c r="AD6" s="494"/>
      <c r="AE6" s="494"/>
      <c r="AF6" s="494"/>
      <c r="AG6" s="494"/>
      <c r="AH6" s="494"/>
      <c r="AI6" s="494"/>
      <c r="AJ6" s="494"/>
      <c r="AK6" s="494"/>
      <c r="AL6" s="494"/>
      <c r="AM6" s="494"/>
      <c r="AN6" s="494"/>
      <c r="AO6" s="494"/>
      <c r="AP6" s="494"/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4"/>
      <c r="BC6" s="494"/>
      <c r="BD6" s="494"/>
      <c r="BE6" s="494"/>
      <c r="BF6" s="494"/>
      <c r="BG6" s="494"/>
      <c r="BH6" s="494"/>
      <c r="BI6" s="494"/>
      <c r="BJ6" s="494"/>
      <c r="BK6" s="494"/>
      <c r="BL6" s="494"/>
      <c r="BM6" s="494"/>
      <c r="BN6" s="494"/>
      <c r="BO6" s="494"/>
      <c r="BP6" s="494"/>
      <c r="BQ6" s="494"/>
      <c r="BR6" s="494"/>
      <c r="BS6" s="494"/>
      <c r="BT6" s="494"/>
      <c r="BU6" s="494"/>
      <c r="BV6" s="494"/>
      <c r="BW6" s="494"/>
      <c r="BX6" s="494"/>
      <c r="BY6" s="494"/>
      <c r="BZ6" s="494"/>
      <c r="CA6" s="494"/>
      <c r="CB6" s="494"/>
      <c r="CC6" s="494"/>
      <c r="CD6" s="494"/>
      <c r="CE6" s="494"/>
      <c r="CF6" s="494"/>
      <c r="CG6" s="494"/>
      <c r="CH6" s="494"/>
      <c r="CI6" s="494"/>
      <c r="CJ6" s="494"/>
      <c r="CK6" s="494"/>
      <c r="CL6" s="494"/>
      <c r="CM6" s="494"/>
      <c r="CN6" s="494"/>
      <c r="CO6" s="494"/>
      <c r="CP6" s="494"/>
      <c r="CQ6" s="494"/>
      <c r="CR6" s="494"/>
      <c r="CS6" s="494"/>
      <c r="CT6" s="494"/>
      <c r="CU6" s="494"/>
      <c r="CV6" s="494"/>
      <c r="CW6" s="494"/>
      <c r="CX6" s="494"/>
      <c r="CY6" s="494"/>
      <c r="CZ6" s="494"/>
      <c r="DA6" s="494"/>
      <c r="DB6" s="494"/>
      <c r="DC6" s="494"/>
      <c r="DD6" s="494"/>
      <c r="DE6" s="494"/>
      <c r="DF6" s="494"/>
      <c r="DG6" s="494"/>
      <c r="DH6" s="494"/>
      <c r="DI6" s="494"/>
      <c r="DJ6" s="494"/>
      <c r="DK6" s="494"/>
      <c r="DL6" s="494"/>
      <c r="DM6" s="494"/>
      <c r="DN6" s="494"/>
      <c r="DO6" s="494"/>
      <c r="DP6" s="494"/>
      <c r="DQ6" s="494"/>
      <c r="DR6" s="494"/>
      <c r="DS6" s="494"/>
      <c r="DT6" s="494"/>
      <c r="DU6" s="494"/>
      <c r="DV6" s="494"/>
      <c r="DW6" s="494"/>
      <c r="DX6" s="494"/>
      <c r="DY6" s="494"/>
      <c r="DZ6" s="494"/>
      <c r="EA6" s="494"/>
      <c r="EB6" s="494"/>
      <c r="EC6" s="494"/>
      <c r="ED6" s="494"/>
      <c r="EE6" s="494"/>
      <c r="EF6" s="494"/>
      <c r="EG6" s="494"/>
      <c r="EH6" s="494"/>
      <c r="EI6" s="494"/>
      <c r="EJ6" s="494"/>
      <c r="EK6" s="494"/>
      <c r="EL6" s="494"/>
      <c r="EM6" s="494"/>
    </row>
    <row r="7" spans="1:168" ht="15" customHeight="1">
      <c r="B7" s="312"/>
    </row>
    <row r="8" spans="1:168" ht="15" customHeight="1">
      <c r="B8" s="313"/>
    </row>
    <row r="10" spans="1:168" ht="15" customHeight="1" thickBot="1">
      <c r="B10" s="423"/>
      <c r="H10" s="313"/>
      <c r="J10" s="313"/>
    </row>
    <row r="11" spans="1:168" ht="15" customHeight="1" thickTop="1" thickBot="1">
      <c r="A11" s="480" t="s">
        <v>486</v>
      </c>
      <c r="B11" s="480"/>
      <c r="C11" s="480"/>
      <c r="D11" s="480"/>
      <c r="E11" s="481"/>
    </row>
    <row r="12" spans="1:168" ht="15" customHeight="1" thickTop="1">
      <c r="A12" s="432" t="s">
        <v>270</v>
      </c>
      <c r="B12" s="432" t="s">
        <v>271</v>
      </c>
      <c r="C12" s="432" t="s">
        <v>272</v>
      </c>
      <c r="D12" s="432" t="s">
        <v>274</v>
      </c>
      <c r="E12" s="432" t="s">
        <v>273</v>
      </c>
    </row>
    <row r="13" spans="1:168" ht="15" customHeight="1">
      <c r="A13" s="431">
        <f>IF('Busbar Calculations'!$G$4=1,ROUTING!$B$132,ROUTING!$B$143)</f>
        <v>97.25</v>
      </c>
      <c r="B13" s="431">
        <f>IF('Busbar Calculations'!$G$4=1,ROUTING!$C$132,ROUTING!$C$143)</f>
        <v>4.5999999999999996</v>
      </c>
      <c r="C13" s="431">
        <f>IF('Busbar Calculations'!$G$4=1,ROUTING!$D$132,ROUTING!$D$143)</f>
        <v>4.5</v>
      </c>
      <c r="D13" s="431">
        <f>IF('Busbar Calculations'!$G$4=1,ROUTING!$E$132,ROUTING!$E$143)</f>
        <v>10.850000000000001</v>
      </c>
      <c r="E13" s="431">
        <f>IF('Busbar Calculations'!$G$4=1,ROUTING!$F$132,ROUTING!$F$143)</f>
        <v>0.5</v>
      </c>
      <c r="F13" s="434" t="s">
        <v>487</v>
      </c>
    </row>
    <row r="14" spans="1:168" ht="15" customHeight="1">
      <c r="B14" s="433"/>
      <c r="C14" s="433"/>
      <c r="D14" s="433"/>
      <c r="E14" s="433"/>
      <c r="F14" s="433"/>
    </row>
    <row r="15" spans="1:168" ht="15" customHeight="1">
      <c r="B15" s="433"/>
      <c r="C15" s="433"/>
      <c r="D15" s="433"/>
      <c r="E15" s="433"/>
      <c r="F15" s="433"/>
    </row>
    <row r="16" spans="1:168" ht="15" customHeight="1">
      <c r="B16" s="433"/>
      <c r="C16" s="433"/>
      <c r="D16" s="433"/>
      <c r="E16" s="433"/>
      <c r="F16" s="433"/>
    </row>
    <row r="18" spans="1:8" ht="15" customHeight="1" thickBot="1"/>
    <row r="19" spans="1:8" ht="15" customHeight="1" thickTop="1" thickBot="1">
      <c r="A19" s="490" t="s">
        <v>485</v>
      </c>
      <c r="B19" s="491"/>
      <c r="C19" s="492" t="s">
        <v>486</v>
      </c>
      <c r="D19" s="493"/>
      <c r="E19" s="493"/>
      <c r="F19" s="493"/>
      <c r="G19" s="493"/>
      <c r="H19" s="437"/>
    </row>
    <row r="20" spans="1:8" ht="15" customHeight="1" thickTop="1">
      <c r="A20" s="429" t="s">
        <v>501</v>
      </c>
      <c r="B20" s="435">
        <f>'Busbar Calculations'!$I$261+'Busbar Calculations'!$J$261</f>
        <v>15058.237960728</v>
      </c>
      <c r="C20" s="438" t="s">
        <v>270</v>
      </c>
      <c r="D20" s="439" t="s">
        <v>271</v>
      </c>
      <c r="E20" s="439" t="s">
        <v>272</v>
      </c>
      <c r="F20" s="439" t="s">
        <v>274</v>
      </c>
      <c r="G20" s="439" t="s">
        <v>273</v>
      </c>
      <c r="H20" s="437"/>
    </row>
    <row r="21" spans="1:8" ht="15" customHeight="1">
      <c r="A21" s="429" t="s">
        <v>267</v>
      </c>
      <c r="B21" s="436">
        <f>IF('Busbar Calculations'!$G$4=1,ROUTING!$G$135,ROUTING!$G$146)</f>
        <v>1101.9000000000001</v>
      </c>
      <c r="C21" s="440">
        <f>IF('Busbar Calculations'!$G$4=1,ROUTING!$B$132,ROUTING!$B$143)</f>
        <v>97.25</v>
      </c>
      <c r="D21" s="441">
        <f>IF('Busbar Calculations'!$G$4=1,ROUTING!$C$132,ROUTING!$C$143)</f>
        <v>4.5999999999999996</v>
      </c>
      <c r="E21" s="441">
        <f>IF('Busbar Calculations'!$G$4=1,ROUTING!$D$132,ROUTING!$D$143)</f>
        <v>4.5</v>
      </c>
      <c r="F21" s="441">
        <f>IF('Busbar Calculations'!$G$4=1,ROUTING!$E$132,ROUTING!$E$143)</f>
        <v>10.850000000000001</v>
      </c>
      <c r="G21" s="441">
        <f>IF('Busbar Calculations'!$G$4=1,ROUTING!$F$132,ROUTING!$F$143)</f>
        <v>0.5</v>
      </c>
      <c r="H21" s="442" t="s">
        <v>487</v>
      </c>
    </row>
    <row r="22" spans="1:8" ht="15" customHeight="1">
      <c r="A22" s="429" t="s">
        <v>268</v>
      </c>
      <c r="B22" s="436">
        <f>IF('Busbar Calculations'!$G$4=1,ROUTING!$G$134,ROUTING!$G$145)</f>
        <v>2293.75</v>
      </c>
      <c r="C22" s="440">
        <f>C21</f>
        <v>97.25</v>
      </c>
      <c r="D22" s="441">
        <f t="shared" ref="D22:G22" si="0">D21</f>
        <v>4.5999999999999996</v>
      </c>
      <c r="E22" s="441">
        <f t="shared" si="0"/>
        <v>4.5</v>
      </c>
      <c r="F22" s="441">
        <f t="shared" si="0"/>
        <v>10.850000000000001</v>
      </c>
      <c r="G22" s="441">
        <f t="shared" si="0"/>
        <v>0.5</v>
      </c>
      <c r="H22" s="442" t="s">
        <v>488</v>
      </c>
    </row>
    <row r="23" spans="1:8" ht="15" customHeight="1">
      <c r="A23" s="429" t="s">
        <v>489</v>
      </c>
      <c r="B23" s="430">
        <f>IF('ENCL 2013'!$D$6="NEMA-1",RESULTS!$B$4,IF('ENCL 2013'!$D$6="NEMA-12",RESULTS!$C$4,IF('ENCL 2013'!$D$6="NEMA-3R",RESULTS!$D$4,IF('ENCL 2013'!$D$6="NEMA-4",RESULTS!$E$4,IF('ENCL 2013'!$D$6="NEMA-4X",RESULTS!$F$4,"Error")))))+'Busbar Calculations'!$J$262*'Busbar Calculations'!$C$4+'Busbar Calculations'!$K$262*'Busbar Calculations'!$E$4</f>
        <v>4416.45</v>
      </c>
    </row>
    <row r="24" spans="1:8" ht="15" customHeight="1">
      <c r="B24" s="445"/>
    </row>
    <row r="151" spans="30:30" ht="15" customHeight="1">
      <c r="AD151" s="311" t="b">
        <f>IF(RESULTS!W4=1,RESULTS!AD74)</f>
        <v>0</v>
      </c>
    </row>
  </sheetData>
  <mergeCells count="27">
    <mergeCell ref="A19:B19"/>
    <mergeCell ref="C19:G19"/>
    <mergeCell ref="B6:EM6"/>
    <mergeCell ref="T1:X1"/>
    <mergeCell ref="Y1:AP1"/>
    <mergeCell ref="AQ1:AV1"/>
    <mergeCell ref="AW1:BB1"/>
    <mergeCell ref="BC1:BH1"/>
    <mergeCell ref="BI1:BN1"/>
    <mergeCell ref="BO1:BW1"/>
    <mergeCell ref="BX1:CF1"/>
    <mergeCell ref="CG1:CO1"/>
    <mergeCell ref="CP1:CX1"/>
    <mergeCell ref="A1:A2"/>
    <mergeCell ref="B1:F1"/>
    <mergeCell ref="G1:J1"/>
    <mergeCell ref="A11:E11"/>
    <mergeCell ref="K1:N1"/>
    <mergeCell ref="O1:S1"/>
    <mergeCell ref="FB1:FI1"/>
    <mergeCell ref="FL1:FL2"/>
    <mergeCell ref="AK2:AO2"/>
    <mergeCell ref="CY1:DG1"/>
    <mergeCell ref="DH1:DP1"/>
    <mergeCell ref="DQ1:DY1"/>
    <mergeCell ref="DZ1:EM1"/>
    <mergeCell ref="EN1:FA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67"/>
  <sheetViews>
    <sheetView topLeftCell="C235" zoomScale="85" zoomScaleNormal="85" workbookViewId="0">
      <selection activeCell="G4" sqref="G4:H4"/>
    </sheetView>
  </sheetViews>
  <sheetFormatPr defaultColWidth="9.140625" defaultRowHeight="12"/>
  <cols>
    <col min="1" max="1" width="16.42578125" style="60" bestFit="1" customWidth="1"/>
    <col min="2" max="2" width="14.42578125" style="60" customWidth="1"/>
    <col min="3" max="3" width="12.5703125" style="60" customWidth="1"/>
    <col min="4" max="4" width="17.5703125" style="60" customWidth="1"/>
    <col min="5" max="5" width="14.140625" style="60" bestFit="1" customWidth="1"/>
    <col min="6" max="6" width="20.140625" style="60" customWidth="1"/>
    <col min="7" max="7" width="18.85546875" style="60" customWidth="1"/>
    <col min="8" max="8" width="13.140625" style="60" customWidth="1"/>
    <col min="9" max="9" width="14.42578125" style="60" customWidth="1"/>
    <col min="10" max="10" width="16.5703125" style="60" bestFit="1" customWidth="1"/>
    <col min="11" max="11" width="14.140625" style="60" customWidth="1"/>
    <col min="12" max="12" width="11.42578125" style="60" customWidth="1"/>
    <col min="13" max="13" width="12.7109375" style="60" customWidth="1"/>
    <col min="14" max="14" width="11.42578125" style="60" customWidth="1"/>
    <col min="15" max="15" width="14.42578125" style="80" customWidth="1"/>
    <col min="16" max="16" width="15.5703125" style="80" customWidth="1"/>
    <col min="17" max="20" width="11.42578125" style="60" customWidth="1"/>
    <col min="21" max="21" width="13.7109375" style="60" customWidth="1"/>
    <col min="22" max="25" width="11.42578125" style="60" customWidth="1"/>
    <col min="26" max="26" width="25" style="67" bestFit="1" customWidth="1"/>
    <col min="27" max="16384" width="9.140625" style="67"/>
  </cols>
  <sheetData>
    <row r="1" spans="1:25" s="62" customFormat="1" ht="50.25" customHeight="1" thickBot="1">
      <c r="A1" s="496" t="s">
        <v>63</v>
      </c>
      <c r="B1" s="496"/>
      <c r="C1" s="499" t="s">
        <v>85</v>
      </c>
      <c r="D1" s="499"/>
      <c r="E1" s="499" t="s">
        <v>84</v>
      </c>
      <c r="F1" s="499"/>
      <c r="G1" s="499" t="s">
        <v>75</v>
      </c>
      <c r="H1" s="499"/>
      <c r="I1" s="499" t="s">
        <v>59</v>
      </c>
      <c r="J1" s="499"/>
      <c r="K1" s="499" t="s">
        <v>58</v>
      </c>
      <c r="L1" s="499"/>
      <c r="M1" s="499" t="s">
        <v>62</v>
      </c>
      <c r="N1" s="499"/>
      <c r="O1" s="499" t="s">
        <v>60</v>
      </c>
      <c r="P1" s="499"/>
      <c r="Q1" s="499" t="s">
        <v>61</v>
      </c>
      <c r="R1" s="499"/>
    </row>
    <row r="2" spans="1:25" s="62" customFormat="1" ht="34.5" customHeight="1" thickBot="1">
      <c r="A2" s="498">
        <f>'BUSBAR DATA'!$C$59</f>
        <v>26.179319999999997</v>
      </c>
      <c r="B2" s="498"/>
      <c r="C2" s="498">
        <f>'BUSBAR DATA'!$C$60</f>
        <v>0.75119999999999998</v>
      </c>
      <c r="D2" s="498"/>
      <c r="E2" s="498">
        <f>'BUSBAR DATA'!$C$74</f>
        <v>350</v>
      </c>
      <c r="F2" s="498"/>
      <c r="G2" s="497" t="str">
        <f>IF(G4=1,"WITH SLEEVE","WITH OUT")</f>
        <v>WITH OUT</v>
      </c>
      <c r="H2" s="497"/>
      <c r="I2" s="497" t="str">
        <f>IF(I4=1,"FORM1/2","FORM3/4")</f>
        <v>FORM1/2</v>
      </c>
      <c r="J2" s="497"/>
      <c r="K2" s="497" t="str">
        <f>IF(K4=1,"OLD IEC","NEW IEC")</f>
        <v>OLD IEC</v>
      </c>
      <c r="L2" s="497"/>
      <c r="M2" s="497" t="str">
        <f>IF(M4=3,"3 Pole","4 Pole")</f>
        <v>3 Pole</v>
      </c>
      <c r="N2" s="497"/>
      <c r="O2" s="497"/>
      <c r="P2" s="497"/>
      <c r="Q2" s="497"/>
      <c r="R2" s="497"/>
    </row>
    <row r="3" spans="1:25" s="62" customFormat="1" ht="39" customHeight="1" thickBot="1">
      <c r="A3" s="496"/>
      <c r="B3" s="496"/>
      <c r="C3" s="496" t="s">
        <v>74</v>
      </c>
      <c r="D3" s="496"/>
      <c r="E3" s="496" t="s">
        <v>74</v>
      </c>
      <c r="F3" s="496"/>
      <c r="G3" s="496" t="s">
        <v>490</v>
      </c>
      <c r="H3" s="496"/>
      <c r="I3" s="496" t="s">
        <v>491</v>
      </c>
      <c r="J3" s="496"/>
      <c r="K3" s="496" t="s">
        <v>492</v>
      </c>
      <c r="L3" s="496"/>
      <c r="M3" s="496" t="s">
        <v>495</v>
      </c>
      <c r="N3" s="496"/>
      <c r="O3" s="496" t="s">
        <v>493</v>
      </c>
      <c r="P3" s="496"/>
      <c r="Q3" s="496" t="s">
        <v>494</v>
      </c>
      <c r="R3" s="496"/>
    </row>
    <row r="4" spans="1:25" s="62" customFormat="1" ht="34.5" customHeight="1" thickBot="1">
      <c r="A4" s="497"/>
      <c r="B4" s="497"/>
      <c r="C4" s="497">
        <f>IF(OR('BUSBAR DATA'!$D$46=1,'BUSBAR DATA'!$D$46=3),1,0)</f>
        <v>1</v>
      </c>
      <c r="D4" s="497"/>
      <c r="E4" s="497">
        <f>IF(OR('BUSBAR DATA'!$D$46=2,'BUSBAR DATA'!$D$46=4),1,0)</f>
        <v>0</v>
      </c>
      <c r="F4" s="497"/>
      <c r="G4" s="497">
        <f>IF(OR('BUSBAR DATA'!$D$46=3,'BUSBAR DATA'!$D$46=4),1,0)</f>
        <v>0</v>
      </c>
      <c r="H4" s="497"/>
      <c r="I4" s="497">
        <f>IF('BUSBAR DATA'!$D$44=1,1,2)</f>
        <v>1</v>
      </c>
      <c r="J4" s="497"/>
      <c r="K4" s="497">
        <f>'BUSBAR DATA'!$D$42</f>
        <v>1</v>
      </c>
      <c r="L4" s="497"/>
      <c r="M4" s="500">
        <f>IF('BUSBAR DATA'!$D$50=1,3,4)</f>
        <v>3</v>
      </c>
      <c r="N4" s="501"/>
      <c r="O4" s="497">
        <f>'BUSBAR DATA'!$D$52</f>
        <v>1</v>
      </c>
      <c r="P4" s="497"/>
      <c r="Q4" s="497">
        <f>'BUSBAR DATA'!$D$54</f>
        <v>1</v>
      </c>
      <c r="R4" s="497"/>
    </row>
    <row r="5" spans="1:25" ht="20.25" customHeight="1" thickBot="1">
      <c r="A5" s="63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5"/>
      <c r="P5" s="65"/>
      <c r="Q5" s="64"/>
      <c r="R5" s="66"/>
      <c r="S5" s="66"/>
      <c r="T5" s="66"/>
      <c r="U5" s="66"/>
      <c r="V5" s="66"/>
      <c r="W5" s="66"/>
      <c r="X5" s="66"/>
      <c r="Y5" s="66"/>
    </row>
    <row r="6" spans="1:25" s="68" customFormat="1" ht="21.75" customHeight="1" thickBot="1">
      <c r="A6" s="502" t="s">
        <v>70</v>
      </c>
      <c r="B6" s="503"/>
      <c r="C6" s="503"/>
      <c r="D6" s="503"/>
      <c r="E6" s="503"/>
      <c r="F6" s="503"/>
      <c r="G6" s="503"/>
      <c r="H6" s="503"/>
      <c r="I6" s="503"/>
      <c r="J6" s="503"/>
      <c r="K6" s="503"/>
      <c r="L6" s="503"/>
      <c r="M6" s="503"/>
      <c r="N6" s="503"/>
      <c r="O6" s="503"/>
      <c r="P6" s="503"/>
      <c r="Q6" s="503"/>
      <c r="R6" s="504"/>
    </row>
    <row r="7" spans="1:25" ht="22.5" customHeight="1" thickBot="1">
      <c r="A7" s="69" t="s">
        <v>26</v>
      </c>
      <c r="B7" s="69" t="s">
        <v>20</v>
      </c>
      <c r="C7" s="69"/>
      <c r="D7" s="69" t="s">
        <v>64</v>
      </c>
      <c r="E7" s="69"/>
      <c r="F7" s="69" t="s">
        <v>76</v>
      </c>
      <c r="G7" s="69" t="s">
        <v>413</v>
      </c>
      <c r="H7" s="69" t="s">
        <v>410</v>
      </c>
      <c r="I7" s="69" t="s">
        <v>192</v>
      </c>
      <c r="J7" s="69" t="s">
        <v>411</v>
      </c>
      <c r="K7" s="69" t="s">
        <v>412</v>
      </c>
      <c r="L7" s="69" t="s">
        <v>87</v>
      </c>
      <c r="M7" s="69"/>
      <c r="N7" s="113" t="s">
        <v>365</v>
      </c>
      <c r="O7" s="114" t="s">
        <v>366</v>
      </c>
      <c r="P7" s="114" t="s">
        <v>367</v>
      </c>
      <c r="Q7" s="114" t="s">
        <v>368</v>
      </c>
      <c r="R7" s="114" t="s">
        <v>369</v>
      </c>
      <c r="S7" s="114" t="s">
        <v>370</v>
      </c>
      <c r="T7" s="113" t="s">
        <v>371</v>
      </c>
      <c r="U7" s="114" t="s">
        <v>372</v>
      </c>
      <c r="V7" s="114" t="s">
        <v>373</v>
      </c>
      <c r="W7" s="114" t="s">
        <v>374</v>
      </c>
      <c r="X7" s="114" t="s">
        <v>375</v>
      </c>
      <c r="Y7" s="114" t="s">
        <v>376</v>
      </c>
    </row>
    <row r="8" spans="1:25">
      <c r="A8" s="71">
        <v>250</v>
      </c>
      <c r="B8" s="71">
        <v>600</v>
      </c>
      <c r="C8" s="71"/>
      <c r="D8" s="71">
        <f>$M$4</f>
        <v>3</v>
      </c>
      <c r="E8" s="72"/>
      <c r="F8" s="73">
        <f>SUM(N8:S8)</f>
        <v>0</v>
      </c>
      <c r="G8" s="72">
        <f>SUM(T8:Y8)</f>
        <v>0</v>
      </c>
      <c r="H8" s="73">
        <v>0</v>
      </c>
      <c r="I8" s="73">
        <f>($A$2*F8)</f>
        <v>0</v>
      </c>
      <c r="J8" s="73">
        <f>(F8*$C$2)</f>
        <v>0</v>
      </c>
      <c r="K8" s="73">
        <f>(G8*$E$2)</f>
        <v>0</v>
      </c>
      <c r="L8" s="74">
        <f>'BUSBAR 2013'!$B$11</f>
        <v>0</v>
      </c>
      <c r="M8" s="73"/>
      <c r="N8" s="73">
        <f>IF($K$4=1,VLOOKUP(A8,Table_Old,13,0)*$M$4*B8*L8*(8.9/1000000),VLOOKUP(A8,Table_New,13,0)*$M$4*B8*L8*(8.9/1000000))</f>
        <v>0</v>
      </c>
      <c r="O8" s="73">
        <f>IF($K$4=1,VLOOKUP(A8,Table_Old,14,0)*B8*L8*(8.9/1000000),VLOOKUP(A8,Table_New,14,0)*B8*L8*(8.9/1000000))*IF('ENCL 2013'!$F$43&gt;1,1,0)</f>
        <v>0</v>
      </c>
      <c r="P8" s="73">
        <f>IF($K$4=1,VLOOKUP(A8,Table_Old,15,0)*B8*L8*(8.9/1000000),VLOOKUP(A8,Table_New,15,0)*B8*L8*(8.9/1000000))*IF('ENCL 2013'!$F$43&gt;1,1,0)</f>
        <v>0</v>
      </c>
      <c r="Q8" s="73">
        <f>IF($K$4=1,VLOOKUP(A8,Table_Old,16,0)*B8*L8*(8.9/1000000),VLOOKUP(A8,Table_New,16,0)*B8*L8*(8.9/1000000))*IF('ENCL 2013'!$F$43&gt;1,1,0)</f>
        <v>0</v>
      </c>
      <c r="R8" s="73">
        <f>IF($K$4=1,VLOOKUP(A8,Table_Old,17,0)*B8*L8*(8.9/1000000),VLOOKUP(A8,Table_New,17,0)*B8*L8*(8.9/1000000))*IF('ENCL 2013'!$F$43&gt;1,1,0)</f>
        <v>0</v>
      </c>
      <c r="S8" s="73">
        <f>IF($K$4=1,VLOOKUP(A8,Table_Old,18,0)*B8*L8*(8.9/1000000),VLOOKUP(A8,Table_New,18,0)*B8*L8*(8.9/1000000))*IF('ENCL 2013'!$F$43&gt;1,1,0)</f>
        <v>0</v>
      </c>
      <c r="T8" s="73">
        <f t="shared" ref="T8:T11" si="0">IF($K$4=1,VLOOKUP(A8,Table_Old,19,0)*$M$4*B8*L8/1000000,VLOOKUP(A8,Table_New,19,0)*$M$4*B8*L8/1000000)</f>
        <v>0</v>
      </c>
      <c r="U8" s="73">
        <f>IF($K$4=1,VLOOKUP(A8,Table_Old,20,0)*B8*L8/1000000,VLOOKUP(A8,Table_New,20,0)*B8*L8/1000000)*IF('ENCL 2013'!$F$43&gt;1,1,0)</f>
        <v>0</v>
      </c>
      <c r="V8" s="73">
        <f>IF($K$4=1,VLOOKUP(A8,Table_Old,21,0)*B8*L8/1000000,VLOOKUP(A8,Table_New,21,0)*B8*L8/1000000)*IF('ENCL 2013'!$F$43&gt;1,1,0)</f>
        <v>0</v>
      </c>
      <c r="W8" s="73">
        <f>IF($K$4=1,VLOOKUP(A8,Table_Old,22,0)*B8*L8/1000000,VLOOKUP(A8,Table_New,22,0)*B8*L8/1000000)*IF('ENCL 2013'!$F$43&gt;1,1,0)</f>
        <v>0</v>
      </c>
      <c r="X8" s="73">
        <f>IF($K$4=1,VLOOKUP(A8,Table_Old,23,0)*B8*L8/1000000,VLOOKUP(A8,Table_New,23,0)*B8*L8/1000000)*IF('ENCL 2013'!$F$43&gt;1,1,0)</f>
        <v>0</v>
      </c>
      <c r="Y8" s="73">
        <f>IF($K$4=1,VLOOKUP(A8,Table_Old,24,0)*B8*L8/1000000,VLOOKUP(A8,Table_New,24,0)*B8*L8/1000000)*IF('ENCL 2013'!$F$43&gt;1,1,0)</f>
        <v>0</v>
      </c>
    </row>
    <row r="9" spans="1:25">
      <c r="A9" s="77">
        <f>A8</f>
        <v>250</v>
      </c>
      <c r="B9" s="71">
        <v>800</v>
      </c>
      <c r="C9" s="71"/>
      <c r="D9" s="71">
        <f t="shared" ref="D9:D11" si="1">$M$4</f>
        <v>3</v>
      </c>
      <c r="E9" s="72"/>
      <c r="F9" s="73">
        <f t="shared" ref="F9:F11" si="2">SUM(N9:S9)</f>
        <v>0</v>
      </c>
      <c r="G9" s="72">
        <f t="shared" ref="G9:G11" si="3">SUM(T9:Y9)</f>
        <v>0</v>
      </c>
      <c r="H9" s="73">
        <v>0</v>
      </c>
      <c r="I9" s="73">
        <f t="shared" ref="I9:I11" si="4">($A$2*F9)</f>
        <v>0</v>
      </c>
      <c r="J9" s="73">
        <f>(F9*$C$2)</f>
        <v>0</v>
      </c>
      <c r="K9" s="73">
        <f>(G9*$E$2)</f>
        <v>0</v>
      </c>
      <c r="L9" s="74">
        <f>'BUSBAR 2013'!$B$12</f>
        <v>0</v>
      </c>
      <c r="M9" s="73"/>
      <c r="N9" s="73">
        <f t="shared" ref="N9:N11" si="5">IF($K$4=1,VLOOKUP(A9,Table_Old,13,0)*$M$4*B9*L9*(8.9/1000000),VLOOKUP(A9,Table_New,13,0)*$M$4*B9*L9*(8.9/1000000))</f>
        <v>0</v>
      </c>
      <c r="O9" s="73">
        <f>IF($K$4=1,VLOOKUP(A9,Table_Old,14,0)*B9*L9*(8.9/1000000),VLOOKUP(A9,Table_New,14,0)*B9*L9*(8.9/1000000))*IF('ENCL 2013'!$F$43&gt;1,1,0)</f>
        <v>0</v>
      </c>
      <c r="P9" s="73">
        <f>IF($K$4=1,VLOOKUP(A9,Table_Old,15,0)*B9*L9*(8.9/1000000),VLOOKUP(A9,Table_New,15,0)*B9*L9*(8.9/1000000))*IF('ENCL 2013'!$F$43&gt;1,1,0)</f>
        <v>0</v>
      </c>
      <c r="Q9" s="73">
        <f>IF($K$4=1,VLOOKUP(A9,Table_Old,16,0)*B9*L9*(8.9/1000000),VLOOKUP(A9,Table_New,16,0)*B9*L9*(8.9/1000000))*IF('ENCL 2013'!$F$43&gt;1,1,0)</f>
        <v>0</v>
      </c>
      <c r="R9" s="73">
        <f>IF($K$4=1,VLOOKUP(A9,Table_Old,17,0)*B9*L9*(8.9/1000000),VLOOKUP(A9,Table_New,17,0)*B9*L9*(8.9/1000000))*IF('ENCL 2013'!$F$43&gt;1,1,0)</f>
        <v>0</v>
      </c>
      <c r="S9" s="73">
        <f>IF($K$4=1,VLOOKUP(A9,Table_Old,18,0)*B9*L9*(8.9/1000000),VLOOKUP(A9,Table_New,18,0)*B9*L9*(8.9/1000000))*IF('ENCL 2013'!$F$43&gt;1,1,0)</f>
        <v>0</v>
      </c>
      <c r="T9" s="73">
        <f t="shared" si="0"/>
        <v>0</v>
      </c>
      <c r="U9" s="73">
        <f>IF($K$4=1,VLOOKUP(A9,Table_Old,20,0)*B9*L9/1000000,VLOOKUP(A9,Table_New,20,0)*B9*L9/1000000)*IF('ENCL 2013'!$F$43&gt;1,1,0)</f>
        <v>0</v>
      </c>
      <c r="V9" s="73">
        <f>IF($K$4=1,VLOOKUP(A9,Table_Old,21,0)*B9*L9/1000000,VLOOKUP(A9,Table_New,21,0)*B9*L9/1000000)*IF('ENCL 2013'!$F$43&gt;1,1,0)</f>
        <v>0</v>
      </c>
      <c r="W9" s="73">
        <f>IF($K$4=1,VLOOKUP(A9,Table_Old,22,0)*B9*L9/1000000,VLOOKUP(A9,Table_New,22,0)*B9*L9/1000000)*IF('ENCL 2013'!$F$43&gt;1,1,0)</f>
        <v>0</v>
      </c>
      <c r="X9" s="73">
        <f>IF($K$4=1,VLOOKUP(A9,Table_Old,23,0)*B9*L9/1000000,VLOOKUP(A9,Table_New,23,0)*B9*L9/1000000)*IF('ENCL 2013'!$F$43&gt;1,1,0)</f>
        <v>0</v>
      </c>
      <c r="Y9" s="73">
        <f>IF($K$4=1,VLOOKUP(A9,Table_Old,24,0)*B9*L9/1000000,VLOOKUP(A9,Table_New,24,0)*B9*L9/1000000)*IF('ENCL 2013'!$F$43&gt;1,1,0)</f>
        <v>0</v>
      </c>
    </row>
    <row r="10" spans="1:25">
      <c r="A10" s="77">
        <f>A8</f>
        <v>250</v>
      </c>
      <c r="B10" s="71">
        <v>1000</v>
      </c>
      <c r="C10" s="71"/>
      <c r="D10" s="71">
        <f t="shared" si="1"/>
        <v>3</v>
      </c>
      <c r="E10" s="72"/>
      <c r="F10" s="73">
        <f t="shared" si="2"/>
        <v>0</v>
      </c>
      <c r="G10" s="72">
        <f t="shared" si="3"/>
        <v>0</v>
      </c>
      <c r="H10" s="73">
        <v>0</v>
      </c>
      <c r="I10" s="73">
        <f t="shared" si="4"/>
        <v>0</v>
      </c>
      <c r="J10" s="73">
        <f t="shared" ref="J10:J11" si="6">(F10*$C$2)</f>
        <v>0</v>
      </c>
      <c r="K10" s="73">
        <f t="shared" ref="K10:K11" si="7">(G10*$E$2)</f>
        <v>0</v>
      </c>
      <c r="L10" s="74">
        <f>'BUSBAR 2013'!$B$13</f>
        <v>0</v>
      </c>
      <c r="M10" s="73"/>
      <c r="N10" s="73">
        <f t="shared" si="5"/>
        <v>0</v>
      </c>
      <c r="O10" s="73">
        <f>IF($K$4=1,VLOOKUP(A10,Table_Old,14,0)*B10*L10*(8.9/1000000),VLOOKUP(A10,Table_New,14,0)*B10*L10*(8.9/1000000))*IF('ENCL 2013'!$F$43&gt;1,1,0)</f>
        <v>0</v>
      </c>
      <c r="P10" s="73">
        <f>IF($K$4=1,VLOOKUP(A10,Table_Old,15,0)*B10*L10*(8.9/1000000),VLOOKUP(A10,Table_New,15,0)*B10*L10*(8.9/1000000))*IF('ENCL 2013'!$F$43&gt;1,1,0)</f>
        <v>0</v>
      </c>
      <c r="Q10" s="73">
        <f>IF($K$4=1,VLOOKUP(A10,Table_Old,16,0)*B10*L10*(8.9/1000000),VLOOKUP(A10,Table_New,16,0)*B10*L10*(8.9/1000000))*IF('ENCL 2013'!$F$43&gt;1,1,0)</f>
        <v>0</v>
      </c>
      <c r="R10" s="73">
        <f>IF($K$4=1,VLOOKUP(A10,Table_Old,17,0)*B10*L10*(8.9/1000000),VLOOKUP(A10,Table_New,17,0)*B10*L10*(8.9/1000000))*IF('ENCL 2013'!$F$43&gt;1,1,0)</f>
        <v>0</v>
      </c>
      <c r="S10" s="73">
        <f>IF($K$4=1,VLOOKUP(A10,Table_Old,18,0)*B10*L10*(8.9/1000000),VLOOKUP(A10,Table_New,18,0)*B10*L10*(8.9/1000000))*IF('ENCL 2013'!$F$43&gt;1,1,0)</f>
        <v>0</v>
      </c>
      <c r="T10" s="73">
        <f t="shared" si="0"/>
        <v>0</v>
      </c>
      <c r="U10" s="73">
        <f>IF($K$4=1,VLOOKUP(A10,Table_Old,20,0)*B10*L10/1000000,VLOOKUP(A10,Table_New,20,0)*B10*L10/1000000)*IF('ENCL 2013'!$F$43&gt;1,1,0)</f>
        <v>0</v>
      </c>
      <c r="V10" s="73">
        <f>IF($K$4=1,VLOOKUP(A10,Table_Old,21,0)*B10*L10/1000000,VLOOKUP(A10,Table_New,21,0)*B10*L10/1000000)*IF('ENCL 2013'!$F$43&gt;1,1,0)</f>
        <v>0</v>
      </c>
      <c r="W10" s="73">
        <f>IF($K$4=1,VLOOKUP(A10,Table_Old,22,0)*B10*L10/1000000,VLOOKUP(A10,Table_New,22,0)*B10*L10/1000000)*IF('ENCL 2013'!$F$43&gt;1,1,0)</f>
        <v>0</v>
      </c>
      <c r="X10" s="73">
        <f>IF($K$4=1,VLOOKUP(A10,Table_Old,23,0)*B10*L10/1000000,VLOOKUP(A10,Table_New,23,0)*B10*L10/1000000)*IF('ENCL 2013'!$F$43&gt;1,1,0)</f>
        <v>0</v>
      </c>
      <c r="Y10" s="73">
        <f>IF($K$4=1,VLOOKUP(A10,Table_Old,24,0)*B10*L10/1000000,VLOOKUP(A10,Table_New,24,0)*B10*L10/1000000)*IF('ENCL 2013'!$F$43&gt;1,1,0)</f>
        <v>0</v>
      </c>
    </row>
    <row r="11" spans="1:25">
      <c r="A11" s="77">
        <f>A8</f>
        <v>250</v>
      </c>
      <c r="B11" s="71">
        <v>1200</v>
      </c>
      <c r="C11" s="71"/>
      <c r="D11" s="71">
        <f t="shared" si="1"/>
        <v>3</v>
      </c>
      <c r="E11" s="72"/>
      <c r="F11" s="73">
        <f t="shared" si="2"/>
        <v>0</v>
      </c>
      <c r="G11" s="72">
        <f t="shared" si="3"/>
        <v>0</v>
      </c>
      <c r="H11" s="73">
        <v>0</v>
      </c>
      <c r="I11" s="73">
        <f t="shared" si="4"/>
        <v>0</v>
      </c>
      <c r="J11" s="73">
        <f t="shared" si="6"/>
        <v>0</v>
      </c>
      <c r="K11" s="73">
        <f t="shared" si="7"/>
        <v>0</v>
      </c>
      <c r="L11" s="74">
        <f>'BUSBAR 2013'!$B$14</f>
        <v>0</v>
      </c>
      <c r="M11" s="73"/>
      <c r="N11" s="73">
        <f t="shared" si="5"/>
        <v>0</v>
      </c>
      <c r="O11" s="73">
        <f>IF($K$4=1,VLOOKUP(A11,Table_Old,14,0)*B11*L11*(8.9/1000000),VLOOKUP(A11,Table_New,14,0)*B11*L11*(8.9/1000000))*IF('ENCL 2013'!$F$43&gt;1,1,0)</f>
        <v>0</v>
      </c>
      <c r="P11" s="73">
        <f>IF($K$4=1,VLOOKUP(A11,Table_Old,15,0)*B11*L11*(8.9/1000000),VLOOKUP(A11,Table_New,15,0)*B11*L11*(8.9/1000000))*IF('ENCL 2013'!$F$43&gt;1,1,0)</f>
        <v>0</v>
      </c>
      <c r="Q11" s="73">
        <f>IF($K$4=1,VLOOKUP(A11,Table_Old,16,0)*B11*L11*(8.9/1000000),VLOOKUP(A11,Table_New,16,0)*B11*L11*(8.9/1000000))*IF('ENCL 2013'!$F$43&gt;1,1,0)</f>
        <v>0</v>
      </c>
      <c r="R11" s="73">
        <f>IF($K$4=1,VLOOKUP(A11,Table_Old,17,0)*B11*L11*(8.9/1000000),VLOOKUP(A11,Table_New,17,0)*B11*L11*(8.9/1000000))*IF('ENCL 2013'!$F$43&gt;1,1,0)</f>
        <v>0</v>
      </c>
      <c r="S11" s="73">
        <f>IF($K$4=1,VLOOKUP(A11,Table_Old,18,0)*B11*L11*(8.9/1000000),VLOOKUP(A11,Table_New,18,0)*B11*L11*(8.9/1000000))*IF('ENCL 2013'!$F$43&gt;1,1,0)</f>
        <v>0</v>
      </c>
      <c r="T11" s="73">
        <f t="shared" si="0"/>
        <v>0</v>
      </c>
      <c r="U11" s="73">
        <f>IF($K$4=1,VLOOKUP(A11,Table_Old,20,0)*B11*L11/1000000,VLOOKUP(A11,Table_New,20,0)*B11*L11/1000000)*IF('ENCL 2013'!$F$43&gt;1,1,0)</f>
        <v>0</v>
      </c>
      <c r="V11" s="73">
        <f>IF($K$4=1,VLOOKUP(A11,Table_Old,21,0)*B11*L11/1000000,VLOOKUP(A11,Table_New,21,0)*B11*L11/1000000)*IF('ENCL 2013'!$F$43&gt;1,1,0)</f>
        <v>0</v>
      </c>
      <c r="W11" s="73">
        <f>IF($K$4=1,VLOOKUP(A11,Table_Old,22,0)*B11*L11/1000000,VLOOKUP(A11,Table_New,22,0)*B11*L11/1000000)*IF('ENCL 2013'!$F$43&gt;1,1,0)</f>
        <v>0</v>
      </c>
      <c r="X11" s="73">
        <f>IF($K$4=1,VLOOKUP(A11,Table_Old,23,0)*B11*L11/1000000,VLOOKUP(A11,Table_New,23,0)*B11*L11/1000000)*IF('ENCL 2013'!$F$43&gt;1,1,0)</f>
        <v>0</v>
      </c>
      <c r="Y11" s="73">
        <f>IF($K$4=1,VLOOKUP(A11,Table_Old,24,0)*B11*L11/1000000,VLOOKUP(A11,Table_New,24,0)*B11*L11/1000000)*IF('ENCL 2013'!$F$43&gt;1,1,0)</f>
        <v>0</v>
      </c>
    </row>
    <row r="12" spans="1:25">
      <c r="A12" s="71">
        <v>400</v>
      </c>
      <c r="B12" s="71">
        <v>600</v>
      </c>
      <c r="C12" s="71"/>
      <c r="D12" s="71">
        <f>$M$4</f>
        <v>3</v>
      </c>
      <c r="E12" s="72"/>
      <c r="F12" s="73">
        <f>SUM(N12:S12)</f>
        <v>0</v>
      </c>
      <c r="G12" s="72">
        <f>SUM(T12:Y12)</f>
        <v>0</v>
      </c>
      <c r="H12" s="73">
        <v>0</v>
      </c>
      <c r="I12" s="73">
        <f>($A$2*F12)</f>
        <v>0</v>
      </c>
      <c r="J12" s="73">
        <f>(F12*$C$2)</f>
        <v>0</v>
      </c>
      <c r="K12" s="73">
        <f>(G12*$E$2)</f>
        <v>0</v>
      </c>
      <c r="L12" s="74">
        <f>'BUSBAR 2013'!$C$11</f>
        <v>0</v>
      </c>
      <c r="M12" s="73"/>
      <c r="N12" s="73">
        <f>IF($K$4=1,VLOOKUP(A12,Table_Old,13,0)*$M$4*B12*L12*(8.9/1000000),VLOOKUP(A12,Table_New,13,0)*$M$4*B12*L12*(8.9/1000000))</f>
        <v>0</v>
      </c>
      <c r="O12" s="73">
        <f>IF($K$4=1,VLOOKUP(A12,Table_Old,14,0)*B12*L12*(8.9/1000000),VLOOKUP(A12,Table_New,14,0)*B12*L12*(8.9/1000000))*IF('ENCL 2013'!$F$43&gt;1,1,0)</f>
        <v>0</v>
      </c>
      <c r="P12" s="73">
        <f>IF($K$4=1,VLOOKUP(A12,Table_Old,15,0)*B12*L12*(8.9/1000000),VLOOKUP(A12,Table_New,15,0)*B12*L12*(8.9/1000000))*IF('ENCL 2013'!$F$43&gt;1,1,0)</f>
        <v>0</v>
      </c>
      <c r="Q12" s="73">
        <f>IF($K$4=1,VLOOKUP(A12,Table_Old,16,0)*B12*L12*(8.9/1000000),VLOOKUP(A12,Table_New,16,0)*B12*L12*(8.9/1000000))*IF('ENCL 2013'!$F$43&gt;1,1,0)</f>
        <v>0</v>
      </c>
      <c r="R12" s="73">
        <f>IF($K$4=1,VLOOKUP(A12,Table_Old,17,0)*B12*L12*(8.9/1000000),VLOOKUP(A12,Table_New,17,0)*B12*L12*(8.9/1000000))*IF('ENCL 2013'!$F$43&gt;1,1,0)</f>
        <v>0</v>
      </c>
      <c r="S12" s="73">
        <f>IF($K$4=1,VLOOKUP(A12,Table_Old,18,0)*B12*L12*(8.9/1000000),VLOOKUP(A12,Table_New,18,0)*B12*L12*(8.9/1000000))*IF('ENCL 2013'!$F$43&gt;1,1,0)</f>
        <v>0</v>
      </c>
      <c r="T12" s="73">
        <f t="shared" ref="T12:T43" si="8">IF($K$4=1,VLOOKUP(A12,Table_Old,19,0)*$M$4*B12*L12/1000000,VLOOKUP(A12,Table_New,19,0)*$M$4*B12*L12/1000000)</f>
        <v>0</v>
      </c>
      <c r="U12" s="73">
        <f>IF($K$4=1,VLOOKUP(A12,Table_Old,20,0)*B12*L12/1000000,VLOOKUP(A12,Table_New,20,0)*B12*L12/1000000)*IF('ENCL 2013'!$F$43&gt;1,1,0)</f>
        <v>0</v>
      </c>
      <c r="V12" s="73">
        <f>IF($K$4=1,VLOOKUP(A12,Table_Old,21,0)*B12*L12/1000000,VLOOKUP(A12,Table_New,21,0)*B12*L12/1000000)*IF('ENCL 2013'!$F$43&gt;1,1,0)</f>
        <v>0</v>
      </c>
      <c r="W12" s="73">
        <f>IF($K$4=1,VLOOKUP(A12,Table_Old,22,0)*B12*L12/1000000,VLOOKUP(A12,Table_New,22,0)*B12*L12/1000000)*IF('ENCL 2013'!$F$43&gt;1,1,0)</f>
        <v>0</v>
      </c>
      <c r="X12" s="73">
        <f>IF($K$4=1,VLOOKUP(A12,Table_Old,23,0)*B12*L12/1000000,VLOOKUP(A12,Table_New,23,0)*B12*L12/1000000)*IF('ENCL 2013'!$F$43&gt;1,1,0)</f>
        <v>0</v>
      </c>
      <c r="Y12" s="73">
        <f>IF($K$4=1,VLOOKUP(A12,Table_Old,24,0)*B12*L12/1000000,VLOOKUP(A12,Table_New,24,0)*B12*L12/1000000)*IF('ENCL 2013'!$F$43&gt;1,1,0)</f>
        <v>0</v>
      </c>
    </row>
    <row r="13" spans="1:25">
      <c r="A13" s="77">
        <f>A12</f>
        <v>400</v>
      </c>
      <c r="B13" s="71">
        <v>800</v>
      </c>
      <c r="C13" s="71"/>
      <c r="D13" s="71">
        <f t="shared" ref="D13:D71" si="9">$M$4</f>
        <v>3</v>
      </c>
      <c r="E13" s="72"/>
      <c r="F13" s="73">
        <f t="shared" ref="F13:F71" si="10">SUM(N13:S13)</f>
        <v>0</v>
      </c>
      <c r="G13" s="72">
        <f t="shared" ref="G13:G71" si="11">SUM(T13:Y13)</f>
        <v>0</v>
      </c>
      <c r="H13" s="73">
        <v>0</v>
      </c>
      <c r="I13" s="73">
        <f t="shared" ref="I13:I71" si="12">($A$2*F13)</f>
        <v>0</v>
      </c>
      <c r="J13" s="73">
        <f>(F13*$C$2)</f>
        <v>0</v>
      </c>
      <c r="K13" s="73">
        <f>(G13*$E$2)</f>
        <v>0</v>
      </c>
      <c r="L13" s="74">
        <f>'BUSBAR 2013'!$C$12</f>
        <v>0</v>
      </c>
      <c r="M13" s="73"/>
      <c r="N13" s="73">
        <f t="shared" ref="N13:N43" si="13">IF($K$4=1,VLOOKUP(A13,Table_Old,13,0)*$M$4*B13*L13*(8.9/1000000),VLOOKUP(A13,Table_New,13,0)*$M$4*B13*L13*(8.9/1000000))</f>
        <v>0</v>
      </c>
      <c r="O13" s="73">
        <f>IF($K$4=1,VLOOKUP(A13,Table_Old,14,0)*B13*L13*(8.9/1000000),VLOOKUP(A13,Table_New,14,0)*B13*L13*(8.9/1000000))*IF('ENCL 2013'!$F$43&gt;1,1,0)</f>
        <v>0</v>
      </c>
      <c r="P13" s="73">
        <f>IF($K$4=1,VLOOKUP(A13,Table_Old,15,0)*B13*L13*(8.9/1000000),VLOOKUP(A13,Table_New,15,0)*B13*L13*(8.9/1000000))*IF('ENCL 2013'!$F$43&gt;1,1,0)</f>
        <v>0</v>
      </c>
      <c r="Q13" s="73">
        <f>IF($K$4=1,VLOOKUP(A13,Table_Old,16,0)*B13*L13*(8.9/1000000),VLOOKUP(A13,Table_New,16,0)*B13*L13*(8.9/1000000))*IF('ENCL 2013'!$F$43&gt;1,1,0)</f>
        <v>0</v>
      </c>
      <c r="R13" s="73">
        <f>IF($K$4=1,VLOOKUP(A13,Table_Old,17,0)*B13*L13*(8.9/1000000),VLOOKUP(A13,Table_New,17,0)*B13*L13*(8.9/1000000))*IF('ENCL 2013'!$F$43&gt;1,1,0)</f>
        <v>0</v>
      </c>
      <c r="S13" s="73">
        <f>IF($K$4=1,VLOOKUP(A13,Table_Old,18,0)*B13*L13*(8.9/1000000),VLOOKUP(A13,Table_New,18,0)*B13*L13*(8.9/1000000))*IF('ENCL 2013'!$F$43&gt;1,1,0)</f>
        <v>0</v>
      </c>
      <c r="T13" s="73">
        <f t="shared" si="8"/>
        <v>0</v>
      </c>
      <c r="U13" s="73">
        <f>IF($K$4=1,VLOOKUP(A13,Table_Old,20,0)*B13*L13/1000000,VLOOKUP(A13,Table_New,20,0)*B13*L13/1000000)*IF('ENCL 2013'!$F$43&gt;1,1,0)</f>
        <v>0</v>
      </c>
      <c r="V13" s="73">
        <f>IF($K$4=1,VLOOKUP(A13,Table_Old,21,0)*B13*L13/1000000,VLOOKUP(A13,Table_New,21,0)*B13*L13/1000000)*IF('ENCL 2013'!$F$43&gt;1,1,0)</f>
        <v>0</v>
      </c>
      <c r="W13" s="73">
        <f>IF($K$4=1,VLOOKUP(A13,Table_Old,22,0)*B13*L13/1000000,VLOOKUP(A13,Table_New,22,0)*B13*L13/1000000)*IF('ENCL 2013'!$F$43&gt;1,1,0)</f>
        <v>0</v>
      </c>
      <c r="X13" s="73">
        <f>IF($K$4=1,VLOOKUP(A13,Table_Old,23,0)*B13*L13/1000000,VLOOKUP(A13,Table_New,23,0)*B13*L13/1000000)*IF('ENCL 2013'!$F$43&gt;1,1,0)</f>
        <v>0</v>
      </c>
      <c r="Y13" s="73">
        <f>IF($K$4=1,VLOOKUP(A13,Table_Old,24,0)*B13*L13/1000000,VLOOKUP(A13,Table_New,24,0)*B13*L13/1000000)*IF('ENCL 2013'!$F$43&gt;1,1,0)</f>
        <v>0</v>
      </c>
    </row>
    <row r="14" spans="1:25">
      <c r="A14" s="77">
        <f>A12</f>
        <v>400</v>
      </c>
      <c r="B14" s="71">
        <v>1000</v>
      </c>
      <c r="C14" s="71"/>
      <c r="D14" s="71">
        <f t="shared" si="9"/>
        <v>3</v>
      </c>
      <c r="E14" s="72"/>
      <c r="F14" s="73">
        <f t="shared" si="10"/>
        <v>0</v>
      </c>
      <c r="G14" s="72">
        <f t="shared" si="11"/>
        <v>0</v>
      </c>
      <c r="H14" s="73">
        <v>0</v>
      </c>
      <c r="I14" s="73">
        <f t="shared" si="12"/>
        <v>0</v>
      </c>
      <c r="J14" s="73">
        <f t="shared" ref="J14:J71" si="14">(F14*$C$2)</f>
        <v>0</v>
      </c>
      <c r="K14" s="73">
        <f t="shared" ref="K14:K71" si="15">(G14*$E$2)</f>
        <v>0</v>
      </c>
      <c r="L14" s="74">
        <f>'BUSBAR 2013'!$C$13</f>
        <v>0</v>
      </c>
      <c r="M14" s="73"/>
      <c r="N14" s="73">
        <f t="shared" si="13"/>
        <v>0</v>
      </c>
      <c r="O14" s="73">
        <f>IF($K$4=1,VLOOKUP(A14,Table_Old,14,0)*B14*L14*(8.9/1000000),VLOOKUP(A14,Table_New,14,0)*B14*L14*(8.9/1000000))*IF('ENCL 2013'!$F$43&gt;1,1,0)</f>
        <v>0</v>
      </c>
      <c r="P14" s="73">
        <f>IF($K$4=1,VLOOKUP(A14,Table_Old,15,0)*B14*L14*(8.9/1000000),VLOOKUP(A14,Table_New,15,0)*B14*L14*(8.9/1000000))*IF('ENCL 2013'!$F$43&gt;1,1,0)</f>
        <v>0</v>
      </c>
      <c r="Q14" s="73">
        <f>IF($K$4=1,VLOOKUP(A14,Table_Old,16,0)*B14*L14*(8.9/1000000),VLOOKUP(A14,Table_New,16,0)*B14*L14*(8.9/1000000))*IF('ENCL 2013'!$F$43&gt;1,1,0)</f>
        <v>0</v>
      </c>
      <c r="R14" s="73">
        <f>IF($K$4=1,VLOOKUP(A14,Table_Old,17,0)*B14*L14*(8.9/1000000),VLOOKUP(A14,Table_New,17,0)*B14*L14*(8.9/1000000))*IF('ENCL 2013'!$F$43&gt;1,1,0)</f>
        <v>0</v>
      </c>
      <c r="S14" s="73">
        <f>IF($K$4=1,VLOOKUP(A14,Table_Old,18,0)*B14*L14*(8.9/1000000),VLOOKUP(A14,Table_New,18,0)*B14*L14*(8.9/1000000))*IF('ENCL 2013'!$F$43&gt;1,1,0)</f>
        <v>0</v>
      </c>
      <c r="T14" s="73">
        <f t="shared" si="8"/>
        <v>0</v>
      </c>
      <c r="U14" s="73">
        <f>IF($K$4=1,VLOOKUP(A14,Table_Old,20,0)*B14*L14/1000000,VLOOKUP(A14,Table_New,20,0)*B14*L14/1000000)*IF('ENCL 2013'!$F$43&gt;1,1,0)</f>
        <v>0</v>
      </c>
      <c r="V14" s="73">
        <f>IF($K$4=1,VLOOKUP(A14,Table_Old,21,0)*B14*L14/1000000,VLOOKUP(A14,Table_New,21,0)*B14*L14/1000000)*IF('ENCL 2013'!$F$43&gt;1,1,0)</f>
        <v>0</v>
      </c>
      <c r="W14" s="73">
        <f>IF($K$4=1,VLOOKUP(A14,Table_Old,22,0)*B14*L14/1000000,VLOOKUP(A14,Table_New,22,0)*B14*L14/1000000)*IF('ENCL 2013'!$F$43&gt;1,1,0)</f>
        <v>0</v>
      </c>
      <c r="X14" s="73">
        <f>IF($K$4=1,VLOOKUP(A14,Table_Old,23,0)*B14*L14/1000000,VLOOKUP(A14,Table_New,23,0)*B14*L14/1000000)*IF('ENCL 2013'!$F$43&gt;1,1,0)</f>
        <v>0</v>
      </c>
      <c r="Y14" s="73">
        <f>IF($K$4=1,VLOOKUP(A14,Table_Old,24,0)*B14*L14/1000000,VLOOKUP(A14,Table_New,24,0)*B14*L14/1000000)*IF('ENCL 2013'!$F$43&gt;1,1,0)</f>
        <v>0</v>
      </c>
    </row>
    <row r="15" spans="1:25">
      <c r="A15" s="77">
        <f>A12</f>
        <v>400</v>
      </c>
      <c r="B15" s="71">
        <v>1200</v>
      </c>
      <c r="C15" s="71"/>
      <c r="D15" s="71">
        <f t="shared" si="9"/>
        <v>3</v>
      </c>
      <c r="E15" s="72"/>
      <c r="F15" s="73">
        <f t="shared" si="10"/>
        <v>0</v>
      </c>
      <c r="G15" s="72">
        <f t="shared" si="11"/>
        <v>0</v>
      </c>
      <c r="H15" s="73">
        <v>0</v>
      </c>
      <c r="I15" s="73">
        <f t="shared" si="12"/>
        <v>0</v>
      </c>
      <c r="J15" s="73">
        <f t="shared" si="14"/>
        <v>0</v>
      </c>
      <c r="K15" s="73">
        <f t="shared" si="15"/>
        <v>0</v>
      </c>
      <c r="L15" s="74">
        <f>'BUSBAR 2013'!$C$14</f>
        <v>0</v>
      </c>
      <c r="M15" s="73"/>
      <c r="N15" s="73">
        <f t="shared" si="13"/>
        <v>0</v>
      </c>
      <c r="O15" s="73">
        <f>IF($K$4=1,VLOOKUP(A15,Table_Old,14,0)*B15*L15*(8.9/1000000),VLOOKUP(A15,Table_New,14,0)*B15*L15*(8.9/1000000))*IF('ENCL 2013'!$F$43&gt;1,1,0)</f>
        <v>0</v>
      </c>
      <c r="P15" s="73">
        <f>IF($K$4=1,VLOOKUP(A15,Table_Old,15,0)*B15*L15*(8.9/1000000),VLOOKUP(A15,Table_New,15,0)*B15*L15*(8.9/1000000))*IF('ENCL 2013'!$F$43&gt;1,1,0)</f>
        <v>0</v>
      </c>
      <c r="Q15" s="73">
        <f>IF($K$4=1,VLOOKUP(A15,Table_Old,16,0)*B15*L15*(8.9/1000000),VLOOKUP(A15,Table_New,16,0)*B15*L15*(8.9/1000000))*IF('ENCL 2013'!$F$43&gt;1,1,0)</f>
        <v>0</v>
      </c>
      <c r="R15" s="73">
        <f>IF($K$4=1,VLOOKUP(A15,Table_Old,17,0)*B15*L15*(8.9/1000000),VLOOKUP(A15,Table_New,17,0)*B15*L15*(8.9/1000000))*IF('ENCL 2013'!$F$43&gt;1,1,0)</f>
        <v>0</v>
      </c>
      <c r="S15" s="73">
        <f>IF($K$4=1,VLOOKUP(A15,Table_Old,18,0)*B15*L15*(8.9/1000000),VLOOKUP(A15,Table_New,18,0)*B15*L15*(8.9/1000000))*IF('ENCL 2013'!$F$43&gt;1,1,0)</f>
        <v>0</v>
      </c>
      <c r="T15" s="73">
        <f t="shared" si="8"/>
        <v>0</v>
      </c>
      <c r="U15" s="73">
        <f>IF($K$4=1,VLOOKUP(A15,Table_Old,20,0)*B15*L15/1000000,VLOOKUP(A15,Table_New,20,0)*B15*L15/1000000)*IF('ENCL 2013'!$F$43&gt;1,1,0)</f>
        <v>0</v>
      </c>
      <c r="V15" s="73">
        <f>IF($K$4=1,VLOOKUP(A15,Table_Old,21,0)*B15*L15/1000000,VLOOKUP(A15,Table_New,21,0)*B15*L15/1000000)*IF('ENCL 2013'!$F$43&gt;1,1,0)</f>
        <v>0</v>
      </c>
      <c r="W15" s="73">
        <f>IF($K$4=1,VLOOKUP(A15,Table_Old,22,0)*B15*L15/1000000,VLOOKUP(A15,Table_New,22,0)*B15*L15/1000000)*IF('ENCL 2013'!$F$43&gt;1,1,0)</f>
        <v>0</v>
      </c>
      <c r="X15" s="73">
        <f>IF($K$4=1,VLOOKUP(A15,Table_Old,23,0)*B15*L15/1000000,VLOOKUP(A15,Table_New,23,0)*B15*L15/1000000)*IF('ENCL 2013'!$F$43&gt;1,1,0)</f>
        <v>0</v>
      </c>
      <c r="Y15" s="73">
        <f>IF($K$4=1,VLOOKUP(A15,Table_Old,24,0)*B15*L15/1000000,VLOOKUP(A15,Table_New,24,0)*B15*L15/1000000)*IF('ENCL 2013'!$F$43&gt;1,1,0)</f>
        <v>0</v>
      </c>
    </row>
    <row r="16" spans="1:25">
      <c r="A16" s="71">
        <v>600</v>
      </c>
      <c r="B16" s="71">
        <v>600</v>
      </c>
      <c r="C16" s="71"/>
      <c r="D16" s="71">
        <f t="shared" si="9"/>
        <v>3</v>
      </c>
      <c r="E16" s="72"/>
      <c r="F16" s="73">
        <f t="shared" si="10"/>
        <v>0</v>
      </c>
      <c r="G16" s="72">
        <f t="shared" si="11"/>
        <v>0</v>
      </c>
      <c r="H16" s="73">
        <v>0</v>
      </c>
      <c r="I16" s="73">
        <f t="shared" si="12"/>
        <v>0</v>
      </c>
      <c r="J16" s="73">
        <f t="shared" si="14"/>
        <v>0</v>
      </c>
      <c r="K16" s="73">
        <f t="shared" si="15"/>
        <v>0</v>
      </c>
      <c r="L16" s="74">
        <f>'BUSBAR 2013'!$D$11</f>
        <v>0</v>
      </c>
      <c r="M16" s="73"/>
      <c r="N16" s="73">
        <f t="shared" si="13"/>
        <v>0</v>
      </c>
      <c r="O16" s="73">
        <f>IF($K$4=1,VLOOKUP(A16,Table_Old,14,0)*B16*L16*(8.9/1000000),VLOOKUP(A16,Table_New,14,0)*B16*L16*(8.9/1000000))*IF('ENCL 2013'!$F$43&gt;1,1,0)</f>
        <v>0</v>
      </c>
      <c r="P16" s="73">
        <f>IF($K$4=1,VLOOKUP(A16,Table_Old,15,0)*B16*L16*(8.9/1000000),VLOOKUP(A16,Table_New,15,0)*B16*L16*(8.9/1000000))*IF('ENCL 2013'!$F$43&gt;1,1,0)</f>
        <v>0</v>
      </c>
      <c r="Q16" s="73">
        <f>IF($K$4=1,VLOOKUP(A16,Table_Old,16,0)*B16*L16*(8.9/1000000),VLOOKUP(A16,Table_New,16,0)*B16*L16*(8.9/1000000))*IF('ENCL 2013'!$F$43&gt;1,1,0)</f>
        <v>0</v>
      </c>
      <c r="R16" s="73">
        <f>IF($K$4=1,VLOOKUP(A16,Table_Old,17,0)*B16*L16*(8.9/1000000),VLOOKUP(A16,Table_New,17,0)*B16*L16*(8.9/1000000))*IF('ENCL 2013'!$F$43&gt;1,1,0)</f>
        <v>0</v>
      </c>
      <c r="S16" s="73">
        <f>IF($K$4=1,VLOOKUP(A16,Table_Old,18,0)*B16*L16*(8.9/1000000),VLOOKUP(A16,Table_New,18,0)*B16*L16*(8.9/1000000))*IF('ENCL 2013'!$F$43&gt;1,1,0)</f>
        <v>0</v>
      </c>
      <c r="T16" s="73">
        <f t="shared" si="8"/>
        <v>0</v>
      </c>
      <c r="U16" s="73">
        <f>IF($K$4=1,VLOOKUP(A16,Table_Old,20,0)*B16*L16/1000000,VLOOKUP(A16,Table_New,20,0)*B16*L16/1000000)*IF('ENCL 2013'!$F$43&gt;1,1,0)</f>
        <v>0</v>
      </c>
      <c r="V16" s="73">
        <f>IF($K$4=1,VLOOKUP(A16,Table_Old,21,0)*B16*L16/1000000,VLOOKUP(A16,Table_New,21,0)*B16*L16/1000000)*IF('ENCL 2013'!$F$43&gt;1,1,0)</f>
        <v>0</v>
      </c>
      <c r="W16" s="73">
        <f>IF($K$4=1,VLOOKUP(A16,Table_Old,22,0)*B16*L16/1000000,VLOOKUP(A16,Table_New,22,0)*B16*L16/1000000)*IF('ENCL 2013'!$F$43&gt;1,1,0)</f>
        <v>0</v>
      </c>
      <c r="X16" s="73">
        <f>IF($K$4=1,VLOOKUP(A16,Table_Old,23,0)*B16*L16/1000000,VLOOKUP(A16,Table_New,23,0)*B16*L16/1000000)*IF('ENCL 2013'!$F$43&gt;1,1,0)</f>
        <v>0</v>
      </c>
      <c r="Y16" s="73">
        <f>IF($K$4=1,VLOOKUP(A16,Table_Old,24,0)*B16*L16/1000000,VLOOKUP(A16,Table_New,24,0)*B16*L16/1000000)*IF('ENCL 2013'!$F$43&gt;1,1,0)</f>
        <v>0</v>
      </c>
    </row>
    <row r="17" spans="1:25">
      <c r="A17" s="77">
        <f>A16</f>
        <v>600</v>
      </c>
      <c r="B17" s="71">
        <v>800</v>
      </c>
      <c r="C17" s="71"/>
      <c r="D17" s="71">
        <f t="shared" si="9"/>
        <v>3</v>
      </c>
      <c r="E17" s="72"/>
      <c r="F17" s="73">
        <f t="shared" si="10"/>
        <v>0</v>
      </c>
      <c r="G17" s="72">
        <f t="shared" si="11"/>
        <v>0</v>
      </c>
      <c r="H17" s="73">
        <v>0</v>
      </c>
      <c r="I17" s="73">
        <f t="shared" si="12"/>
        <v>0</v>
      </c>
      <c r="J17" s="73">
        <f t="shared" si="14"/>
        <v>0</v>
      </c>
      <c r="K17" s="73">
        <f t="shared" si="15"/>
        <v>0</v>
      </c>
      <c r="L17" s="74">
        <f>'BUSBAR 2013'!$D$12</f>
        <v>0</v>
      </c>
      <c r="M17" s="73"/>
      <c r="N17" s="73">
        <f t="shared" si="13"/>
        <v>0</v>
      </c>
      <c r="O17" s="73">
        <f>IF($K$4=1,VLOOKUP(A17,Table_Old,14,0)*B17*L17*(8.9/1000000),VLOOKUP(A17,Table_New,14,0)*B17*L17*(8.9/1000000))*IF('ENCL 2013'!$F$43&gt;1,1,0)</f>
        <v>0</v>
      </c>
      <c r="P17" s="73">
        <f>IF($K$4=1,VLOOKUP(A17,Table_Old,15,0)*B17*L17*(8.9/1000000),VLOOKUP(A17,Table_New,15,0)*B17*L17*(8.9/1000000))*IF('ENCL 2013'!$F$43&gt;1,1,0)</f>
        <v>0</v>
      </c>
      <c r="Q17" s="73">
        <f>IF($K$4=1,VLOOKUP(A17,Table_Old,16,0)*B17*L17*(8.9/1000000),VLOOKUP(A17,Table_New,16,0)*B17*L17*(8.9/1000000))*IF('ENCL 2013'!$F$43&gt;1,1,0)</f>
        <v>0</v>
      </c>
      <c r="R17" s="73">
        <f>IF($K$4=1,VLOOKUP(A17,Table_Old,17,0)*B17*L17*(8.9/1000000),VLOOKUP(A17,Table_New,17,0)*B17*L17*(8.9/1000000))*IF('ENCL 2013'!$F$43&gt;1,1,0)</f>
        <v>0</v>
      </c>
      <c r="S17" s="73">
        <f>IF($K$4=1,VLOOKUP(A17,Table_Old,18,0)*B17*L17*(8.9/1000000),VLOOKUP(A17,Table_New,18,0)*B17*L17*(8.9/1000000))*IF('ENCL 2013'!$F$43&gt;1,1,0)</f>
        <v>0</v>
      </c>
      <c r="T17" s="73">
        <f t="shared" si="8"/>
        <v>0</v>
      </c>
      <c r="U17" s="73">
        <f>IF($K$4=1,VLOOKUP(A17,Table_Old,20,0)*B17*L17/1000000,VLOOKUP(A17,Table_New,20,0)*B17*L17/1000000)*IF('ENCL 2013'!$F$43&gt;1,1,0)</f>
        <v>0</v>
      </c>
      <c r="V17" s="73">
        <f>IF($K$4=1,VLOOKUP(A17,Table_Old,21,0)*B17*L17/1000000,VLOOKUP(A17,Table_New,21,0)*B17*L17/1000000)*IF('ENCL 2013'!$F$43&gt;1,1,0)</f>
        <v>0</v>
      </c>
      <c r="W17" s="73">
        <f>IF($K$4=1,VLOOKUP(A17,Table_Old,22,0)*B17*L17/1000000,VLOOKUP(A17,Table_New,22,0)*B17*L17/1000000)*IF('ENCL 2013'!$F$43&gt;1,1,0)</f>
        <v>0</v>
      </c>
      <c r="X17" s="73">
        <f>IF($K$4=1,VLOOKUP(A17,Table_Old,23,0)*B17*L17/1000000,VLOOKUP(A17,Table_New,23,0)*B17*L17/1000000)*IF('ENCL 2013'!$F$43&gt;1,1,0)</f>
        <v>0</v>
      </c>
      <c r="Y17" s="73">
        <f>IF($K$4=1,VLOOKUP(A17,Table_Old,24,0)*B17*L17/1000000,VLOOKUP(A17,Table_New,24,0)*B17*L17/1000000)*IF('ENCL 2013'!$F$43&gt;1,1,0)</f>
        <v>0</v>
      </c>
    </row>
    <row r="18" spans="1:25">
      <c r="A18" s="77">
        <f>A16</f>
        <v>600</v>
      </c>
      <c r="B18" s="71">
        <v>1000</v>
      </c>
      <c r="C18" s="71"/>
      <c r="D18" s="71">
        <f t="shared" si="9"/>
        <v>3</v>
      </c>
      <c r="E18" s="72"/>
      <c r="F18" s="73">
        <f t="shared" si="10"/>
        <v>0</v>
      </c>
      <c r="G18" s="72">
        <f t="shared" si="11"/>
        <v>0</v>
      </c>
      <c r="H18" s="73">
        <v>0</v>
      </c>
      <c r="I18" s="73">
        <f t="shared" si="12"/>
        <v>0</v>
      </c>
      <c r="J18" s="73">
        <f t="shared" si="14"/>
        <v>0</v>
      </c>
      <c r="K18" s="73">
        <f t="shared" si="15"/>
        <v>0</v>
      </c>
      <c r="L18" s="74">
        <f>'BUSBAR 2013'!$D$13</f>
        <v>0</v>
      </c>
      <c r="M18" s="73"/>
      <c r="N18" s="73">
        <f t="shared" si="13"/>
        <v>0</v>
      </c>
      <c r="O18" s="73">
        <f>IF($K$4=1,VLOOKUP(A18,Table_Old,14,0)*B18*L18*(8.9/1000000),VLOOKUP(A18,Table_New,14,0)*B18*L18*(8.9/1000000))*IF('ENCL 2013'!$F$43&gt;1,1,0)</f>
        <v>0</v>
      </c>
      <c r="P18" s="73">
        <f>IF($K$4=1,VLOOKUP(A18,Table_Old,15,0)*B18*L18*(8.9/1000000),VLOOKUP(A18,Table_New,15,0)*B18*L18*(8.9/1000000))*IF('ENCL 2013'!$F$43&gt;1,1,0)</f>
        <v>0</v>
      </c>
      <c r="Q18" s="73">
        <f>IF($K$4=1,VLOOKUP(A18,Table_Old,16,0)*B18*L18*(8.9/1000000),VLOOKUP(A18,Table_New,16,0)*B18*L18*(8.9/1000000))*IF('ENCL 2013'!$F$43&gt;1,1,0)</f>
        <v>0</v>
      </c>
      <c r="R18" s="73">
        <f>IF($K$4=1,VLOOKUP(A18,Table_Old,17,0)*B18*L18*(8.9/1000000),VLOOKUP(A18,Table_New,17,0)*B18*L18*(8.9/1000000))*IF('ENCL 2013'!$F$43&gt;1,1,0)</f>
        <v>0</v>
      </c>
      <c r="S18" s="73">
        <f>IF($K$4=1,VLOOKUP(A18,Table_Old,18,0)*B18*L18*(8.9/1000000),VLOOKUP(A18,Table_New,18,0)*B18*L18*(8.9/1000000))*IF('ENCL 2013'!$F$43&gt;1,1,0)</f>
        <v>0</v>
      </c>
      <c r="T18" s="73">
        <f t="shared" si="8"/>
        <v>0</v>
      </c>
      <c r="U18" s="73">
        <f>IF($K$4=1,VLOOKUP(A18,Table_Old,20,0)*B18*L18/1000000,VLOOKUP(A18,Table_New,20,0)*B18*L18/1000000)*IF('ENCL 2013'!$F$43&gt;1,1,0)</f>
        <v>0</v>
      </c>
      <c r="V18" s="73">
        <f>IF($K$4=1,VLOOKUP(A18,Table_Old,21,0)*B18*L18/1000000,VLOOKUP(A18,Table_New,21,0)*B18*L18/1000000)*IF('ENCL 2013'!$F$43&gt;1,1,0)</f>
        <v>0</v>
      </c>
      <c r="W18" s="73">
        <f>IF($K$4=1,VLOOKUP(A18,Table_Old,22,0)*B18*L18/1000000,VLOOKUP(A18,Table_New,22,0)*B18*L18/1000000)*IF('ENCL 2013'!$F$43&gt;1,1,0)</f>
        <v>0</v>
      </c>
      <c r="X18" s="73">
        <f>IF($K$4=1,VLOOKUP(A18,Table_Old,23,0)*B18*L18/1000000,VLOOKUP(A18,Table_New,23,0)*B18*L18/1000000)*IF('ENCL 2013'!$F$43&gt;1,1,0)</f>
        <v>0</v>
      </c>
      <c r="Y18" s="73">
        <f>IF($K$4=1,VLOOKUP(A18,Table_Old,24,0)*B18*L18/1000000,VLOOKUP(A18,Table_New,24,0)*B18*L18/1000000)*IF('ENCL 2013'!$F$43&gt;1,1,0)</f>
        <v>0</v>
      </c>
    </row>
    <row r="19" spans="1:25">
      <c r="A19" s="77">
        <f>A16</f>
        <v>600</v>
      </c>
      <c r="B19" s="71">
        <v>1200</v>
      </c>
      <c r="C19" s="71"/>
      <c r="D19" s="71">
        <f t="shared" si="9"/>
        <v>3</v>
      </c>
      <c r="E19" s="72"/>
      <c r="F19" s="73">
        <f t="shared" si="10"/>
        <v>0</v>
      </c>
      <c r="G19" s="72">
        <f t="shared" si="11"/>
        <v>0</v>
      </c>
      <c r="H19" s="73">
        <v>0</v>
      </c>
      <c r="I19" s="73">
        <f t="shared" si="12"/>
        <v>0</v>
      </c>
      <c r="J19" s="73">
        <f t="shared" si="14"/>
        <v>0</v>
      </c>
      <c r="K19" s="73">
        <f t="shared" si="15"/>
        <v>0</v>
      </c>
      <c r="L19" s="74">
        <f>'BUSBAR 2013'!$D$14</f>
        <v>0</v>
      </c>
      <c r="M19" s="73"/>
      <c r="N19" s="73">
        <f t="shared" si="13"/>
        <v>0</v>
      </c>
      <c r="O19" s="73">
        <f>IF($K$4=1,VLOOKUP(A19,Table_Old,14,0)*B19*L19*(8.9/1000000),VLOOKUP(A19,Table_New,14,0)*B19*L19*(8.9/1000000))*IF('ENCL 2013'!$F$43&gt;1,1,0)</f>
        <v>0</v>
      </c>
      <c r="P19" s="73">
        <f>IF($K$4=1,VLOOKUP(A19,Table_Old,15,0)*B19*L19*(8.9/1000000),VLOOKUP(A19,Table_New,15,0)*B19*L19*(8.9/1000000))*IF('ENCL 2013'!$F$43&gt;1,1,0)</f>
        <v>0</v>
      </c>
      <c r="Q19" s="73">
        <f>IF($K$4=1,VLOOKUP(A19,Table_Old,16,0)*B19*L19*(8.9/1000000),VLOOKUP(A19,Table_New,16,0)*B19*L19*(8.9/1000000))*IF('ENCL 2013'!$F$43&gt;1,1,0)</f>
        <v>0</v>
      </c>
      <c r="R19" s="73">
        <f>IF($K$4=1,VLOOKUP(A19,Table_Old,17,0)*B19*L19*(8.9/1000000),VLOOKUP(A19,Table_New,17,0)*B19*L19*(8.9/1000000))*IF('ENCL 2013'!$F$43&gt;1,1,0)</f>
        <v>0</v>
      </c>
      <c r="S19" s="73">
        <f>IF($K$4=1,VLOOKUP(A19,Table_Old,18,0)*B19*L19*(8.9/1000000),VLOOKUP(A19,Table_New,18,0)*B19*L19*(8.9/1000000))*IF('ENCL 2013'!$F$43&gt;1,1,0)</f>
        <v>0</v>
      </c>
      <c r="T19" s="73">
        <f t="shared" si="8"/>
        <v>0</v>
      </c>
      <c r="U19" s="73">
        <f>IF($K$4=1,VLOOKUP(A19,Table_Old,20,0)*B19*L19/1000000,VLOOKUP(A19,Table_New,20,0)*B19*L19/1000000)*IF('ENCL 2013'!$F$43&gt;1,1,0)</f>
        <v>0</v>
      </c>
      <c r="V19" s="73">
        <f>IF($K$4=1,VLOOKUP(A19,Table_Old,21,0)*B19*L19/1000000,VLOOKUP(A19,Table_New,21,0)*B19*L19/1000000)*IF('ENCL 2013'!$F$43&gt;1,1,0)</f>
        <v>0</v>
      </c>
      <c r="W19" s="73">
        <f>IF($K$4=1,VLOOKUP(A19,Table_Old,22,0)*B19*L19/1000000,VLOOKUP(A19,Table_New,22,0)*B19*L19/1000000)*IF('ENCL 2013'!$F$43&gt;1,1,0)</f>
        <v>0</v>
      </c>
      <c r="X19" s="73">
        <f>IF($K$4=1,VLOOKUP(A19,Table_Old,23,0)*B19*L19/1000000,VLOOKUP(A19,Table_New,23,0)*B19*L19/1000000)*IF('ENCL 2013'!$F$43&gt;1,1,0)</f>
        <v>0</v>
      </c>
      <c r="Y19" s="73">
        <f>IF($K$4=1,VLOOKUP(A19,Table_Old,24,0)*B19*L19/1000000,VLOOKUP(A19,Table_New,24,0)*B19*L19/1000000)*IF('ENCL 2013'!$F$43&gt;1,1,0)</f>
        <v>0</v>
      </c>
    </row>
    <row r="20" spans="1:25">
      <c r="A20" s="71">
        <v>630</v>
      </c>
      <c r="B20" s="71">
        <v>600</v>
      </c>
      <c r="C20" s="71"/>
      <c r="D20" s="71">
        <f t="shared" si="9"/>
        <v>3</v>
      </c>
      <c r="E20" s="72"/>
      <c r="F20" s="73">
        <f t="shared" si="10"/>
        <v>0</v>
      </c>
      <c r="G20" s="72">
        <f t="shared" si="11"/>
        <v>0</v>
      </c>
      <c r="H20" s="73">
        <v>0</v>
      </c>
      <c r="I20" s="73">
        <f t="shared" si="12"/>
        <v>0</v>
      </c>
      <c r="J20" s="73">
        <f t="shared" si="14"/>
        <v>0</v>
      </c>
      <c r="K20" s="73">
        <f t="shared" si="15"/>
        <v>0</v>
      </c>
      <c r="L20" s="74">
        <f>'BUSBAR 2013'!$E$11</f>
        <v>0</v>
      </c>
      <c r="M20" s="73"/>
      <c r="N20" s="73">
        <f t="shared" si="13"/>
        <v>0</v>
      </c>
      <c r="O20" s="73">
        <f>IF($K$4=1,VLOOKUP(A20,Table_Old,14,0)*B20*L20*(8.9/1000000),VLOOKUP(A20,Table_New,14,0)*B20*L20*(8.9/1000000))*IF('ENCL 2013'!$F$43&gt;1,1,0)</f>
        <v>0</v>
      </c>
      <c r="P20" s="73">
        <f>IF($K$4=1,VLOOKUP(A20,Table_Old,15,0)*B20*L20*(8.9/1000000),VLOOKUP(A20,Table_New,15,0)*B20*L20*(8.9/1000000))*IF('ENCL 2013'!$F$43&gt;1,1,0)</f>
        <v>0</v>
      </c>
      <c r="Q20" s="73">
        <f>IF($K$4=1,VLOOKUP(A20,Table_Old,16,0)*B20*L20*(8.9/1000000),VLOOKUP(A20,Table_New,16,0)*B20*L20*(8.9/1000000))*IF('ENCL 2013'!$F$43&gt;1,1,0)</f>
        <v>0</v>
      </c>
      <c r="R20" s="73">
        <f>IF($K$4=1,VLOOKUP(A20,Table_Old,17,0)*B20*L20*(8.9/1000000),VLOOKUP(A20,Table_New,17,0)*B20*L20*(8.9/1000000))*IF('ENCL 2013'!$F$43&gt;1,1,0)</f>
        <v>0</v>
      </c>
      <c r="S20" s="73">
        <f>IF($K$4=1,VLOOKUP(A20,Table_Old,18,0)*B20*L20*(8.9/1000000),VLOOKUP(A20,Table_New,18,0)*B20*L20*(8.9/1000000))*IF('ENCL 2013'!$F$43&gt;1,1,0)</f>
        <v>0</v>
      </c>
      <c r="T20" s="73">
        <f t="shared" si="8"/>
        <v>0</v>
      </c>
      <c r="U20" s="73">
        <f>IF($K$4=1,VLOOKUP(A20,Table_Old,20,0)*B20*L20/1000000,VLOOKUP(A20,Table_New,20,0)*B20*L20/1000000)*IF('ENCL 2013'!$F$43&gt;1,1,0)</f>
        <v>0</v>
      </c>
      <c r="V20" s="73">
        <f>IF($K$4=1,VLOOKUP(A20,Table_Old,21,0)*B20*L20/1000000,VLOOKUP(A20,Table_New,21,0)*B20*L20/1000000)*IF('ENCL 2013'!$F$43&gt;1,1,0)</f>
        <v>0</v>
      </c>
      <c r="W20" s="73">
        <f>IF($K$4=1,VLOOKUP(A20,Table_Old,22,0)*B20*L20/1000000,VLOOKUP(A20,Table_New,22,0)*B20*L20/1000000)*IF('ENCL 2013'!$F$43&gt;1,1,0)</f>
        <v>0</v>
      </c>
      <c r="X20" s="73">
        <f>IF($K$4=1,VLOOKUP(A20,Table_Old,23,0)*B20*L20/1000000,VLOOKUP(A20,Table_New,23,0)*B20*L20/1000000)*IF('ENCL 2013'!$F$43&gt;1,1,0)</f>
        <v>0</v>
      </c>
      <c r="Y20" s="73">
        <f>IF($K$4=1,VLOOKUP(A20,Table_Old,24,0)*B20*L20/1000000,VLOOKUP(A20,Table_New,24,0)*B20*L20/1000000)*IF('ENCL 2013'!$F$43&gt;1,1,0)</f>
        <v>0</v>
      </c>
    </row>
    <row r="21" spans="1:25">
      <c r="A21" s="77">
        <f>A20</f>
        <v>630</v>
      </c>
      <c r="B21" s="71">
        <v>800</v>
      </c>
      <c r="C21" s="71"/>
      <c r="D21" s="71">
        <f t="shared" si="9"/>
        <v>3</v>
      </c>
      <c r="E21" s="72"/>
      <c r="F21" s="73">
        <f t="shared" si="10"/>
        <v>0</v>
      </c>
      <c r="G21" s="72">
        <f t="shared" si="11"/>
        <v>0</v>
      </c>
      <c r="H21" s="73">
        <v>0</v>
      </c>
      <c r="I21" s="73">
        <f t="shared" si="12"/>
        <v>0</v>
      </c>
      <c r="J21" s="73">
        <f t="shared" si="14"/>
        <v>0</v>
      </c>
      <c r="K21" s="73">
        <f t="shared" si="15"/>
        <v>0</v>
      </c>
      <c r="L21" s="74">
        <f>'BUSBAR 2013'!$E$12</f>
        <v>0</v>
      </c>
      <c r="M21" s="73"/>
      <c r="N21" s="73">
        <f t="shared" si="13"/>
        <v>0</v>
      </c>
      <c r="O21" s="73">
        <f>IF($K$4=1,VLOOKUP(A21,Table_Old,14,0)*B21*L21*(8.9/1000000),VLOOKUP(A21,Table_New,14,0)*B21*L21*(8.9/1000000))*IF('ENCL 2013'!$F$43&gt;1,1,0)</f>
        <v>0</v>
      </c>
      <c r="P21" s="73">
        <f>IF($K$4=1,VLOOKUP(A21,Table_Old,15,0)*B21*L21*(8.9/1000000),VLOOKUP(A21,Table_New,15,0)*B21*L21*(8.9/1000000))*IF('ENCL 2013'!$F$43&gt;1,1,0)</f>
        <v>0</v>
      </c>
      <c r="Q21" s="73">
        <f>IF($K$4=1,VLOOKUP(A21,Table_Old,16,0)*B21*L21*(8.9/1000000),VLOOKUP(A21,Table_New,16,0)*B21*L21*(8.9/1000000))*IF('ENCL 2013'!$F$43&gt;1,1,0)</f>
        <v>0</v>
      </c>
      <c r="R21" s="73">
        <f>IF($K$4=1,VLOOKUP(A21,Table_Old,17,0)*B21*L21*(8.9/1000000),VLOOKUP(A21,Table_New,17,0)*B21*L21*(8.9/1000000))*IF('ENCL 2013'!$F$43&gt;1,1,0)</f>
        <v>0</v>
      </c>
      <c r="S21" s="73">
        <f>IF($K$4=1,VLOOKUP(A21,Table_Old,18,0)*B21*L21*(8.9/1000000),VLOOKUP(A21,Table_New,18,0)*B21*L21*(8.9/1000000))*IF('ENCL 2013'!$F$43&gt;1,1,0)</f>
        <v>0</v>
      </c>
      <c r="T21" s="73">
        <f t="shared" si="8"/>
        <v>0</v>
      </c>
      <c r="U21" s="73">
        <f>IF($K$4=1,VLOOKUP(A21,Table_Old,20,0)*B21*L21/1000000,VLOOKUP(A21,Table_New,20,0)*B21*L21/1000000)*IF('ENCL 2013'!$F$43&gt;1,1,0)</f>
        <v>0</v>
      </c>
      <c r="V21" s="73">
        <f>IF($K$4=1,VLOOKUP(A21,Table_Old,21,0)*B21*L21/1000000,VLOOKUP(A21,Table_New,21,0)*B21*L21/1000000)*IF('ENCL 2013'!$F$43&gt;1,1,0)</f>
        <v>0</v>
      </c>
      <c r="W21" s="73">
        <f>IF($K$4=1,VLOOKUP(A21,Table_Old,22,0)*B21*L21/1000000,VLOOKUP(A21,Table_New,22,0)*B21*L21/1000000)*IF('ENCL 2013'!$F$43&gt;1,1,0)</f>
        <v>0</v>
      </c>
      <c r="X21" s="73">
        <f>IF($K$4=1,VLOOKUP(A21,Table_Old,23,0)*B21*L21/1000000,VLOOKUP(A21,Table_New,23,0)*B21*L21/1000000)*IF('ENCL 2013'!$F$43&gt;1,1,0)</f>
        <v>0</v>
      </c>
      <c r="Y21" s="73">
        <f>IF($K$4=1,VLOOKUP(A21,Table_Old,24,0)*B21*L21/1000000,VLOOKUP(A21,Table_New,24,0)*B21*L21/1000000)*IF('ENCL 2013'!$F$43&gt;1,1,0)</f>
        <v>0</v>
      </c>
    </row>
    <row r="22" spans="1:25">
      <c r="A22" s="77">
        <f>A20</f>
        <v>630</v>
      </c>
      <c r="B22" s="71">
        <v>1000</v>
      </c>
      <c r="C22" s="71"/>
      <c r="D22" s="71">
        <f t="shared" si="9"/>
        <v>3</v>
      </c>
      <c r="E22" s="72"/>
      <c r="F22" s="73">
        <f t="shared" si="10"/>
        <v>0</v>
      </c>
      <c r="G22" s="72">
        <f t="shared" si="11"/>
        <v>0</v>
      </c>
      <c r="H22" s="73">
        <v>0</v>
      </c>
      <c r="I22" s="73">
        <f t="shared" si="12"/>
        <v>0</v>
      </c>
      <c r="J22" s="73">
        <f t="shared" si="14"/>
        <v>0</v>
      </c>
      <c r="K22" s="73">
        <f t="shared" si="15"/>
        <v>0</v>
      </c>
      <c r="L22" s="74">
        <f>'BUSBAR 2013'!$E$13</f>
        <v>0</v>
      </c>
      <c r="M22" s="73"/>
      <c r="N22" s="73">
        <f t="shared" si="13"/>
        <v>0</v>
      </c>
      <c r="O22" s="73">
        <f>IF($K$4=1,VLOOKUP(A22,Table_Old,14,0)*B22*L22*(8.9/1000000),VLOOKUP(A22,Table_New,14,0)*B22*L22*(8.9/1000000))*IF('ENCL 2013'!$F$43&gt;1,1,0)</f>
        <v>0</v>
      </c>
      <c r="P22" s="73">
        <f>IF($K$4=1,VLOOKUP(A22,Table_Old,15,0)*B22*L22*(8.9/1000000),VLOOKUP(A22,Table_New,15,0)*B22*L22*(8.9/1000000))*IF('ENCL 2013'!$F$43&gt;1,1,0)</f>
        <v>0</v>
      </c>
      <c r="Q22" s="73">
        <f>IF($K$4=1,VLOOKUP(A22,Table_Old,16,0)*B22*L22*(8.9/1000000),VLOOKUP(A22,Table_New,16,0)*B22*L22*(8.9/1000000))*IF('ENCL 2013'!$F$43&gt;1,1,0)</f>
        <v>0</v>
      </c>
      <c r="R22" s="73">
        <f>IF($K$4=1,VLOOKUP(A22,Table_Old,17,0)*B22*L22*(8.9/1000000),VLOOKUP(A22,Table_New,17,0)*B22*L22*(8.9/1000000))*IF('ENCL 2013'!$F$43&gt;1,1,0)</f>
        <v>0</v>
      </c>
      <c r="S22" s="73">
        <f>IF($K$4=1,VLOOKUP(A22,Table_Old,18,0)*B22*L22*(8.9/1000000),VLOOKUP(A22,Table_New,18,0)*B22*L22*(8.9/1000000))*IF('ENCL 2013'!$F$43&gt;1,1,0)</f>
        <v>0</v>
      </c>
      <c r="T22" s="73">
        <f t="shared" si="8"/>
        <v>0</v>
      </c>
      <c r="U22" s="73">
        <f>IF($K$4=1,VLOOKUP(A22,Table_Old,20,0)*B22*L22/1000000,VLOOKUP(A22,Table_New,20,0)*B22*L22/1000000)*IF('ENCL 2013'!$F$43&gt;1,1,0)</f>
        <v>0</v>
      </c>
      <c r="V22" s="73">
        <f>IF($K$4=1,VLOOKUP(A22,Table_Old,21,0)*B22*L22/1000000,VLOOKUP(A22,Table_New,21,0)*B22*L22/1000000)*IF('ENCL 2013'!$F$43&gt;1,1,0)</f>
        <v>0</v>
      </c>
      <c r="W22" s="73">
        <f>IF($K$4=1,VLOOKUP(A22,Table_Old,22,0)*B22*L22/1000000,VLOOKUP(A22,Table_New,22,0)*B22*L22/1000000)*IF('ENCL 2013'!$F$43&gt;1,1,0)</f>
        <v>0</v>
      </c>
      <c r="X22" s="73">
        <f>IF($K$4=1,VLOOKUP(A22,Table_Old,23,0)*B22*L22/1000000,VLOOKUP(A22,Table_New,23,0)*B22*L22/1000000)*IF('ENCL 2013'!$F$43&gt;1,1,0)</f>
        <v>0</v>
      </c>
      <c r="Y22" s="73">
        <f>IF($K$4=1,VLOOKUP(A22,Table_Old,24,0)*B22*L22/1000000,VLOOKUP(A22,Table_New,24,0)*B22*L22/1000000)*IF('ENCL 2013'!$F$43&gt;1,1,0)</f>
        <v>0</v>
      </c>
    </row>
    <row r="23" spans="1:25">
      <c r="A23" s="77">
        <f>A20</f>
        <v>630</v>
      </c>
      <c r="B23" s="71">
        <v>1200</v>
      </c>
      <c r="C23" s="71"/>
      <c r="D23" s="71">
        <f t="shared" si="9"/>
        <v>3</v>
      </c>
      <c r="E23" s="72"/>
      <c r="F23" s="73">
        <f t="shared" si="10"/>
        <v>0</v>
      </c>
      <c r="G23" s="72">
        <f t="shared" si="11"/>
        <v>0</v>
      </c>
      <c r="H23" s="73">
        <v>0</v>
      </c>
      <c r="I23" s="73">
        <f t="shared" si="12"/>
        <v>0</v>
      </c>
      <c r="J23" s="73">
        <f t="shared" si="14"/>
        <v>0</v>
      </c>
      <c r="K23" s="73">
        <f t="shared" si="15"/>
        <v>0</v>
      </c>
      <c r="L23" s="74">
        <f>'BUSBAR 2013'!$E$14</f>
        <v>0</v>
      </c>
      <c r="M23" s="73"/>
      <c r="N23" s="73">
        <f t="shared" si="13"/>
        <v>0</v>
      </c>
      <c r="O23" s="73">
        <f>IF($K$4=1,VLOOKUP(A23,Table_Old,14,0)*B23*L23*(8.9/1000000),VLOOKUP(A23,Table_New,14,0)*B23*L23*(8.9/1000000))*IF('ENCL 2013'!$F$43&gt;1,1,0)</f>
        <v>0</v>
      </c>
      <c r="P23" s="73">
        <f>IF($K$4=1,VLOOKUP(A23,Table_Old,15,0)*B23*L23*(8.9/1000000),VLOOKUP(A23,Table_New,15,0)*B23*L23*(8.9/1000000))*IF('ENCL 2013'!$F$43&gt;1,1,0)</f>
        <v>0</v>
      </c>
      <c r="Q23" s="73">
        <f>IF($K$4=1,VLOOKUP(A23,Table_Old,16,0)*B23*L23*(8.9/1000000),VLOOKUP(A23,Table_New,16,0)*B23*L23*(8.9/1000000))*IF('ENCL 2013'!$F$43&gt;1,1,0)</f>
        <v>0</v>
      </c>
      <c r="R23" s="73">
        <f>IF($K$4=1,VLOOKUP(A23,Table_Old,17,0)*B23*L23*(8.9/1000000),VLOOKUP(A23,Table_New,17,0)*B23*L23*(8.9/1000000))*IF('ENCL 2013'!$F$43&gt;1,1,0)</f>
        <v>0</v>
      </c>
      <c r="S23" s="73">
        <f>IF($K$4=1,VLOOKUP(A23,Table_Old,18,0)*B23*L23*(8.9/1000000),VLOOKUP(A23,Table_New,18,0)*B23*L23*(8.9/1000000))*IF('ENCL 2013'!$F$43&gt;1,1,0)</f>
        <v>0</v>
      </c>
      <c r="T23" s="73">
        <f t="shared" si="8"/>
        <v>0</v>
      </c>
      <c r="U23" s="73">
        <f>IF($K$4=1,VLOOKUP(A23,Table_Old,20,0)*B23*L23/1000000,VLOOKUP(A23,Table_New,20,0)*B23*L23/1000000)*IF('ENCL 2013'!$F$43&gt;1,1,0)</f>
        <v>0</v>
      </c>
      <c r="V23" s="73">
        <f>IF($K$4=1,VLOOKUP(A23,Table_Old,21,0)*B23*L23/1000000,VLOOKUP(A23,Table_New,21,0)*B23*L23/1000000)*IF('ENCL 2013'!$F$43&gt;1,1,0)</f>
        <v>0</v>
      </c>
      <c r="W23" s="73">
        <f>IF($K$4=1,VLOOKUP(A23,Table_Old,22,0)*B23*L23/1000000,VLOOKUP(A23,Table_New,22,0)*B23*L23/1000000)*IF('ENCL 2013'!$F$43&gt;1,1,0)</f>
        <v>0</v>
      </c>
      <c r="X23" s="73">
        <f>IF($K$4=1,VLOOKUP(A23,Table_Old,23,0)*B23*L23/1000000,VLOOKUP(A23,Table_New,23,0)*B23*L23/1000000)*IF('ENCL 2013'!$F$43&gt;1,1,0)</f>
        <v>0</v>
      </c>
      <c r="Y23" s="73">
        <f>IF($K$4=1,VLOOKUP(A23,Table_Old,24,0)*B23*L23/1000000,VLOOKUP(A23,Table_New,24,0)*B23*L23/1000000)*IF('ENCL 2013'!$F$43&gt;1,1,0)</f>
        <v>0</v>
      </c>
    </row>
    <row r="24" spans="1:25">
      <c r="A24" s="71">
        <v>800</v>
      </c>
      <c r="B24" s="71">
        <v>600</v>
      </c>
      <c r="C24" s="71"/>
      <c r="D24" s="71">
        <f t="shared" si="9"/>
        <v>3</v>
      </c>
      <c r="E24" s="72"/>
      <c r="F24" s="73">
        <f t="shared" si="10"/>
        <v>0</v>
      </c>
      <c r="G24" s="72">
        <f t="shared" si="11"/>
        <v>0</v>
      </c>
      <c r="H24" s="73">
        <v>0</v>
      </c>
      <c r="I24" s="73">
        <f t="shared" si="12"/>
        <v>0</v>
      </c>
      <c r="J24" s="73">
        <f t="shared" si="14"/>
        <v>0</v>
      </c>
      <c r="K24" s="73">
        <f t="shared" si="15"/>
        <v>0</v>
      </c>
      <c r="L24" s="74">
        <f>'BUSBAR 2013'!$F$11</f>
        <v>0</v>
      </c>
      <c r="M24" s="73"/>
      <c r="N24" s="73">
        <f t="shared" si="13"/>
        <v>0</v>
      </c>
      <c r="O24" s="73">
        <f>IF($K$4=1,VLOOKUP(A24,Table_Old,14,0)*B24*L24*(8.9/1000000),VLOOKUP(A24,Table_New,14,0)*B24*L24*(8.9/1000000))*IF('ENCL 2013'!$F$43&gt;1,1,0)</f>
        <v>0</v>
      </c>
      <c r="P24" s="73">
        <f>IF($K$4=1,VLOOKUP(A24,Table_Old,15,0)*B24*L24*(8.9/1000000),VLOOKUP(A24,Table_New,15,0)*B24*L24*(8.9/1000000))*IF('ENCL 2013'!$F$43&gt;1,1,0)</f>
        <v>0</v>
      </c>
      <c r="Q24" s="73">
        <f>IF($K$4=1,VLOOKUP(A24,Table_Old,16,0)*B24*L24*(8.9/1000000),VLOOKUP(A24,Table_New,16,0)*B24*L24*(8.9/1000000))*IF('ENCL 2013'!$F$43&gt;1,1,0)</f>
        <v>0</v>
      </c>
      <c r="R24" s="73">
        <f>IF($K$4=1,VLOOKUP(A24,Table_Old,17,0)*B24*L24*(8.9/1000000),VLOOKUP(A24,Table_New,17,0)*B24*L24*(8.9/1000000))*IF('ENCL 2013'!$F$43&gt;1,1,0)</f>
        <v>0</v>
      </c>
      <c r="S24" s="73">
        <f>IF($K$4=1,VLOOKUP(A24,Table_Old,18,0)*B24*L24*(8.9/1000000),VLOOKUP(A24,Table_New,18,0)*B24*L24*(8.9/1000000))*IF('ENCL 2013'!$F$43&gt;1,1,0)</f>
        <v>0</v>
      </c>
      <c r="T24" s="73">
        <f t="shared" si="8"/>
        <v>0</v>
      </c>
      <c r="U24" s="73">
        <f>IF($K$4=1,VLOOKUP(A24,Table_Old,20,0)*B24*L24/1000000,VLOOKUP(A24,Table_New,20,0)*B24*L24/1000000)*IF('ENCL 2013'!$F$43&gt;1,1,0)</f>
        <v>0</v>
      </c>
      <c r="V24" s="73">
        <f>IF($K$4=1,VLOOKUP(A24,Table_Old,21,0)*B24*L24/1000000,VLOOKUP(A24,Table_New,21,0)*B24*L24/1000000)*IF('ENCL 2013'!$F$43&gt;1,1,0)</f>
        <v>0</v>
      </c>
      <c r="W24" s="73">
        <f>IF($K$4=1,VLOOKUP(A24,Table_Old,22,0)*B24*L24/1000000,VLOOKUP(A24,Table_New,22,0)*B24*L24/1000000)*IF('ENCL 2013'!$F$43&gt;1,1,0)</f>
        <v>0</v>
      </c>
      <c r="X24" s="73">
        <f>IF($K$4=1,VLOOKUP(A24,Table_Old,23,0)*B24*L24/1000000,VLOOKUP(A24,Table_New,23,0)*B24*L24/1000000)*IF('ENCL 2013'!$F$43&gt;1,1,0)</f>
        <v>0</v>
      </c>
      <c r="Y24" s="73">
        <f>IF($K$4=1,VLOOKUP(A24,Table_Old,24,0)*B24*L24/1000000,VLOOKUP(A24,Table_New,24,0)*B24*L24/1000000)*IF('ENCL 2013'!$F$43&gt;1,1,0)</f>
        <v>0</v>
      </c>
    </row>
    <row r="25" spans="1:25">
      <c r="A25" s="77">
        <f>A24</f>
        <v>800</v>
      </c>
      <c r="B25" s="71">
        <v>800</v>
      </c>
      <c r="C25" s="71"/>
      <c r="D25" s="71">
        <f t="shared" si="9"/>
        <v>3</v>
      </c>
      <c r="E25" s="72"/>
      <c r="F25" s="73">
        <f t="shared" si="10"/>
        <v>0</v>
      </c>
      <c r="G25" s="72">
        <f t="shared" si="11"/>
        <v>0</v>
      </c>
      <c r="H25" s="73">
        <v>0</v>
      </c>
      <c r="I25" s="73">
        <f t="shared" si="12"/>
        <v>0</v>
      </c>
      <c r="J25" s="73">
        <f t="shared" si="14"/>
        <v>0</v>
      </c>
      <c r="K25" s="73">
        <f t="shared" si="15"/>
        <v>0</v>
      </c>
      <c r="L25" s="74">
        <f>'BUSBAR 2013'!$F$12</f>
        <v>0</v>
      </c>
      <c r="M25" s="73"/>
      <c r="N25" s="73">
        <f t="shared" si="13"/>
        <v>0</v>
      </c>
      <c r="O25" s="73">
        <f>IF($K$4=1,VLOOKUP(A25,Table_Old,14,0)*B25*L25*(8.9/1000000),VLOOKUP(A25,Table_New,14,0)*B25*L25*(8.9/1000000))*IF('ENCL 2013'!$F$43&gt;1,1,0)</f>
        <v>0</v>
      </c>
      <c r="P25" s="73">
        <f>IF($K$4=1,VLOOKUP(A25,Table_Old,15,0)*B25*L25*(8.9/1000000),VLOOKUP(A25,Table_New,15,0)*B25*L25*(8.9/1000000))*IF('ENCL 2013'!$F$43&gt;1,1,0)</f>
        <v>0</v>
      </c>
      <c r="Q25" s="73">
        <f>IF($K$4=1,VLOOKUP(A25,Table_Old,16,0)*B25*L25*(8.9/1000000),VLOOKUP(A25,Table_New,16,0)*B25*L25*(8.9/1000000))*IF('ENCL 2013'!$F$43&gt;1,1,0)</f>
        <v>0</v>
      </c>
      <c r="R25" s="73">
        <f>IF($K$4=1,VLOOKUP(A25,Table_Old,17,0)*B25*L25*(8.9/1000000),VLOOKUP(A25,Table_New,17,0)*B25*L25*(8.9/1000000))*IF('ENCL 2013'!$F$43&gt;1,1,0)</f>
        <v>0</v>
      </c>
      <c r="S25" s="73">
        <f>IF($K$4=1,VLOOKUP(A25,Table_Old,18,0)*B25*L25*(8.9/1000000),VLOOKUP(A25,Table_New,18,0)*B25*L25*(8.9/1000000))*IF('ENCL 2013'!$F$43&gt;1,1,0)</f>
        <v>0</v>
      </c>
      <c r="T25" s="73">
        <f t="shared" si="8"/>
        <v>0</v>
      </c>
      <c r="U25" s="73">
        <f>IF($K$4=1,VLOOKUP(A25,Table_Old,20,0)*B25*L25/1000000,VLOOKUP(A25,Table_New,20,0)*B25*L25/1000000)*IF('ENCL 2013'!$F$43&gt;1,1,0)</f>
        <v>0</v>
      </c>
      <c r="V25" s="73">
        <f>IF($K$4=1,VLOOKUP(A25,Table_Old,21,0)*B25*L25/1000000,VLOOKUP(A25,Table_New,21,0)*B25*L25/1000000)*IF('ENCL 2013'!$F$43&gt;1,1,0)</f>
        <v>0</v>
      </c>
      <c r="W25" s="73">
        <f>IF($K$4=1,VLOOKUP(A25,Table_Old,22,0)*B25*L25/1000000,VLOOKUP(A25,Table_New,22,0)*B25*L25/1000000)*IF('ENCL 2013'!$F$43&gt;1,1,0)</f>
        <v>0</v>
      </c>
      <c r="X25" s="73">
        <f>IF($K$4=1,VLOOKUP(A25,Table_Old,23,0)*B25*L25/1000000,VLOOKUP(A25,Table_New,23,0)*B25*L25/1000000)*IF('ENCL 2013'!$F$43&gt;1,1,0)</f>
        <v>0</v>
      </c>
      <c r="Y25" s="73">
        <f>IF($K$4=1,VLOOKUP(A25,Table_Old,24,0)*B25*L25/1000000,VLOOKUP(A25,Table_New,24,0)*B25*L25/1000000)*IF('ENCL 2013'!$F$43&gt;1,1,0)</f>
        <v>0</v>
      </c>
    </row>
    <row r="26" spans="1:25">
      <c r="A26" s="77">
        <f>A24</f>
        <v>800</v>
      </c>
      <c r="B26" s="71">
        <v>1000</v>
      </c>
      <c r="C26" s="71"/>
      <c r="D26" s="71">
        <f t="shared" si="9"/>
        <v>3</v>
      </c>
      <c r="E26" s="72"/>
      <c r="F26" s="73">
        <f t="shared" si="10"/>
        <v>0</v>
      </c>
      <c r="G26" s="72">
        <f t="shared" si="11"/>
        <v>0</v>
      </c>
      <c r="H26" s="73">
        <v>0</v>
      </c>
      <c r="I26" s="73">
        <f t="shared" si="12"/>
        <v>0</v>
      </c>
      <c r="J26" s="73">
        <f t="shared" si="14"/>
        <v>0</v>
      </c>
      <c r="K26" s="73">
        <f t="shared" si="15"/>
        <v>0</v>
      </c>
      <c r="L26" s="74">
        <f>'BUSBAR 2013'!$F$13</f>
        <v>0</v>
      </c>
      <c r="M26" s="73"/>
      <c r="N26" s="73">
        <f t="shared" si="13"/>
        <v>0</v>
      </c>
      <c r="O26" s="73">
        <f>IF($K$4=1,VLOOKUP(A26,Table_Old,14,0)*B26*L26*(8.9/1000000),VLOOKUP(A26,Table_New,14,0)*B26*L26*(8.9/1000000))*IF('ENCL 2013'!$F$43&gt;1,1,0)</f>
        <v>0</v>
      </c>
      <c r="P26" s="73">
        <f>IF($K$4=1,VLOOKUP(A26,Table_Old,15,0)*B26*L26*(8.9/1000000),VLOOKUP(A26,Table_New,15,0)*B26*L26*(8.9/1000000))*IF('ENCL 2013'!$F$43&gt;1,1,0)</f>
        <v>0</v>
      </c>
      <c r="Q26" s="73">
        <f>IF($K$4=1,VLOOKUP(A26,Table_Old,16,0)*B26*L26*(8.9/1000000),VLOOKUP(A26,Table_New,16,0)*B26*L26*(8.9/1000000))*IF('ENCL 2013'!$F$43&gt;1,1,0)</f>
        <v>0</v>
      </c>
      <c r="R26" s="73">
        <f>IF($K$4=1,VLOOKUP(A26,Table_Old,17,0)*B26*L26*(8.9/1000000),VLOOKUP(A26,Table_New,17,0)*B26*L26*(8.9/1000000))*IF('ENCL 2013'!$F$43&gt;1,1,0)</f>
        <v>0</v>
      </c>
      <c r="S26" s="73">
        <f>IF($K$4=1,VLOOKUP(A26,Table_Old,18,0)*B26*L26*(8.9/1000000),VLOOKUP(A26,Table_New,18,0)*B26*L26*(8.9/1000000))*IF('ENCL 2013'!$F$43&gt;1,1,0)</f>
        <v>0</v>
      </c>
      <c r="T26" s="73">
        <f t="shared" si="8"/>
        <v>0</v>
      </c>
      <c r="U26" s="73">
        <f>IF($K$4=1,VLOOKUP(A26,Table_Old,20,0)*B26*L26/1000000,VLOOKUP(A26,Table_New,20,0)*B26*L26/1000000)*IF('ENCL 2013'!$F$43&gt;1,1,0)</f>
        <v>0</v>
      </c>
      <c r="V26" s="73">
        <f>IF($K$4=1,VLOOKUP(A26,Table_Old,21,0)*B26*L26/1000000,VLOOKUP(A26,Table_New,21,0)*B26*L26/1000000)*IF('ENCL 2013'!$F$43&gt;1,1,0)</f>
        <v>0</v>
      </c>
      <c r="W26" s="73">
        <f>IF($K$4=1,VLOOKUP(A26,Table_Old,22,0)*B26*L26/1000000,VLOOKUP(A26,Table_New,22,0)*B26*L26/1000000)*IF('ENCL 2013'!$F$43&gt;1,1,0)</f>
        <v>0</v>
      </c>
      <c r="X26" s="73">
        <f>IF($K$4=1,VLOOKUP(A26,Table_Old,23,0)*B26*L26/1000000,VLOOKUP(A26,Table_New,23,0)*B26*L26/1000000)*IF('ENCL 2013'!$F$43&gt;1,1,0)</f>
        <v>0</v>
      </c>
      <c r="Y26" s="73">
        <f>IF($K$4=1,VLOOKUP(A26,Table_Old,24,0)*B26*L26/1000000,VLOOKUP(A26,Table_New,24,0)*B26*L26/1000000)*IF('ENCL 2013'!$F$43&gt;1,1,0)</f>
        <v>0</v>
      </c>
    </row>
    <row r="27" spans="1:25">
      <c r="A27" s="77">
        <f>A24</f>
        <v>800</v>
      </c>
      <c r="B27" s="71">
        <v>1200</v>
      </c>
      <c r="C27" s="71"/>
      <c r="D27" s="71">
        <f t="shared" si="9"/>
        <v>3</v>
      </c>
      <c r="E27" s="72"/>
      <c r="F27" s="73">
        <f t="shared" si="10"/>
        <v>0</v>
      </c>
      <c r="G27" s="72">
        <f t="shared" si="11"/>
        <v>0</v>
      </c>
      <c r="H27" s="73">
        <v>0</v>
      </c>
      <c r="I27" s="73">
        <f t="shared" si="12"/>
        <v>0</v>
      </c>
      <c r="J27" s="73">
        <f t="shared" si="14"/>
        <v>0</v>
      </c>
      <c r="K27" s="73">
        <f t="shared" si="15"/>
        <v>0</v>
      </c>
      <c r="L27" s="74">
        <f>'BUSBAR 2013'!$F$14</f>
        <v>0</v>
      </c>
      <c r="M27" s="73"/>
      <c r="N27" s="73">
        <f t="shared" si="13"/>
        <v>0</v>
      </c>
      <c r="O27" s="73">
        <f>IF($K$4=1,VLOOKUP(A27,Table_Old,14,0)*B27*L27*(8.9/1000000),VLOOKUP(A27,Table_New,14,0)*B27*L27*(8.9/1000000))*IF('ENCL 2013'!$F$43&gt;1,1,0)</f>
        <v>0</v>
      </c>
      <c r="P27" s="73">
        <f>IF($K$4=1,VLOOKUP(A27,Table_Old,15,0)*B27*L27*(8.9/1000000),VLOOKUP(A27,Table_New,15,0)*B27*L27*(8.9/1000000))*IF('ENCL 2013'!$F$43&gt;1,1,0)</f>
        <v>0</v>
      </c>
      <c r="Q27" s="73">
        <f>IF($K$4=1,VLOOKUP(A27,Table_Old,16,0)*B27*L27*(8.9/1000000),VLOOKUP(A27,Table_New,16,0)*B27*L27*(8.9/1000000))*IF('ENCL 2013'!$F$43&gt;1,1,0)</f>
        <v>0</v>
      </c>
      <c r="R27" s="73">
        <f>IF($K$4=1,VLOOKUP(A27,Table_Old,17,0)*B27*L27*(8.9/1000000),VLOOKUP(A27,Table_New,17,0)*B27*L27*(8.9/1000000))*IF('ENCL 2013'!$F$43&gt;1,1,0)</f>
        <v>0</v>
      </c>
      <c r="S27" s="73">
        <f>IF($K$4=1,VLOOKUP(A27,Table_Old,18,0)*B27*L27*(8.9/1000000),VLOOKUP(A27,Table_New,18,0)*B27*L27*(8.9/1000000))*IF('ENCL 2013'!$F$43&gt;1,1,0)</f>
        <v>0</v>
      </c>
      <c r="T27" s="73">
        <f t="shared" si="8"/>
        <v>0</v>
      </c>
      <c r="U27" s="73">
        <f>IF($K$4=1,VLOOKUP(A27,Table_Old,20,0)*B27*L27/1000000,VLOOKUP(A27,Table_New,20,0)*B27*L27/1000000)*IF('ENCL 2013'!$F$43&gt;1,1,0)</f>
        <v>0</v>
      </c>
      <c r="V27" s="73">
        <f>IF($K$4=1,VLOOKUP(A27,Table_Old,21,0)*B27*L27/1000000,VLOOKUP(A27,Table_New,21,0)*B27*L27/1000000)*IF('ENCL 2013'!$F$43&gt;1,1,0)</f>
        <v>0</v>
      </c>
      <c r="W27" s="73">
        <f>IF($K$4=1,VLOOKUP(A27,Table_Old,22,0)*B27*L27/1000000,VLOOKUP(A27,Table_New,22,0)*B27*L27/1000000)*IF('ENCL 2013'!$F$43&gt;1,1,0)</f>
        <v>0</v>
      </c>
      <c r="X27" s="73">
        <f>IF($K$4=1,VLOOKUP(A27,Table_Old,23,0)*B27*L27/1000000,VLOOKUP(A27,Table_New,23,0)*B27*L27/1000000)*IF('ENCL 2013'!$F$43&gt;1,1,0)</f>
        <v>0</v>
      </c>
      <c r="Y27" s="73">
        <f>IF($K$4=1,VLOOKUP(A27,Table_Old,24,0)*B27*L27/1000000,VLOOKUP(A27,Table_New,24,0)*B27*L27/1000000)*IF('ENCL 2013'!$F$43&gt;1,1,0)</f>
        <v>0</v>
      </c>
    </row>
    <row r="28" spans="1:25">
      <c r="A28" s="71">
        <v>1000</v>
      </c>
      <c r="B28" s="71">
        <v>600</v>
      </c>
      <c r="C28" s="71"/>
      <c r="D28" s="71">
        <f t="shared" si="9"/>
        <v>3</v>
      </c>
      <c r="E28" s="72"/>
      <c r="F28" s="73">
        <f t="shared" si="10"/>
        <v>0</v>
      </c>
      <c r="G28" s="72">
        <f t="shared" si="11"/>
        <v>0</v>
      </c>
      <c r="H28" s="73">
        <v>0</v>
      </c>
      <c r="I28" s="73">
        <f t="shared" si="12"/>
        <v>0</v>
      </c>
      <c r="J28" s="73">
        <f t="shared" si="14"/>
        <v>0</v>
      </c>
      <c r="K28" s="73">
        <f t="shared" si="15"/>
        <v>0</v>
      </c>
      <c r="L28" s="74">
        <f>'BUSBAR 2013'!$G$11</f>
        <v>0</v>
      </c>
      <c r="M28" s="73"/>
      <c r="N28" s="73">
        <f t="shared" si="13"/>
        <v>0</v>
      </c>
      <c r="O28" s="73">
        <f>IF($K$4=1,VLOOKUP(A28,Table_Old,14,0)*B28*L28*(8.9/1000000),VLOOKUP(A28,Table_New,14,0)*B28*L28*(8.9/1000000))*IF('ENCL 2013'!$F$43&gt;1,1,0)</f>
        <v>0</v>
      </c>
      <c r="P28" s="73">
        <f>IF($K$4=1,VLOOKUP(A28,Table_Old,15,0)*B28*L28*(8.9/1000000),VLOOKUP(A28,Table_New,15,0)*B28*L28*(8.9/1000000))*IF('ENCL 2013'!$F$43&gt;1,1,0)</f>
        <v>0</v>
      </c>
      <c r="Q28" s="73">
        <f>IF($K$4=1,VLOOKUP(A28,Table_Old,16,0)*B28*L28*(8.9/1000000),VLOOKUP(A28,Table_New,16,0)*B28*L28*(8.9/1000000))*IF('ENCL 2013'!$F$43&gt;1,1,0)</f>
        <v>0</v>
      </c>
      <c r="R28" s="73">
        <f>IF($K$4=1,VLOOKUP(A28,Table_Old,17,0)*B28*L28*(8.9/1000000),VLOOKUP(A28,Table_New,17,0)*B28*L28*(8.9/1000000))*IF('ENCL 2013'!$F$43&gt;1,1,0)</f>
        <v>0</v>
      </c>
      <c r="S28" s="73">
        <f>IF($K$4=1,VLOOKUP(A28,Table_Old,18,0)*B28*L28*(8.9/1000000),VLOOKUP(A28,Table_New,18,0)*B28*L28*(8.9/1000000))*IF('ENCL 2013'!$F$43&gt;1,1,0)</f>
        <v>0</v>
      </c>
      <c r="T28" s="73">
        <f t="shared" si="8"/>
        <v>0</v>
      </c>
      <c r="U28" s="73">
        <f>IF($K$4=1,VLOOKUP(A28,Table_Old,20,0)*B28*L28/1000000,VLOOKUP(A28,Table_New,20,0)*B28*L28/1000000)*IF('ENCL 2013'!$F$43&gt;1,1,0)</f>
        <v>0</v>
      </c>
      <c r="V28" s="73">
        <f>IF($K$4=1,VLOOKUP(A28,Table_Old,21,0)*B28*L28/1000000,VLOOKUP(A28,Table_New,21,0)*B28*L28/1000000)*IF('ENCL 2013'!$F$43&gt;1,1,0)</f>
        <v>0</v>
      </c>
      <c r="W28" s="73">
        <f>IF($K$4=1,VLOOKUP(A28,Table_Old,22,0)*B28*L28/1000000,VLOOKUP(A28,Table_New,22,0)*B28*L28/1000000)*IF('ENCL 2013'!$F$43&gt;1,1,0)</f>
        <v>0</v>
      </c>
      <c r="X28" s="73">
        <f>IF($K$4=1,VLOOKUP(A28,Table_Old,23,0)*B28*L28/1000000,VLOOKUP(A28,Table_New,23,0)*B28*L28/1000000)*IF('ENCL 2013'!$F$43&gt;1,1,0)</f>
        <v>0</v>
      </c>
      <c r="Y28" s="73">
        <f>IF($K$4=1,VLOOKUP(A28,Table_Old,24,0)*B28*L28/1000000,VLOOKUP(A28,Table_New,24,0)*B28*L28/1000000)*IF('ENCL 2013'!$F$43&gt;1,1,0)</f>
        <v>0</v>
      </c>
    </row>
    <row r="29" spans="1:25">
      <c r="A29" s="77">
        <f>A28</f>
        <v>1000</v>
      </c>
      <c r="B29" s="71">
        <v>800</v>
      </c>
      <c r="C29" s="71"/>
      <c r="D29" s="71">
        <f t="shared" si="9"/>
        <v>3</v>
      </c>
      <c r="E29" s="72"/>
      <c r="F29" s="73">
        <f t="shared" si="10"/>
        <v>0</v>
      </c>
      <c r="G29" s="72">
        <f t="shared" si="11"/>
        <v>0</v>
      </c>
      <c r="H29" s="73">
        <v>0</v>
      </c>
      <c r="I29" s="73">
        <f t="shared" si="12"/>
        <v>0</v>
      </c>
      <c r="J29" s="73">
        <f t="shared" si="14"/>
        <v>0</v>
      </c>
      <c r="K29" s="73">
        <f t="shared" si="15"/>
        <v>0</v>
      </c>
      <c r="L29" s="74">
        <f>'BUSBAR 2013'!$G$12</f>
        <v>0</v>
      </c>
      <c r="M29" s="73"/>
      <c r="N29" s="73">
        <f t="shared" si="13"/>
        <v>0</v>
      </c>
      <c r="O29" s="73">
        <f>IF($K$4=1,VLOOKUP(A29,Table_Old,14,0)*B29*L29*(8.9/1000000),VLOOKUP(A29,Table_New,14,0)*B29*L29*(8.9/1000000))*IF('ENCL 2013'!$F$43&gt;1,1,0)</f>
        <v>0</v>
      </c>
      <c r="P29" s="73">
        <f>IF($K$4=1,VLOOKUP(A29,Table_Old,15,0)*B29*L29*(8.9/1000000),VLOOKUP(A29,Table_New,15,0)*B29*L29*(8.9/1000000))*IF('ENCL 2013'!$F$43&gt;1,1,0)</f>
        <v>0</v>
      </c>
      <c r="Q29" s="73">
        <f>IF($K$4=1,VLOOKUP(A29,Table_Old,16,0)*B29*L29*(8.9/1000000),VLOOKUP(A29,Table_New,16,0)*B29*L29*(8.9/1000000))*IF('ENCL 2013'!$F$43&gt;1,1,0)</f>
        <v>0</v>
      </c>
      <c r="R29" s="73">
        <f>IF($K$4=1,VLOOKUP(A29,Table_Old,17,0)*B29*L29*(8.9/1000000),VLOOKUP(A29,Table_New,17,0)*B29*L29*(8.9/1000000))*IF('ENCL 2013'!$F$43&gt;1,1,0)</f>
        <v>0</v>
      </c>
      <c r="S29" s="73">
        <f>IF($K$4=1,VLOOKUP(A29,Table_Old,18,0)*B29*L29*(8.9/1000000),VLOOKUP(A29,Table_New,18,0)*B29*L29*(8.9/1000000))*IF('ENCL 2013'!$F$43&gt;1,1,0)</f>
        <v>0</v>
      </c>
      <c r="T29" s="73">
        <f t="shared" si="8"/>
        <v>0</v>
      </c>
      <c r="U29" s="73">
        <f>IF($K$4=1,VLOOKUP(A29,Table_Old,20,0)*B29*L29/1000000,VLOOKUP(A29,Table_New,20,0)*B29*L29/1000000)*IF('ENCL 2013'!$F$43&gt;1,1,0)</f>
        <v>0</v>
      </c>
      <c r="V29" s="73">
        <f>IF($K$4=1,VLOOKUP(A29,Table_Old,21,0)*B29*L29/1000000,VLOOKUP(A29,Table_New,21,0)*B29*L29/1000000)*IF('ENCL 2013'!$F$43&gt;1,1,0)</f>
        <v>0</v>
      </c>
      <c r="W29" s="73">
        <f>IF($K$4=1,VLOOKUP(A29,Table_Old,22,0)*B29*L29/1000000,VLOOKUP(A29,Table_New,22,0)*B29*L29/1000000)*IF('ENCL 2013'!$F$43&gt;1,1,0)</f>
        <v>0</v>
      </c>
      <c r="X29" s="73">
        <f>IF($K$4=1,VLOOKUP(A29,Table_Old,23,0)*B29*L29/1000000,VLOOKUP(A29,Table_New,23,0)*B29*L29/1000000)*IF('ENCL 2013'!$F$43&gt;1,1,0)</f>
        <v>0</v>
      </c>
      <c r="Y29" s="73">
        <f>IF($K$4=1,VLOOKUP(A29,Table_Old,24,0)*B29*L29/1000000,VLOOKUP(A29,Table_New,24,0)*B29*L29/1000000)*IF('ENCL 2013'!$F$43&gt;1,1,0)</f>
        <v>0</v>
      </c>
    </row>
    <row r="30" spans="1:25">
      <c r="A30" s="77">
        <f>A28</f>
        <v>1000</v>
      </c>
      <c r="B30" s="71">
        <v>1000</v>
      </c>
      <c r="C30" s="71"/>
      <c r="D30" s="71">
        <f t="shared" si="9"/>
        <v>3</v>
      </c>
      <c r="E30" s="72"/>
      <c r="F30" s="73">
        <f t="shared" si="10"/>
        <v>0</v>
      </c>
      <c r="G30" s="72">
        <f t="shared" si="11"/>
        <v>0</v>
      </c>
      <c r="H30" s="73">
        <v>0</v>
      </c>
      <c r="I30" s="73">
        <f t="shared" si="12"/>
        <v>0</v>
      </c>
      <c r="J30" s="73">
        <f t="shared" si="14"/>
        <v>0</v>
      </c>
      <c r="K30" s="73">
        <f t="shared" si="15"/>
        <v>0</v>
      </c>
      <c r="L30" s="74">
        <f>'BUSBAR 2013'!$G$13</f>
        <v>0</v>
      </c>
      <c r="M30" s="73"/>
      <c r="N30" s="73">
        <f t="shared" si="13"/>
        <v>0</v>
      </c>
      <c r="O30" s="73">
        <f>IF($K$4=1,VLOOKUP(A30,Table_Old,14,0)*B30*L30*(8.9/1000000),VLOOKUP(A30,Table_New,14,0)*B30*L30*(8.9/1000000))*IF('ENCL 2013'!$F$43&gt;1,1,0)</f>
        <v>0</v>
      </c>
      <c r="P30" s="73">
        <f>IF($K$4=1,VLOOKUP(A30,Table_Old,15,0)*B30*L30*(8.9/1000000),VLOOKUP(A30,Table_New,15,0)*B30*L30*(8.9/1000000))*IF('ENCL 2013'!$F$43&gt;1,1,0)</f>
        <v>0</v>
      </c>
      <c r="Q30" s="73">
        <f>IF($K$4=1,VLOOKUP(A30,Table_Old,16,0)*B30*L30*(8.9/1000000),VLOOKUP(A30,Table_New,16,0)*B30*L30*(8.9/1000000))*IF('ENCL 2013'!$F$43&gt;1,1,0)</f>
        <v>0</v>
      </c>
      <c r="R30" s="73">
        <f>IF($K$4=1,VLOOKUP(A30,Table_Old,17,0)*B30*L30*(8.9/1000000),VLOOKUP(A30,Table_New,17,0)*B30*L30*(8.9/1000000))*IF('ENCL 2013'!$F$43&gt;1,1,0)</f>
        <v>0</v>
      </c>
      <c r="S30" s="73">
        <f>IF($K$4=1,VLOOKUP(A30,Table_Old,18,0)*B30*L30*(8.9/1000000),VLOOKUP(A30,Table_New,18,0)*B30*L30*(8.9/1000000))*IF('ENCL 2013'!$F$43&gt;1,1,0)</f>
        <v>0</v>
      </c>
      <c r="T30" s="73">
        <f t="shared" si="8"/>
        <v>0</v>
      </c>
      <c r="U30" s="73">
        <f>IF($K$4=1,VLOOKUP(A30,Table_Old,20,0)*B30*L30/1000000,VLOOKUP(A30,Table_New,20,0)*B30*L30/1000000)*IF('ENCL 2013'!$F$43&gt;1,1,0)</f>
        <v>0</v>
      </c>
      <c r="V30" s="73">
        <f>IF($K$4=1,VLOOKUP(A30,Table_Old,21,0)*B30*L30/1000000,VLOOKUP(A30,Table_New,21,0)*B30*L30/1000000)*IF('ENCL 2013'!$F$43&gt;1,1,0)</f>
        <v>0</v>
      </c>
      <c r="W30" s="73">
        <f>IF($K$4=1,VLOOKUP(A30,Table_Old,22,0)*B30*L30/1000000,VLOOKUP(A30,Table_New,22,0)*B30*L30/1000000)*IF('ENCL 2013'!$F$43&gt;1,1,0)</f>
        <v>0</v>
      </c>
      <c r="X30" s="73">
        <f>IF($K$4=1,VLOOKUP(A30,Table_Old,23,0)*B30*L30/1000000,VLOOKUP(A30,Table_New,23,0)*B30*L30/1000000)*IF('ENCL 2013'!$F$43&gt;1,1,0)</f>
        <v>0</v>
      </c>
      <c r="Y30" s="73">
        <f>IF($K$4=1,VLOOKUP(A30,Table_Old,24,0)*B30*L30/1000000,VLOOKUP(A30,Table_New,24,0)*B30*L30/1000000)*IF('ENCL 2013'!$F$43&gt;1,1,0)</f>
        <v>0</v>
      </c>
    </row>
    <row r="31" spans="1:25">
      <c r="A31" s="77">
        <f>A28</f>
        <v>1000</v>
      </c>
      <c r="B31" s="71">
        <v>1200</v>
      </c>
      <c r="C31" s="71"/>
      <c r="D31" s="71">
        <f t="shared" si="9"/>
        <v>3</v>
      </c>
      <c r="E31" s="72"/>
      <c r="F31" s="73">
        <f t="shared" si="10"/>
        <v>0</v>
      </c>
      <c r="G31" s="72">
        <f t="shared" si="11"/>
        <v>0</v>
      </c>
      <c r="H31" s="73">
        <v>0</v>
      </c>
      <c r="I31" s="73">
        <f t="shared" si="12"/>
        <v>0</v>
      </c>
      <c r="J31" s="73">
        <f t="shared" si="14"/>
        <v>0</v>
      </c>
      <c r="K31" s="73">
        <f t="shared" si="15"/>
        <v>0</v>
      </c>
      <c r="L31" s="74">
        <f>'BUSBAR 2013'!$G$14</f>
        <v>0</v>
      </c>
      <c r="M31" s="73"/>
      <c r="N31" s="73">
        <f t="shared" si="13"/>
        <v>0</v>
      </c>
      <c r="O31" s="73">
        <f>IF($K$4=1,VLOOKUP(A31,Table_Old,14,0)*B31*L31*(8.9/1000000),VLOOKUP(A31,Table_New,14,0)*B31*L31*(8.9/1000000))*IF('ENCL 2013'!$F$43&gt;1,1,0)</f>
        <v>0</v>
      </c>
      <c r="P31" s="73">
        <f>IF($K$4=1,VLOOKUP(A31,Table_Old,15,0)*B31*L31*(8.9/1000000),VLOOKUP(A31,Table_New,15,0)*B31*L31*(8.9/1000000))*IF('ENCL 2013'!$F$43&gt;1,1,0)</f>
        <v>0</v>
      </c>
      <c r="Q31" s="73">
        <f>IF($K$4=1,VLOOKUP(A31,Table_Old,16,0)*B31*L31*(8.9/1000000),VLOOKUP(A31,Table_New,16,0)*B31*L31*(8.9/1000000))*IF('ENCL 2013'!$F$43&gt;1,1,0)</f>
        <v>0</v>
      </c>
      <c r="R31" s="73">
        <f>IF($K$4=1,VLOOKUP(A31,Table_Old,17,0)*B31*L31*(8.9/1000000),VLOOKUP(A31,Table_New,17,0)*B31*L31*(8.9/1000000))*IF('ENCL 2013'!$F$43&gt;1,1,0)</f>
        <v>0</v>
      </c>
      <c r="S31" s="73">
        <f>IF($K$4=1,VLOOKUP(A31,Table_Old,18,0)*B31*L31*(8.9/1000000),VLOOKUP(A31,Table_New,18,0)*B31*L31*(8.9/1000000))*IF('ENCL 2013'!$F$43&gt;1,1,0)</f>
        <v>0</v>
      </c>
      <c r="T31" s="73">
        <f t="shared" si="8"/>
        <v>0</v>
      </c>
      <c r="U31" s="73">
        <f>IF($K$4=1,VLOOKUP(A31,Table_Old,20,0)*B31*L31/1000000,VLOOKUP(A31,Table_New,20,0)*B31*L31/1000000)*IF('ENCL 2013'!$F$43&gt;1,1,0)</f>
        <v>0</v>
      </c>
      <c r="V31" s="73">
        <f>IF($K$4=1,VLOOKUP(A31,Table_Old,21,0)*B31*L31/1000000,VLOOKUP(A31,Table_New,21,0)*B31*L31/1000000)*IF('ENCL 2013'!$F$43&gt;1,1,0)</f>
        <v>0</v>
      </c>
      <c r="W31" s="73">
        <f>IF($K$4=1,VLOOKUP(A31,Table_Old,22,0)*B31*L31/1000000,VLOOKUP(A31,Table_New,22,0)*B31*L31/1000000)*IF('ENCL 2013'!$F$43&gt;1,1,0)</f>
        <v>0</v>
      </c>
      <c r="X31" s="73">
        <f>IF($K$4=1,VLOOKUP(A31,Table_Old,23,0)*B31*L31/1000000,VLOOKUP(A31,Table_New,23,0)*B31*L31/1000000)*IF('ENCL 2013'!$F$43&gt;1,1,0)</f>
        <v>0</v>
      </c>
      <c r="Y31" s="73">
        <f>IF($K$4=1,VLOOKUP(A31,Table_Old,24,0)*B31*L31/1000000,VLOOKUP(A31,Table_New,24,0)*B31*L31/1000000)*IF('ENCL 2013'!$F$43&gt;1,1,0)</f>
        <v>0</v>
      </c>
    </row>
    <row r="32" spans="1:25">
      <c r="A32" s="71">
        <v>1200</v>
      </c>
      <c r="B32" s="71">
        <v>600</v>
      </c>
      <c r="C32" s="71"/>
      <c r="D32" s="71">
        <f t="shared" si="9"/>
        <v>3</v>
      </c>
      <c r="E32" s="72"/>
      <c r="F32" s="73">
        <f t="shared" si="10"/>
        <v>0</v>
      </c>
      <c r="G32" s="72">
        <f t="shared" si="11"/>
        <v>0</v>
      </c>
      <c r="H32" s="73">
        <v>0</v>
      </c>
      <c r="I32" s="73">
        <f t="shared" si="12"/>
        <v>0</v>
      </c>
      <c r="J32" s="73">
        <f t="shared" si="14"/>
        <v>0</v>
      </c>
      <c r="K32" s="73">
        <f t="shared" si="15"/>
        <v>0</v>
      </c>
      <c r="L32" s="74">
        <f>'BUSBAR 2013'!$H$11</f>
        <v>0</v>
      </c>
      <c r="M32" s="73"/>
      <c r="N32" s="73">
        <f t="shared" si="13"/>
        <v>0</v>
      </c>
      <c r="O32" s="73">
        <f>IF($K$4=1,VLOOKUP(A32,Table_Old,14,0)*B32*L32*(8.9/1000000),VLOOKUP(A32,Table_New,14,0)*B32*L32*(8.9/1000000))*IF('ENCL 2013'!$F$43&gt;1,1,0)</f>
        <v>0</v>
      </c>
      <c r="P32" s="73">
        <f>IF($K$4=1,VLOOKUP(A32,Table_Old,15,0)*B32*L32*(8.9/1000000),VLOOKUP(A32,Table_New,15,0)*B32*L32*(8.9/1000000))*IF('ENCL 2013'!$F$43&gt;1,1,0)</f>
        <v>0</v>
      </c>
      <c r="Q32" s="73">
        <f>IF($K$4=1,VLOOKUP(A32,Table_Old,16,0)*B32*L32*(8.9/1000000),VLOOKUP(A32,Table_New,16,0)*B32*L32*(8.9/1000000))*IF('ENCL 2013'!$F$43&gt;1,1,0)</f>
        <v>0</v>
      </c>
      <c r="R32" s="73">
        <f>IF($K$4=1,VLOOKUP(A32,Table_Old,17,0)*B32*L32*(8.9/1000000),VLOOKUP(A32,Table_New,17,0)*B32*L32*(8.9/1000000))*IF('ENCL 2013'!$F$43&gt;1,1,0)</f>
        <v>0</v>
      </c>
      <c r="S32" s="73">
        <f>IF($K$4=1,VLOOKUP(A32,Table_Old,18,0)*B32*L32*(8.9/1000000),VLOOKUP(A32,Table_New,18,0)*B32*L32*(8.9/1000000))*IF('ENCL 2013'!$F$43&gt;1,1,0)</f>
        <v>0</v>
      </c>
      <c r="T32" s="73">
        <f t="shared" si="8"/>
        <v>0</v>
      </c>
      <c r="U32" s="73">
        <f>IF($K$4=1,VLOOKUP(A32,Table_Old,20,0)*B32*L32/1000000,VLOOKUP(A32,Table_New,20,0)*B32*L32/1000000)*IF('ENCL 2013'!$F$43&gt;1,1,0)</f>
        <v>0</v>
      </c>
      <c r="V32" s="73">
        <f>IF($K$4=1,VLOOKUP(A32,Table_Old,21,0)*B32*L32/1000000,VLOOKUP(A32,Table_New,21,0)*B32*L32/1000000)*IF('ENCL 2013'!$F$43&gt;1,1,0)</f>
        <v>0</v>
      </c>
      <c r="W32" s="73">
        <f>IF($K$4=1,VLOOKUP(A32,Table_Old,22,0)*B32*L32/1000000,VLOOKUP(A32,Table_New,22,0)*B32*L32/1000000)*IF('ENCL 2013'!$F$43&gt;1,1,0)</f>
        <v>0</v>
      </c>
      <c r="X32" s="73">
        <f>IF($K$4=1,VLOOKUP(A32,Table_Old,23,0)*B32*L32/1000000,VLOOKUP(A32,Table_New,23,0)*B32*L32/1000000)*IF('ENCL 2013'!$F$43&gt;1,1,0)</f>
        <v>0</v>
      </c>
      <c r="Y32" s="73">
        <f>IF($K$4=1,VLOOKUP(A32,Table_Old,24,0)*B32*L32/1000000,VLOOKUP(A32,Table_New,24,0)*B32*L32/1000000)*IF('ENCL 2013'!$F$43&gt;1,1,0)</f>
        <v>0</v>
      </c>
    </row>
    <row r="33" spans="1:25">
      <c r="A33" s="77">
        <f>A32</f>
        <v>1200</v>
      </c>
      <c r="B33" s="71">
        <v>800</v>
      </c>
      <c r="C33" s="71"/>
      <c r="D33" s="71">
        <f t="shared" si="9"/>
        <v>3</v>
      </c>
      <c r="E33" s="72"/>
      <c r="F33" s="73">
        <f t="shared" si="10"/>
        <v>0</v>
      </c>
      <c r="G33" s="72">
        <f t="shared" si="11"/>
        <v>0</v>
      </c>
      <c r="H33" s="73">
        <v>0</v>
      </c>
      <c r="I33" s="73">
        <f t="shared" si="12"/>
        <v>0</v>
      </c>
      <c r="J33" s="73">
        <f t="shared" si="14"/>
        <v>0</v>
      </c>
      <c r="K33" s="73">
        <f t="shared" si="15"/>
        <v>0</v>
      </c>
      <c r="L33" s="74">
        <f>'BUSBAR 2013'!$H$12</f>
        <v>0</v>
      </c>
      <c r="M33" s="73"/>
      <c r="N33" s="73">
        <f t="shared" si="13"/>
        <v>0</v>
      </c>
      <c r="O33" s="73">
        <f>IF($K$4=1,VLOOKUP(A33,Table_Old,14,0)*B33*L33*(8.9/1000000),VLOOKUP(A33,Table_New,14,0)*B33*L33*(8.9/1000000))*IF('ENCL 2013'!$F$43&gt;1,1,0)</f>
        <v>0</v>
      </c>
      <c r="P33" s="73">
        <f>IF($K$4=1,VLOOKUP(A33,Table_Old,15,0)*B33*L33*(8.9/1000000),VLOOKUP(A33,Table_New,15,0)*B33*L33*(8.9/1000000))*IF('ENCL 2013'!$F$43&gt;1,1,0)</f>
        <v>0</v>
      </c>
      <c r="Q33" s="73">
        <f>IF($K$4=1,VLOOKUP(A33,Table_Old,16,0)*B33*L33*(8.9/1000000),VLOOKUP(A33,Table_New,16,0)*B33*L33*(8.9/1000000))*IF('ENCL 2013'!$F$43&gt;1,1,0)</f>
        <v>0</v>
      </c>
      <c r="R33" s="73">
        <f>IF($K$4=1,VLOOKUP(A33,Table_Old,17,0)*B33*L33*(8.9/1000000),VLOOKUP(A33,Table_New,17,0)*B33*L33*(8.9/1000000))*IF('ENCL 2013'!$F$43&gt;1,1,0)</f>
        <v>0</v>
      </c>
      <c r="S33" s="73">
        <f>IF($K$4=1,VLOOKUP(A33,Table_Old,18,0)*B33*L33*(8.9/1000000),VLOOKUP(A33,Table_New,18,0)*B33*L33*(8.9/1000000))*IF('ENCL 2013'!$F$43&gt;1,1,0)</f>
        <v>0</v>
      </c>
      <c r="T33" s="73">
        <f t="shared" si="8"/>
        <v>0</v>
      </c>
      <c r="U33" s="73">
        <f>IF($K$4=1,VLOOKUP(A33,Table_Old,20,0)*B33*L33/1000000,VLOOKUP(A33,Table_New,20,0)*B33*L33/1000000)*IF('ENCL 2013'!$F$43&gt;1,1,0)</f>
        <v>0</v>
      </c>
      <c r="V33" s="73">
        <f>IF($K$4=1,VLOOKUP(A33,Table_Old,21,0)*B33*L33/1000000,VLOOKUP(A33,Table_New,21,0)*B33*L33/1000000)*IF('ENCL 2013'!$F$43&gt;1,1,0)</f>
        <v>0</v>
      </c>
      <c r="W33" s="73">
        <f>IF($K$4=1,VLOOKUP(A33,Table_Old,22,0)*B33*L33/1000000,VLOOKUP(A33,Table_New,22,0)*B33*L33/1000000)*IF('ENCL 2013'!$F$43&gt;1,1,0)</f>
        <v>0</v>
      </c>
      <c r="X33" s="73">
        <f>IF($K$4=1,VLOOKUP(A33,Table_Old,23,0)*B33*L33/1000000,VLOOKUP(A33,Table_New,23,0)*B33*L33/1000000)*IF('ENCL 2013'!$F$43&gt;1,1,0)</f>
        <v>0</v>
      </c>
      <c r="Y33" s="73">
        <f>IF($K$4=1,VLOOKUP(A33,Table_Old,24,0)*B33*L33/1000000,VLOOKUP(A33,Table_New,24,0)*B33*L33/1000000)*IF('ENCL 2013'!$F$43&gt;1,1,0)</f>
        <v>0</v>
      </c>
    </row>
    <row r="34" spans="1:25">
      <c r="A34" s="77">
        <f>A32</f>
        <v>1200</v>
      </c>
      <c r="B34" s="71">
        <v>1000</v>
      </c>
      <c r="C34" s="71"/>
      <c r="D34" s="71">
        <f t="shared" si="9"/>
        <v>3</v>
      </c>
      <c r="E34" s="72"/>
      <c r="F34" s="73">
        <f t="shared" si="10"/>
        <v>0</v>
      </c>
      <c r="G34" s="72">
        <f t="shared" si="11"/>
        <v>0</v>
      </c>
      <c r="H34" s="73">
        <v>0</v>
      </c>
      <c r="I34" s="73">
        <f t="shared" si="12"/>
        <v>0</v>
      </c>
      <c r="J34" s="73">
        <f t="shared" si="14"/>
        <v>0</v>
      </c>
      <c r="K34" s="73">
        <f t="shared" si="15"/>
        <v>0</v>
      </c>
      <c r="L34" s="74">
        <f>'BUSBAR 2013'!$H$13</f>
        <v>0</v>
      </c>
      <c r="M34" s="73"/>
      <c r="N34" s="73">
        <f t="shared" si="13"/>
        <v>0</v>
      </c>
      <c r="O34" s="73">
        <f>IF($K$4=1,VLOOKUP(A34,Table_Old,14,0)*B34*L34*(8.9/1000000),VLOOKUP(A34,Table_New,14,0)*B34*L34*(8.9/1000000))*IF('ENCL 2013'!$F$43&gt;1,1,0)</f>
        <v>0</v>
      </c>
      <c r="P34" s="73">
        <f>IF($K$4=1,VLOOKUP(A34,Table_Old,15,0)*B34*L34*(8.9/1000000),VLOOKUP(A34,Table_New,15,0)*B34*L34*(8.9/1000000))*IF('ENCL 2013'!$F$43&gt;1,1,0)</f>
        <v>0</v>
      </c>
      <c r="Q34" s="73">
        <f>IF($K$4=1,VLOOKUP(A34,Table_Old,16,0)*B34*L34*(8.9/1000000),VLOOKUP(A34,Table_New,16,0)*B34*L34*(8.9/1000000))*IF('ENCL 2013'!$F$43&gt;1,1,0)</f>
        <v>0</v>
      </c>
      <c r="R34" s="73">
        <f>IF($K$4=1,VLOOKUP(A34,Table_Old,17,0)*B34*L34*(8.9/1000000),VLOOKUP(A34,Table_New,17,0)*B34*L34*(8.9/1000000))*IF('ENCL 2013'!$F$43&gt;1,1,0)</f>
        <v>0</v>
      </c>
      <c r="S34" s="73">
        <f>IF($K$4=1,VLOOKUP(A34,Table_Old,18,0)*B34*L34*(8.9/1000000),VLOOKUP(A34,Table_New,18,0)*B34*L34*(8.9/1000000))*IF('ENCL 2013'!$F$43&gt;1,1,0)</f>
        <v>0</v>
      </c>
      <c r="T34" s="73">
        <f t="shared" si="8"/>
        <v>0</v>
      </c>
      <c r="U34" s="73">
        <f>IF($K$4=1,VLOOKUP(A34,Table_Old,20,0)*B34*L34/1000000,VLOOKUP(A34,Table_New,20,0)*B34*L34/1000000)*IF('ENCL 2013'!$F$43&gt;1,1,0)</f>
        <v>0</v>
      </c>
      <c r="V34" s="73">
        <f>IF($K$4=1,VLOOKUP(A34,Table_Old,21,0)*B34*L34/1000000,VLOOKUP(A34,Table_New,21,0)*B34*L34/1000000)*IF('ENCL 2013'!$F$43&gt;1,1,0)</f>
        <v>0</v>
      </c>
      <c r="W34" s="73">
        <f>IF($K$4=1,VLOOKUP(A34,Table_Old,22,0)*B34*L34/1000000,VLOOKUP(A34,Table_New,22,0)*B34*L34/1000000)*IF('ENCL 2013'!$F$43&gt;1,1,0)</f>
        <v>0</v>
      </c>
      <c r="X34" s="73">
        <f>IF($K$4=1,VLOOKUP(A34,Table_Old,23,0)*B34*L34/1000000,VLOOKUP(A34,Table_New,23,0)*B34*L34/1000000)*IF('ENCL 2013'!$F$43&gt;1,1,0)</f>
        <v>0</v>
      </c>
      <c r="Y34" s="73">
        <f>IF($K$4=1,VLOOKUP(A34,Table_Old,24,0)*B34*L34/1000000,VLOOKUP(A34,Table_New,24,0)*B34*L34/1000000)*IF('ENCL 2013'!$F$43&gt;1,1,0)</f>
        <v>0</v>
      </c>
    </row>
    <row r="35" spans="1:25">
      <c r="A35" s="77">
        <f>A32</f>
        <v>1200</v>
      </c>
      <c r="B35" s="71">
        <v>1200</v>
      </c>
      <c r="C35" s="71"/>
      <c r="D35" s="71">
        <f t="shared" si="9"/>
        <v>3</v>
      </c>
      <c r="E35" s="72"/>
      <c r="F35" s="73">
        <f t="shared" si="10"/>
        <v>0</v>
      </c>
      <c r="G35" s="72">
        <f t="shared" si="11"/>
        <v>0</v>
      </c>
      <c r="H35" s="73">
        <v>0</v>
      </c>
      <c r="I35" s="73">
        <f t="shared" si="12"/>
        <v>0</v>
      </c>
      <c r="J35" s="73">
        <f t="shared" si="14"/>
        <v>0</v>
      </c>
      <c r="K35" s="73">
        <f t="shared" si="15"/>
        <v>0</v>
      </c>
      <c r="L35" s="74">
        <f>'BUSBAR 2013'!$H$14</f>
        <v>0</v>
      </c>
      <c r="M35" s="73"/>
      <c r="N35" s="73">
        <f t="shared" si="13"/>
        <v>0</v>
      </c>
      <c r="O35" s="73">
        <f>IF($K$4=1,VLOOKUP(A35,Table_Old,14,0)*B35*L35*(8.9/1000000),VLOOKUP(A35,Table_New,14,0)*B35*L35*(8.9/1000000))*IF('ENCL 2013'!$F$43&gt;1,1,0)</f>
        <v>0</v>
      </c>
      <c r="P35" s="73">
        <f>IF($K$4=1,VLOOKUP(A35,Table_Old,15,0)*B35*L35*(8.9/1000000),VLOOKUP(A35,Table_New,15,0)*B35*L35*(8.9/1000000))*IF('ENCL 2013'!$F$43&gt;1,1,0)</f>
        <v>0</v>
      </c>
      <c r="Q35" s="73">
        <f>IF($K$4=1,VLOOKUP(A35,Table_Old,16,0)*B35*L35*(8.9/1000000),VLOOKUP(A35,Table_New,16,0)*B35*L35*(8.9/1000000))*IF('ENCL 2013'!$F$43&gt;1,1,0)</f>
        <v>0</v>
      </c>
      <c r="R35" s="73">
        <f>IF($K$4=1,VLOOKUP(A35,Table_Old,17,0)*B35*L35*(8.9/1000000),VLOOKUP(A35,Table_New,17,0)*B35*L35*(8.9/1000000))*IF('ENCL 2013'!$F$43&gt;1,1,0)</f>
        <v>0</v>
      </c>
      <c r="S35" s="73">
        <f>IF($K$4=1,VLOOKUP(A35,Table_Old,18,0)*B35*L35*(8.9/1000000),VLOOKUP(A35,Table_New,18,0)*B35*L35*(8.9/1000000))*IF('ENCL 2013'!$F$43&gt;1,1,0)</f>
        <v>0</v>
      </c>
      <c r="T35" s="73">
        <f t="shared" si="8"/>
        <v>0</v>
      </c>
      <c r="U35" s="73">
        <f>IF($K$4=1,VLOOKUP(A35,Table_Old,20,0)*B35*L35/1000000,VLOOKUP(A35,Table_New,20,0)*B35*L35/1000000)*IF('ENCL 2013'!$F$43&gt;1,1,0)</f>
        <v>0</v>
      </c>
      <c r="V35" s="73">
        <f>IF($K$4=1,VLOOKUP(A35,Table_Old,21,0)*B35*L35/1000000,VLOOKUP(A35,Table_New,21,0)*B35*L35/1000000)*IF('ENCL 2013'!$F$43&gt;1,1,0)</f>
        <v>0</v>
      </c>
      <c r="W35" s="73">
        <f>IF($K$4=1,VLOOKUP(A35,Table_Old,22,0)*B35*L35/1000000,VLOOKUP(A35,Table_New,22,0)*B35*L35/1000000)*IF('ENCL 2013'!$F$43&gt;1,1,0)</f>
        <v>0</v>
      </c>
      <c r="X35" s="73">
        <f>IF($K$4=1,VLOOKUP(A35,Table_Old,23,0)*B35*L35/1000000,VLOOKUP(A35,Table_New,23,0)*B35*L35/1000000)*IF('ENCL 2013'!$F$43&gt;1,1,0)</f>
        <v>0</v>
      </c>
      <c r="Y35" s="73">
        <f>IF($K$4=1,VLOOKUP(A35,Table_Old,24,0)*B35*L35/1000000,VLOOKUP(A35,Table_New,24,0)*B35*L35/1000000)*IF('ENCL 2013'!$F$43&gt;1,1,0)</f>
        <v>0</v>
      </c>
    </row>
    <row r="36" spans="1:25">
      <c r="A36" s="71">
        <v>1250</v>
      </c>
      <c r="B36" s="71">
        <v>600</v>
      </c>
      <c r="C36" s="71"/>
      <c r="D36" s="71">
        <f t="shared" si="9"/>
        <v>3</v>
      </c>
      <c r="E36" s="72"/>
      <c r="F36" s="73">
        <f t="shared" si="10"/>
        <v>0</v>
      </c>
      <c r="G36" s="72">
        <f t="shared" si="11"/>
        <v>0</v>
      </c>
      <c r="H36" s="73">
        <v>0</v>
      </c>
      <c r="I36" s="73">
        <f t="shared" si="12"/>
        <v>0</v>
      </c>
      <c r="J36" s="73">
        <f t="shared" si="14"/>
        <v>0</v>
      </c>
      <c r="K36" s="73">
        <f t="shared" si="15"/>
        <v>0</v>
      </c>
      <c r="L36" s="74">
        <f>'BUSBAR 2013'!$I$11</f>
        <v>0</v>
      </c>
      <c r="M36" s="73"/>
      <c r="N36" s="73">
        <f t="shared" si="13"/>
        <v>0</v>
      </c>
      <c r="O36" s="73">
        <f>IF($K$4=1,VLOOKUP(A36,Table_Old,14,0)*B36*L36*(8.9/1000000),VLOOKUP(A36,Table_New,14,0)*B36*L36*(8.9/1000000))*IF('ENCL 2013'!$F$43&gt;1,1,0)</f>
        <v>0</v>
      </c>
      <c r="P36" s="73">
        <f>IF($K$4=1,VLOOKUP(A36,Table_Old,15,0)*B36*L36*(8.9/1000000),VLOOKUP(A36,Table_New,15,0)*B36*L36*(8.9/1000000))*IF('ENCL 2013'!$F$43&gt;1,1,0)</f>
        <v>0</v>
      </c>
      <c r="Q36" s="73">
        <f>IF($K$4=1,VLOOKUP(A36,Table_Old,16,0)*B36*L36*(8.9/1000000),VLOOKUP(A36,Table_New,16,0)*B36*L36*(8.9/1000000))*IF('ENCL 2013'!$F$43&gt;1,1,0)</f>
        <v>0</v>
      </c>
      <c r="R36" s="73">
        <f>IF($K$4=1,VLOOKUP(A36,Table_Old,17,0)*B36*L36*(8.9/1000000),VLOOKUP(A36,Table_New,17,0)*B36*L36*(8.9/1000000))*IF('ENCL 2013'!$F$43&gt;1,1,0)</f>
        <v>0</v>
      </c>
      <c r="S36" s="73">
        <f>IF($K$4=1,VLOOKUP(A36,Table_Old,18,0)*B36*L36*(8.9/1000000),VLOOKUP(A36,Table_New,18,0)*B36*L36*(8.9/1000000))*IF('ENCL 2013'!$F$43&gt;1,1,0)</f>
        <v>0</v>
      </c>
      <c r="T36" s="73">
        <f t="shared" si="8"/>
        <v>0</v>
      </c>
      <c r="U36" s="73">
        <f>IF($K$4=1,VLOOKUP(A36,Table_Old,20,0)*B36*L36/1000000,VLOOKUP(A36,Table_New,20,0)*B36*L36/1000000)*IF('ENCL 2013'!$F$43&gt;1,1,0)</f>
        <v>0</v>
      </c>
      <c r="V36" s="73">
        <f>IF($K$4=1,VLOOKUP(A36,Table_Old,21,0)*B36*L36/1000000,VLOOKUP(A36,Table_New,21,0)*B36*L36/1000000)*IF('ENCL 2013'!$F$43&gt;1,1,0)</f>
        <v>0</v>
      </c>
      <c r="W36" s="73">
        <f>IF($K$4=1,VLOOKUP(A36,Table_Old,22,0)*B36*L36/1000000,VLOOKUP(A36,Table_New,22,0)*B36*L36/1000000)*IF('ENCL 2013'!$F$43&gt;1,1,0)</f>
        <v>0</v>
      </c>
      <c r="X36" s="73">
        <f>IF($K$4=1,VLOOKUP(A36,Table_Old,23,0)*B36*L36/1000000,VLOOKUP(A36,Table_New,23,0)*B36*L36/1000000)*IF('ENCL 2013'!$F$43&gt;1,1,0)</f>
        <v>0</v>
      </c>
      <c r="Y36" s="73">
        <f>IF($K$4=1,VLOOKUP(A36,Table_Old,24,0)*B36*L36/1000000,VLOOKUP(A36,Table_New,24,0)*B36*L36/1000000)*IF('ENCL 2013'!$F$43&gt;1,1,0)</f>
        <v>0</v>
      </c>
    </row>
    <row r="37" spans="1:25">
      <c r="A37" s="77">
        <f>A36</f>
        <v>1250</v>
      </c>
      <c r="B37" s="71">
        <v>800</v>
      </c>
      <c r="C37" s="71"/>
      <c r="D37" s="71">
        <f t="shared" si="9"/>
        <v>3</v>
      </c>
      <c r="E37" s="72"/>
      <c r="F37" s="73">
        <f t="shared" si="10"/>
        <v>0</v>
      </c>
      <c r="G37" s="72">
        <f t="shared" si="11"/>
        <v>0</v>
      </c>
      <c r="H37" s="73">
        <v>0</v>
      </c>
      <c r="I37" s="73">
        <f t="shared" si="12"/>
        <v>0</v>
      </c>
      <c r="J37" s="73">
        <f t="shared" si="14"/>
        <v>0</v>
      </c>
      <c r="K37" s="73">
        <f t="shared" si="15"/>
        <v>0</v>
      </c>
      <c r="L37" s="74">
        <f>'BUSBAR 2013'!$I$12</f>
        <v>0</v>
      </c>
      <c r="M37" s="73"/>
      <c r="N37" s="73">
        <f t="shared" si="13"/>
        <v>0</v>
      </c>
      <c r="O37" s="73">
        <f>IF($K$4=1,VLOOKUP(A37,Table_Old,14,0)*B37*L37*(8.9/1000000),VLOOKUP(A37,Table_New,14,0)*B37*L37*(8.9/1000000))*IF('ENCL 2013'!$F$43&gt;1,1,0)</f>
        <v>0</v>
      </c>
      <c r="P37" s="73">
        <f>IF($K$4=1,VLOOKUP(A37,Table_Old,15,0)*B37*L37*(8.9/1000000),VLOOKUP(A37,Table_New,15,0)*B37*L37*(8.9/1000000))*IF('ENCL 2013'!$F$43&gt;1,1,0)</f>
        <v>0</v>
      </c>
      <c r="Q37" s="73">
        <f>IF($K$4=1,VLOOKUP(A37,Table_Old,16,0)*B37*L37*(8.9/1000000),VLOOKUP(A37,Table_New,16,0)*B37*L37*(8.9/1000000))*IF('ENCL 2013'!$F$43&gt;1,1,0)</f>
        <v>0</v>
      </c>
      <c r="R37" s="73">
        <f>IF($K$4=1,VLOOKUP(A37,Table_Old,17,0)*B37*L37*(8.9/1000000),VLOOKUP(A37,Table_New,17,0)*B37*L37*(8.9/1000000))*IF('ENCL 2013'!$F$43&gt;1,1,0)</f>
        <v>0</v>
      </c>
      <c r="S37" s="73">
        <f>IF($K$4=1,VLOOKUP(A37,Table_Old,18,0)*B37*L37*(8.9/1000000),VLOOKUP(A37,Table_New,18,0)*B37*L37*(8.9/1000000))*IF('ENCL 2013'!$F$43&gt;1,1,0)</f>
        <v>0</v>
      </c>
      <c r="T37" s="73">
        <f t="shared" si="8"/>
        <v>0</v>
      </c>
      <c r="U37" s="73">
        <f>IF($K$4=1,VLOOKUP(A37,Table_Old,20,0)*B37*L37/1000000,VLOOKUP(A37,Table_New,20,0)*B37*L37/1000000)*IF('ENCL 2013'!$F$43&gt;1,1,0)</f>
        <v>0</v>
      </c>
      <c r="V37" s="73">
        <f>IF($K$4=1,VLOOKUP(A37,Table_Old,21,0)*B37*L37/1000000,VLOOKUP(A37,Table_New,21,0)*B37*L37/1000000)*IF('ENCL 2013'!$F$43&gt;1,1,0)</f>
        <v>0</v>
      </c>
      <c r="W37" s="73">
        <f>IF($K$4=1,VLOOKUP(A37,Table_Old,22,0)*B37*L37/1000000,VLOOKUP(A37,Table_New,22,0)*B37*L37/1000000)*IF('ENCL 2013'!$F$43&gt;1,1,0)</f>
        <v>0</v>
      </c>
      <c r="X37" s="73">
        <f>IF($K$4=1,VLOOKUP(A37,Table_Old,23,0)*B37*L37/1000000,VLOOKUP(A37,Table_New,23,0)*B37*L37/1000000)*IF('ENCL 2013'!$F$43&gt;1,1,0)</f>
        <v>0</v>
      </c>
      <c r="Y37" s="73">
        <f>IF($K$4=1,VLOOKUP(A37,Table_Old,24,0)*B37*L37/1000000,VLOOKUP(A37,Table_New,24,0)*B37*L37/1000000)*IF('ENCL 2013'!$F$43&gt;1,1,0)</f>
        <v>0</v>
      </c>
    </row>
    <row r="38" spans="1:25">
      <c r="A38" s="77">
        <f>A36</f>
        <v>1250</v>
      </c>
      <c r="B38" s="71">
        <v>1000</v>
      </c>
      <c r="C38" s="71"/>
      <c r="D38" s="71">
        <f t="shared" si="9"/>
        <v>3</v>
      </c>
      <c r="E38" s="72"/>
      <c r="F38" s="73">
        <f t="shared" si="10"/>
        <v>0</v>
      </c>
      <c r="G38" s="72">
        <f t="shared" si="11"/>
        <v>0</v>
      </c>
      <c r="H38" s="73">
        <v>0</v>
      </c>
      <c r="I38" s="73">
        <f t="shared" si="12"/>
        <v>0</v>
      </c>
      <c r="J38" s="73">
        <f t="shared" si="14"/>
        <v>0</v>
      </c>
      <c r="K38" s="73">
        <f t="shared" si="15"/>
        <v>0</v>
      </c>
      <c r="L38" s="74">
        <f>'BUSBAR 2013'!$I$13</f>
        <v>0</v>
      </c>
      <c r="M38" s="73"/>
      <c r="N38" s="73">
        <f t="shared" si="13"/>
        <v>0</v>
      </c>
      <c r="O38" s="73">
        <f>IF($K$4=1,VLOOKUP(A38,Table_Old,14,0)*B38*L38*(8.9/1000000),VLOOKUP(A38,Table_New,14,0)*B38*L38*(8.9/1000000))*IF('ENCL 2013'!$F$43&gt;1,1,0)</f>
        <v>0</v>
      </c>
      <c r="P38" s="73">
        <f>IF($K$4=1,VLOOKUP(A38,Table_Old,15,0)*B38*L38*(8.9/1000000),VLOOKUP(A38,Table_New,15,0)*B38*L38*(8.9/1000000))*IF('ENCL 2013'!$F$43&gt;1,1,0)</f>
        <v>0</v>
      </c>
      <c r="Q38" s="73">
        <f>IF($K$4=1,VLOOKUP(A38,Table_Old,16,0)*B38*L38*(8.9/1000000),VLOOKUP(A38,Table_New,16,0)*B38*L38*(8.9/1000000))*IF('ENCL 2013'!$F$43&gt;1,1,0)</f>
        <v>0</v>
      </c>
      <c r="R38" s="73">
        <f>IF($K$4=1,VLOOKUP(A38,Table_Old,17,0)*B38*L38*(8.9/1000000),VLOOKUP(A38,Table_New,17,0)*B38*L38*(8.9/1000000))*IF('ENCL 2013'!$F$43&gt;1,1,0)</f>
        <v>0</v>
      </c>
      <c r="S38" s="73">
        <f>IF($K$4=1,VLOOKUP(A38,Table_Old,18,0)*B38*L38*(8.9/1000000),VLOOKUP(A38,Table_New,18,0)*B38*L38*(8.9/1000000))*IF('ENCL 2013'!$F$43&gt;1,1,0)</f>
        <v>0</v>
      </c>
      <c r="T38" s="73">
        <f t="shared" si="8"/>
        <v>0</v>
      </c>
      <c r="U38" s="73">
        <f>IF($K$4=1,VLOOKUP(A38,Table_Old,20,0)*B38*L38/1000000,VLOOKUP(A38,Table_New,20,0)*B38*L38/1000000)*IF('ENCL 2013'!$F$43&gt;1,1,0)</f>
        <v>0</v>
      </c>
      <c r="V38" s="73">
        <f>IF($K$4=1,VLOOKUP(A38,Table_Old,21,0)*B38*L38/1000000,VLOOKUP(A38,Table_New,21,0)*B38*L38/1000000)*IF('ENCL 2013'!$F$43&gt;1,1,0)</f>
        <v>0</v>
      </c>
      <c r="W38" s="73">
        <f>IF($K$4=1,VLOOKUP(A38,Table_Old,22,0)*B38*L38/1000000,VLOOKUP(A38,Table_New,22,0)*B38*L38/1000000)*IF('ENCL 2013'!$F$43&gt;1,1,0)</f>
        <v>0</v>
      </c>
      <c r="X38" s="73">
        <f>IF($K$4=1,VLOOKUP(A38,Table_Old,23,0)*B38*L38/1000000,VLOOKUP(A38,Table_New,23,0)*B38*L38/1000000)*IF('ENCL 2013'!$F$43&gt;1,1,0)</f>
        <v>0</v>
      </c>
      <c r="Y38" s="73">
        <f>IF($K$4=1,VLOOKUP(A38,Table_Old,24,0)*B38*L38/1000000,VLOOKUP(A38,Table_New,24,0)*B38*L38/1000000)*IF('ENCL 2013'!$F$43&gt;1,1,0)</f>
        <v>0</v>
      </c>
    </row>
    <row r="39" spans="1:25">
      <c r="A39" s="77">
        <f>A36</f>
        <v>1250</v>
      </c>
      <c r="B39" s="71">
        <v>1200</v>
      </c>
      <c r="C39" s="71"/>
      <c r="D39" s="71">
        <f t="shared" si="9"/>
        <v>3</v>
      </c>
      <c r="E39" s="72"/>
      <c r="F39" s="73">
        <f t="shared" si="10"/>
        <v>0</v>
      </c>
      <c r="G39" s="72">
        <f t="shared" si="11"/>
        <v>0</v>
      </c>
      <c r="H39" s="73">
        <v>0</v>
      </c>
      <c r="I39" s="73">
        <f t="shared" si="12"/>
        <v>0</v>
      </c>
      <c r="J39" s="73">
        <f t="shared" si="14"/>
        <v>0</v>
      </c>
      <c r="K39" s="73">
        <f t="shared" si="15"/>
        <v>0</v>
      </c>
      <c r="L39" s="74">
        <f>'BUSBAR 2013'!$I$14</f>
        <v>0</v>
      </c>
      <c r="M39" s="73"/>
      <c r="N39" s="73">
        <f t="shared" si="13"/>
        <v>0</v>
      </c>
      <c r="O39" s="73">
        <f>IF($K$4=1,VLOOKUP(A39,Table_Old,14,0)*B39*L39*(8.9/1000000),VLOOKUP(A39,Table_New,14,0)*B39*L39*(8.9/1000000))*IF('ENCL 2013'!$F$43&gt;1,1,0)</f>
        <v>0</v>
      </c>
      <c r="P39" s="73">
        <f>IF($K$4=1,VLOOKUP(A39,Table_Old,15,0)*B39*L39*(8.9/1000000),VLOOKUP(A39,Table_New,15,0)*B39*L39*(8.9/1000000))*IF('ENCL 2013'!$F$43&gt;1,1,0)</f>
        <v>0</v>
      </c>
      <c r="Q39" s="73">
        <f>IF($K$4=1,VLOOKUP(A39,Table_Old,16,0)*B39*L39*(8.9/1000000),VLOOKUP(A39,Table_New,16,0)*B39*L39*(8.9/1000000))*IF('ENCL 2013'!$F$43&gt;1,1,0)</f>
        <v>0</v>
      </c>
      <c r="R39" s="73">
        <f>IF($K$4=1,VLOOKUP(A39,Table_Old,17,0)*B39*L39*(8.9/1000000),VLOOKUP(A39,Table_New,17,0)*B39*L39*(8.9/1000000))*IF('ENCL 2013'!$F$43&gt;1,1,0)</f>
        <v>0</v>
      </c>
      <c r="S39" s="73">
        <f>IF($K$4=1,VLOOKUP(A39,Table_Old,18,0)*B39*L39*(8.9/1000000),VLOOKUP(A39,Table_New,18,0)*B39*L39*(8.9/1000000))*IF('ENCL 2013'!$F$43&gt;1,1,0)</f>
        <v>0</v>
      </c>
      <c r="T39" s="73">
        <f t="shared" si="8"/>
        <v>0</v>
      </c>
      <c r="U39" s="73">
        <f>IF($K$4=1,VLOOKUP(A39,Table_Old,20,0)*B39*L39/1000000,VLOOKUP(A39,Table_New,20,0)*B39*L39/1000000)*IF('ENCL 2013'!$F$43&gt;1,1,0)</f>
        <v>0</v>
      </c>
      <c r="V39" s="73">
        <f>IF($K$4=1,VLOOKUP(A39,Table_Old,21,0)*B39*L39/1000000,VLOOKUP(A39,Table_New,21,0)*B39*L39/1000000)*IF('ENCL 2013'!$F$43&gt;1,1,0)</f>
        <v>0</v>
      </c>
      <c r="W39" s="73">
        <f>IF($K$4=1,VLOOKUP(A39,Table_Old,22,0)*B39*L39/1000000,VLOOKUP(A39,Table_New,22,0)*B39*L39/1000000)*IF('ENCL 2013'!$F$43&gt;1,1,0)</f>
        <v>0</v>
      </c>
      <c r="X39" s="73">
        <f>IF($K$4=1,VLOOKUP(A39,Table_Old,23,0)*B39*L39/1000000,VLOOKUP(A39,Table_New,23,0)*B39*L39/1000000)*IF('ENCL 2013'!$F$43&gt;1,1,0)</f>
        <v>0</v>
      </c>
      <c r="Y39" s="73">
        <f>IF($K$4=1,VLOOKUP(A39,Table_Old,24,0)*B39*L39/1000000,VLOOKUP(A39,Table_New,24,0)*B39*L39/1000000)*IF('ENCL 2013'!$F$43&gt;1,1,0)</f>
        <v>0</v>
      </c>
    </row>
    <row r="40" spans="1:25">
      <c r="A40" s="71">
        <v>1600</v>
      </c>
      <c r="B40" s="71">
        <v>600</v>
      </c>
      <c r="C40" s="71"/>
      <c r="D40" s="71">
        <f t="shared" si="9"/>
        <v>3</v>
      </c>
      <c r="E40" s="72"/>
      <c r="F40" s="73">
        <f t="shared" si="10"/>
        <v>0</v>
      </c>
      <c r="G40" s="72">
        <f t="shared" si="11"/>
        <v>0</v>
      </c>
      <c r="H40" s="73">
        <v>0</v>
      </c>
      <c r="I40" s="73">
        <f t="shared" si="12"/>
        <v>0</v>
      </c>
      <c r="J40" s="73">
        <f t="shared" si="14"/>
        <v>0</v>
      </c>
      <c r="K40" s="73">
        <f t="shared" si="15"/>
        <v>0</v>
      </c>
      <c r="L40" s="74">
        <f>'BUSBAR 2013'!$J$11</f>
        <v>0</v>
      </c>
      <c r="M40" s="73"/>
      <c r="N40" s="73">
        <f t="shared" si="13"/>
        <v>0</v>
      </c>
      <c r="O40" s="73">
        <f>IF($K$4=1,VLOOKUP(A40,Table_Old,14,0)*B40*L40*(8.9/1000000),VLOOKUP(A40,Table_New,14,0)*B40*L40*(8.9/1000000))*IF('ENCL 2013'!$F$43&gt;1,1,0)</f>
        <v>0</v>
      </c>
      <c r="P40" s="73">
        <f>IF($K$4=1,VLOOKUP(A40,Table_Old,15,0)*B40*L40*(8.9/1000000),VLOOKUP(A40,Table_New,15,0)*B40*L40*(8.9/1000000))*IF('ENCL 2013'!$F$43&gt;1,1,0)</f>
        <v>0</v>
      </c>
      <c r="Q40" s="73">
        <f>IF($K$4=1,VLOOKUP(A40,Table_Old,16,0)*B40*L40*(8.9/1000000),VLOOKUP(A40,Table_New,16,0)*B40*L40*(8.9/1000000))*IF('ENCL 2013'!$F$43&gt;1,1,0)</f>
        <v>0</v>
      </c>
      <c r="R40" s="73">
        <f>IF($K$4=1,VLOOKUP(A40,Table_Old,17,0)*B40*L40*(8.9/1000000),VLOOKUP(A40,Table_New,17,0)*B40*L40*(8.9/1000000))*IF('ENCL 2013'!$F$43&gt;1,1,0)</f>
        <v>0</v>
      </c>
      <c r="S40" s="73">
        <f>IF($K$4=1,VLOOKUP(A40,Table_Old,18,0)*B40*L40*(8.9/1000000),VLOOKUP(A40,Table_New,18,0)*B40*L40*(8.9/1000000))*IF('ENCL 2013'!$F$43&gt;1,1,0)</f>
        <v>0</v>
      </c>
      <c r="T40" s="73">
        <f t="shared" si="8"/>
        <v>0</v>
      </c>
      <c r="U40" s="73">
        <f>IF($K$4=1,VLOOKUP(A40,Table_Old,20,0)*B40*L40/1000000,VLOOKUP(A40,Table_New,20,0)*B40*L40/1000000)*IF('ENCL 2013'!$F$43&gt;1,1,0)</f>
        <v>0</v>
      </c>
      <c r="V40" s="73">
        <f>IF($K$4=1,VLOOKUP(A40,Table_Old,21,0)*B40*L40/1000000,VLOOKUP(A40,Table_New,21,0)*B40*L40/1000000)*IF('ENCL 2013'!$F$43&gt;1,1,0)</f>
        <v>0</v>
      </c>
      <c r="W40" s="73">
        <f>IF($K$4=1,VLOOKUP(A40,Table_Old,22,0)*B40*L40/1000000,VLOOKUP(A40,Table_New,22,0)*B40*L40/1000000)*IF('ENCL 2013'!$F$43&gt;1,1,0)</f>
        <v>0</v>
      </c>
      <c r="X40" s="73">
        <f>IF($K$4=1,VLOOKUP(A40,Table_Old,23,0)*B40*L40/1000000,VLOOKUP(A40,Table_New,23,0)*B40*L40/1000000)*IF('ENCL 2013'!$F$43&gt;1,1,0)</f>
        <v>0</v>
      </c>
      <c r="Y40" s="73">
        <f>IF($K$4=1,VLOOKUP(A40,Table_Old,24,0)*B40*L40/1000000,VLOOKUP(A40,Table_New,24,0)*B40*L40/1000000)*IF('ENCL 2013'!$F$43&gt;1,1,0)</f>
        <v>0</v>
      </c>
    </row>
    <row r="41" spans="1:25">
      <c r="A41" s="77">
        <f>A40</f>
        <v>1600</v>
      </c>
      <c r="B41" s="71">
        <v>800</v>
      </c>
      <c r="C41" s="71"/>
      <c r="D41" s="71">
        <f t="shared" si="9"/>
        <v>3</v>
      </c>
      <c r="E41" s="72"/>
      <c r="F41" s="73">
        <f t="shared" si="10"/>
        <v>0</v>
      </c>
      <c r="G41" s="72">
        <f t="shared" si="11"/>
        <v>0</v>
      </c>
      <c r="H41" s="73">
        <v>0</v>
      </c>
      <c r="I41" s="73">
        <f t="shared" si="12"/>
        <v>0</v>
      </c>
      <c r="J41" s="73">
        <f t="shared" si="14"/>
        <v>0</v>
      </c>
      <c r="K41" s="73">
        <f t="shared" si="15"/>
        <v>0</v>
      </c>
      <c r="L41" s="74">
        <f>'BUSBAR 2013'!$J$12</f>
        <v>0</v>
      </c>
      <c r="M41" s="73"/>
      <c r="N41" s="73">
        <f t="shared" si="13"/>
        <v>0</v>
      </c>
      <c r="O41" s="73">
        <f>IF($K$4=1,VLOOKUP(A41,Table_Old,14,0)*B41*L41*(8.9/1000000),VLOOKUP(A41,Table_New,14,0)*B41*L41*(8.9/1000000))*IF('ENCL 2013'!$F$43&gt;1,1,0)</f>
        <v>0</v>
      </c>
      <c r="P41" s="73">
        <f>IF($K$4=1,VLOOKUP(A41,Table_Old,15,0)*B41*L41*(8.9/1000000),VLOOKUP(A41,Table_New,15,0)*B41*L41*(8.9/1000000))*IF('ENCL 2013'!$F$43&gt;1,1,0)</f>
        <v>0</v>
      </c>
      <c r="Q41" s="73">
        <f>IF($K$4=1,VLOOKUP(A41,Table_Old,16,0)*B41*L41*(8.9/1000000),VLOOKUP(A41,Table_New,16,0)*B41*L41*(8.9/1000000))*IF('ENCL 2013'!$F$43&gt;1,1,0)</f>
        <v>0</v>
      </c>
      <c r="R41" s="73">
        <f>IF($K$4=1,VLOOKUP(A41,Table_Old,17,0)*B41*L41*(8.9/1000000),VLOOKUP(A41,Table_New,17,0)*B41*L41*(8.9/1000000))*IF('ENCL 2013'!$F$43&gt;1,1,0)</f>
        <v>0</v>
      </c>
      <c r="S41" s="73">
        <f>IF($K$4=1,VLOOKUP(A41,Table_Old,18,0)*B41*L41*(8.9/1000000),VLOOKUP(A41,Table_New,18,0)*B41*L41*(8.9/1000000))*IF('ENCL 2013'!$F$43&gt;1,1,0)</f>
        <v>0</v>
      </c>
      <c r="T41" s="73">
        <f t="shared" si="8"/>
        <v>0</v>
      </c>
      <c r="U41" s="73">
        <f>IF($K$4=1,VLOOKUP(A41,Table_Old,20,0)*B41*L41/1000000,VLOOKUP(A41,Table_New,20,0)*B41*L41/1000000)*IF('ENCL 2013'!$F$43&gt;1,1,0)</f>
        <v>0</v>
      </c>
      <c r="V41" s="73">
        <f>IF($K$4=1,VLOOKUP(A41,Table_Old,21,0)*B41*L41/1000000,VLOOKUP(A41,Table_New,21,0)*B41*L41/1000000)*IF('ENCL 2013'!$F$43&gt;1,1,0)</f>
        <v>0</v>
      </c>
      <c r="W41" s="73">
        <f>IF($K$4=1,VLOOKUP(A41,Table_Old,22,0)*B41*L41/1000000,VLOOKUP(A41,Table_New,22,0)*B41*L41/1000000)*IF('ENCL 2013'!$F$43&gt;1,1,0)</f>
        <v>0</v>
      </c>
      <c r="X41" s="73">
        <f>IF($K$4=1,VLOOKUP(A41,Table_Old,23,0)*B41*L41/1000000,VLOOKUP(A41,Table_New,23,0)*B41*L41/1000000)*IF('ENCL 2013'!$F$43&gt;1,1,0)</f>
        <v>0</v>
      </c>
      <c r="Y41" s="73">
        <f>IF($K$4=1,VLOOKUP(A41,Table_Old,24,0)*B41*L41/1000000,VLOOKUP(A41,Table_New,24,0)*B41*L41/1000000)*IF('ENCL 2013'!$F$43&gt;1,1,0)</f>
        <v>0</v>
      </c>
    </row>
    <row r="42" spans="1:25">
      <c r="A42" s="77">
        <f>A40</f>
        <v>1600</v>
      </c>
      <c r="B42" s="71">
        <v>1000</v>
      </c>
      <c r="C42" s="71"/>
      <c r="D42" s="71">
        <f t="shared" si="9"/>
        <v>3</v>
      </c>
      <c r="E42" s="72"/>
      <c r="F42" s="73">
        <f t="shared" si="10"/>
        <v>0</v>
      </c>
      <c r="G42" s="72">
        <f t="shared" si="11"/>
        <v>0</v>
      </c>
      <c r="H42" s="73">
        <v>0</v>
      </c>
      <c r="I42" s="73">
        <f t="shared" si="12"/>
        <v>0</v>
      </c>
      <c r="J42" s="73">
        <f t="shared" si="14"/>
        <v>0</v>
      </c>
      <c r="K42" s="73">
        <f t="shared" si="15"/>
        <v>0</v>
      </c>
      <c r="L42" s="74">
        <f>'BUSBAR 2013'!$J$13</f>
        <v>0</v>
      </c>
      <c r="M42" s="73"/>
      <c r="N42" s="73">
        <f t="shared" si="13"/>
        <v>0</v>
      </c>
      <c r="O42" s="73">
        <f>IF($K$4=1,VLOOKUP(A42,Table_Old,14,0)*B42*L42*(8.9/1000000),VLOOKUP(A42,Table_New,14,0)*B42*L42*(8.9/1000000))*IF('ENCL 2013'!$F$43&gt;1,1,0)</f>
        <v>0</v>
      </c>
      <c r="P42" s="73">
        <f>IF($K$4=1,VLOOKUP(A42,Table_Old,15,0)*B42*L42*(8.9/1000000),VLOOKUP(A42,Table_New,15,0)*B42*L42*(8.9/1000000))*IF('ENCL 2013'!$F$43&gt;1,1,0)</f>
        <v>0</v>
      </c>
      <c r="Q42" s="73">
        <f>IF($K$4=1,VLOOKUP(A42,Table_Old,16,0)*B42*L42*(8.9/1000000),VLOOKUP(A42,Table_New,16,0)*B42*L42*(8.9/1000000))*IF('ENCL 2013'!$F$43&gt;1,1,0)</f>
        <v>0</v>
      </c>
      <c r="R42" s="73">
        <f>IF($K$4=1,VLOOKUP(A42,Table_Old,17,0)*B42*L42*(8.9/1000000),VLOOKUP(A42,Table_New,17,0)*B42*L42*(8.9/1000000))*IF('ENCL 2013'!$F$43&gt;1,1,0)</f>
        <v>0</v>
      </c>
      <c r="S42" s="73">
        <f>IF($K$4=1,VLOOKUP(A42,Table_Old,18,0)*B42*L42*(8.9/1000000),VLOOKUP(A42,Table_New,18,0)*B42*L42*(8.9/1000000))*IF('ENCL 2013'!$F$43&gt;1,1,0)</f>
        <v>0</v>
      </c>
      <c r="T42" s="73">
        <f t="shared" si="8"/>
        <v>0</v>
      </c>
      <c r="U42" s="73">
        <f>IF($K$4=1,VLOOKUP(A42,Table_Old,20,0)*B42*L42/1000000,VLOOKUP(A42,Table_New,20,0)*B42*L42/1000000)*IF('ENCL 2013'!$F$43&gt;1,1,0)</f>
        <v>0</v>
      </c>
      <c r="V42" s="73">
        <f>IF($K$4=1,VLOOKUP(A42,Table_Old,21,0)*B42*L42/1000000,VLOOKUP(A42,Table_New,21,0)*B42*L42/1000000)*IF('ENCL 2013'!$F$43&gt;1,1,0)</f>
        <v>0</v>
      </c>
      <c r="W42" s="73">
        <f>IF($K$4=1,VLOOKUP(A42,Table_Old,22,0)*B42*L42/1000000,VLOOKUP(A42,Table_New,22,0)*B42*L42/1000000)*IF('ENCL 2013'!$F$43&gt;1,1,0)</f>
        <v>0</v>
      </c>
      <c r="X42" s="73">
        <f>IF($K$4=1,VLOOKUP(A42,Table_Old,23,0)*B42*L42/1000000,VLOOKUP(A42,Table_New,23,0)*B42*L42/1000000)*IF('ENCL 2013'!$F$43&gt;1,1,0)</f>
        <v>0</v>
      </c>
      <c r="Y42" s="73">
        <f>IF($K$4=1,VLOOKUP(A42,Table_Old,24,0)*B42*L42/1000000,VLOOKUP(A42,Table_New,24,0)*B42*L42/1000000)*IF('ENCL 2013'!$F$43&gt;1,1,0)</f>
        <v>0</v>
      </c>
    </row>
    <row r="43" spans="1:25">
      <c r="A43" s="77">
        <f>A40</f>
        <v>1600</v>
      </c>
      <c r="B43" s="71">
        <v>1200</v>
      </c>
      <c r="C43" s="71"/>
      <c r="D43" s="71">
        <f t="shared" si="9"/>
        <v>3</v>
      </c>
      <c r="E43" s="72"/>
      <c r="F43" s="73">
        <f t="shared" si="10"/>
        <v>0</v>
      </c>
      <c r="G43" s="72">
        <f t="shared" si="11"/>
        <v>0</v>
      </c>
      <c r="H43" s="73">
        <v>0</v>
      </c>
      <c r="I43" s="73">
        <f t="shared" si="12"/>
        <v>0</v>
      </c>
      <c r="J43" s="73">
        <f t="shared" si="14"/>
        <v>0</v>
      </c>
      <c r="K43" s="73">
        <f t="shared" si="15"/>
        <v>0</v>
      </c>
      <c r="L43" s="74">
        <f>'BUSBAR 2013'!$J$14</f>
        <v>0</v>
      </c>
      <c r="M43" s="73"/>
      <c r="N43" s="73">
        <f t="shared" si="13"/>
        <v>0</v>
      </c>
      <c r="O43" s="73">
        <f>IF($K$4=1,VLOOKUP(A43,Table_Old,14,0)*B43*L43*(8.9/1000000),VLOOKUP(A43,Table_New,14,0)*B43*L43*(8.9/1000000))*IF('ENCL 2013'!$F$43&gt;1,1,0)</f>
        <v>0</v>
      </c>
      <c r="P43" s="73">
        <f>IF($K$4=1,VLOOKUP(A43,Table_Old,15,0)*B43*L43*(8.9/1000000),VLOOKUP(A43,Table_New,15,0)*B43*L43*(8.9/1000000))*IF('ENCL 2013'!$F$43&gt;1,1,0)</f>
        <v>0</v>
      </c>
      <c r="Q43" s="73">
        <f>IF($K$4=1,VLOOKUP(A43,Table_Old,16,0)*B43*L43*(8.9/1000000),VLOOKUP(A43,Table_New,16,0)*B43*L43*(8.9/1000000))*IF('ENCL 2013'!$F$43&gt;1,1,0)</f>
        <v>0</v>
      </c>
      <c r="R43" s="73">
        <f>IF($K$4=1,VLOOKUP(A43,Table_Old,17,0)*B43*L43*(8.9/1000000),VLOOKUP(A43,Table_New,17,0)*B43*L43*(8.9/1000000))*IF('ENCL 2013'!$F$43&gt;1,1,0)</f>
        <v>0</v>
      </c>
      <c r="S43" s="73">
        <f>IF($K$4=1,VLOOKUP(A43,Table_Old,18,0)*B43*L43*(8.9/1000000),VLOOKUP(A43,Table_New,18,0)*B43*L43*(8.9/1000000))*IF('ENCL 2013'!$F$43&gt;1,1,0)</f>
        <v>0</v>
      </c>
      <c r="T43" s="73">
        <f t="shared" si="8"/>
        <v>0</v>
      </c>
      <c r="U43" s="73">
        <f>IF($K$4=1,VLOOKUP(A43,Table_Old,20,0)*B43*L43/1000000,VLOOKUP(A43,Table_New,20,0)*B43*L43/1000000)*IF('ENCL 2013'!$F$43&gt;1,1,0)</f>
        <v>0</v>
      </c>
      <c r="V43" s="73">
        <f>IF($K$4=1,VLOOKUP(A43,Table_Old,21,0)*B43*L43/1000000,VLOOKUP(A43,Table_New,21,0)*B43*L43/1000000)*IF('ENCL 2013'!$F$43&gt;1,1,0)</f>
        <v>0</v>
      </c>
      <c r="W43" s="73">
        <f>IF($K$4=1,VLOOKUP(A43,Table_Old,22,0)*B43*L43/1000000,VLOOKUP(A43,Table_New,22,0)*B43*L43/1000000)*IF('ENCL 2013'!$F$43&gt;1,1,0)</f>
        <v>0</v>
      </c>
      <c r="X43" s="73">
        <f>IF($K$4=1,VLOOKUP(A43,Table_Old,23,0)*B43*L43/1000000,VLOOKUP(A43,Table_New,23,0)*B43*L43/1000000)*IF('ENCL 2013'!$F$43&gt;1,1,0)</f>
        <v>0</v>
      </c>
      <c r="Y43" s="73">
        <f>IF($K$4=1,VLOOKUP(A43,Table_Old,24,0)*B43*L43/1000000,VLOOKUP(A43,Table_New,24,0)*B43*L43/1000000)*IF('ENCL 2013'!$F$43&gt;1,1,0)</f>
        <v>0</v>
      </c>
    </row>
    <row r="44" spans="1:25">
      <c r="A44" s="71">
        <v>2000</v>
      </c>
      <c r="B44" s="71">
        <v>600</v>
      </c>
      <c r="C44" s="71"/>
      <c r="D44" s="71">
        <f t="shared" si="9"/>
        <v>3</v>
      </c>
      <c r="E44" s="72"/>
      <c r="F44" s="73">
        <f t="shared" si="10"/>
        <v>0</v>
      </c>
      <c r="G44" s="72">
        <f t="shared" si="11"/>
        <v>0</v>
      </c>
      <c r="H44" s="73">
        <v>0</v>
      </c>
      <c r="I44" s="73">
        <f t="shared" si="12"/>
        <v>0</v>
      </c>
      <c r="J44" s="73">
        <f t="shared" si="14"/>
        <v>0</v>
      </c>
      <c r="K44" s="73">
        <f t="shared" si="15"/>
        <v>0</v>
      </c>
      <c r="L44" s="74">
        <f>'BUSBAR 2013'!$K$11</f>
        <v>0</v>
      </c>
      <c r="M44" s="73"/>
      <c r="N44" s="73">
        <f t="shared" ref="N44:N71" si="16">IF($K$4=1,VLOOKUP(A44,Table_Old,13,0)*$M$4*B44*L44*(8.9/1000000),VLOOKUP(A44,Table_New,13,0)*$M$4*B44*L44*(8.9/1000000))</f>
        <v>0</v>
      </c>
      <c r="O44" s="73">
        <f>IF($K$4=1,VLOOKUP(A44,Table_Old,14,0)*B44*L44*(8.9/1000000),VLOOKUP(A44,Table_New,14,0)*B44*L44*(8.9/1000000))*IF('ENCL 2013'!$F$43&gt;1,1,0)</f>
        <v>0</v>
      </c>
      <c r="P44" s="73">
        <f>IF($K$4=1,VLOOKUP(A44,Table_Old,15,0)*B44*L44*(8.9/1000000),VLOOKUP(A44,Table_New,15,0)*B44*L44*(8.9/1000000))*IF('ENCL 2013'!$F$43&gt;1,1,0)</f>
        <v>0</v>
      </c>
      <c r="Q44" s="73">
        <f>IF($K$4=1,VLOOKUP(A44,Table_Old,16,0)*B44*L44*(8.9/1000000),VLOOKUP(A44,Table_New,16,0)*B44*L44*(8.9/1000000))*IF('ENCL 2013'!$F$43&gt;1,1,0)</f>
        <v>0</v>
      </c>
      <c r="R44" s="73">
        <f>IF($K$4=1,VLOOKUP(A44,Table_Old,17,0)*B44*L44*(8.9/1000000),VLOOKUP(A44,Table_New,17,0)*B44*L44*(8.9/1000000))*IF('ENCL 2013'!$F$43&gt;1,1,0)</f>
        <v>0</v>
      </c>
      <c r="S44" s="73">
        <f>IF($K$4=1,VLOOKUP(A44,Table_Old,18,0)*B44*L44*(8.9/1000000),VLOOKUP(A44,Table_New,18,0)*B44*L44*(8.9/1000000))*IF('ENCL 2013'!$F$43&gt;1,1,0)</f>
        <v>0</v>
      </c>
      <c r="T44" s="73">
        <f t="shared" ref="T44:T71" si="17">IF($K$4=1,VLOOKUP(A44,Table_Old,19,0)*$M$4*B44*L44/1000000,VLOOKUP(A44,Table_New,19,0)*$M$4*B44*L44/1000000)</f>
        <v>0</v>
      </c>
      <c r="U44" s="73">
        <f>IF($K$4=1,VLOOKUP(A44,Table_Old,20,0)*B44*L44/1000000,VLOOKUP(A44,Table_New,20,0)*B44*L44/1000000)*IF('ENCL 2013'!$F$43&gt;1,1,0)</f>
        <v>0</v>
      </c>
      <c r="V44" s="73">
        <f>IF($K$4=1,VLOOKUP(A44,Table_Old,21,0)*B44*L44/1000000,VLOOKUP(A44,Table_New,21,0)*B44*L44/1000000)*IF('ENCL 2013'!$F$43&gt;1,1,0)</f>
        <v>0</v>
      </c>
      <c r="W44" s="73">
        <f>IF($K$4=1,VLOOKUP(A44,Table_Old,22,0)*B44*L44/1000000,VLOOKUP(A44,Table_New,22,0)*B44*L44/1000000)*IF('ENCL 2013'!$F$43&gt;1,1,0)</f>
        <v>0</v>
      </c>
      <c r="X44" s="73">
        <f>IF($K$4=1,VLOOKUP(A44,Table_Old,23,0)*B44*L44/1000000,VLOOKUP(A44,Table_New,23,0)*B44*L44/1000000)*IF('ENCL 2013'!$F$43&gt;1,1,0)</f>
        <v>0</v>
      </c>
      <c r="Y44" s="73">
        <f>IF($K$4=1,VLOOKUP(A44,Table_Old,24,0)*B44*L44/1000000,VLOOKUP(A44,Table_New,24,0)*B44*L44/1000000)*IF('ENCL 2013'!$F$43&gt;1,1,0)</f>
        <v>0</v>
      </c>
    </row>
    <row r="45" spans="1:25">
      <c r="A45" s="77">
        <f>A44</f>
        <v>2000</v>
      </c>
      <c r="B45" s="71">
        <v>800</v>
      </c>
      <c r="C45" s="71"/>
      <c r="D45" s="71">
        <f t="shared" si="9"/>
        <v>3</v>
      </c>
      <c r="E45" s="72"/>
      <c r="F45" s="73">
        <f t="shared" si="10"/>
        <v>0</v>
      </c>
      <c r="G45" s="72">
        <f t="shared" si="11"/>
        <v>0</v>
      </c>
      <c r="H45" s="73">
        <v>0</v>
      </c>
      <c r="I45" s="73">
        <f t="shared" si="12"/>
        <v>0</v>
      </c>
      <c r="J45" s="73">
        <f t="shared" si="14"/>
        <v>0</v>
      </c>
      <c r="K45" s="73">
        <f t="shared" si="15"/>
        <v>0</v>
      </c>
      <c r="L45" s="74">
        <f>'BUSBAR 2013'!$K$12</f>
        <v>0</v>
      </c>
      <c r="M45" s="73"/>
      <c r="N45" s="73">
        <f t="shared" si="16"/>
        <v>0</v>
      </c>
      <c r="O45" s="73">
        <f>IF($K$4=1,VLOOKUP(A45,Table_Old,14,0)*B45*L45*(8.9/1000000),VLOOKUP(A45,Table_New,14,0)*B45*L45*(8.9/1000000))*IF('ENCL 2013'!$F$43&gt;1,1,0)</f>
        <v>0</v>
      </c>
      <c r="P45" s="73">
        <f>IF($K$4=1,VLOOKUP(A45,Table_Old,15,0)*B45*L45*(8.9/1000000),VLOOKUP(A45,Table_New,15,0)*B45*L45*(8.9/1000000))*IF('ENCL 2013'!$F$43&gt;1,1,0)</f>
        <v>0</v>
      </c>
      <c r="Q45" s="73">
        <f>IF($K$4=1,VLOOKUP(A45,Table_Old,16,0)*B45*L45*(8.9/1000000),VLOOKUP(A45,Table_New,16,0)*B45*L45*(8.9/1000000))*IF('ENCL 2013'!$F$43&gt;1,1,0)</f>
        <v>0</v>
      </c>
      <c r="R45" s="73">
        <f>IF($K$4=1,VLOOKUP(A45,Table_Old,17,0)*B45*L45*(8.9/1000000),VLOOKUP(A45,Table_New,17,0)*B45*L45*(8.9/1000000))*IF('ENCL 2013'!$F$43&gt;1,1,0)</f>
        <v>0</v>
      </c>
      <c r="S45" s="73">
        <f>IF($K$4=1,VLOOKUP(A45,Table_Old,18,0)*B45*L45*(8.9/1000000),VLOOKUP(A45,Table_New,18,0)*B45*L45*(8.9/1000000))*IF('ENCL 2013'!$F$43&gt;1,1,0)</f>
        <v>0</v>
      </c>
      <c r="T45" s="73">
        <f t="shared" si="17"/>
        <v>0</v>
      </c>
      <c r="U45" s="73">
        <f>IF($K$4=1,VLOOKUP(A45,Table_Old,20,0)*B45*L45/1000000,VLOOKUP(A45,Table_New,20,0)*B45*L45/1000000)*IF('ENCL 2013'!$F$43&gt;1,1,0)</f>
        <v>0</v>
      </c>
      <c r="V45" s="73">
        <f>IF($K$4=1,VLOOKUP(A45,Table_Old,21,0)*B45*L45/1000000,VLOOKUP(A45,Table_New,21,0)*B45*L45/1000000)*IF('ENCL 2013'!$F$43&gt;1,1,0)</f>
        <v>0</v>
      </c>
      <c r="W45" s="73">
        <f>IF($K$4=1,VLOOKUP(A45,Table_Old,22,0)*B45*L45/1000000,VLOOKUP(A45,Table_New,22,0)*B45*L45/1000000)*IF('ENCL 2013'!$F$43&gt;1,1,0)</f>
        <v>0</v>
      </c>
      <c r="X45" s="73">
        <f>IF($K$4=1,VLOOKUP(A45,Table_Old,23,0)*B45*L45/1000000,VLOOKUP(A45,Table_New,23,0)*B45*L45/1000000)*IF('ENCL 2013'!$F$43&gt;1,1,0)</f>
        <v>0</v>
      </c>
      <c r="Y45" s="73">
        <f>IF($K$4=1,VLOOKUP(A45,Table_Old,24,0)*B45*L45/1000000,VLOOKUP(A45,Table_New,24,0)*B45*L45/1000000)*IF('ENCL 2013'!$F$43&gt;1,1,0)</f>
        <v>0</v>
      </c>
    </row>
    <row r="46" spans="1:25">
      <c r="A46" s="77">
        <f>A44</f>
        <v>2000</v>
      </c>
      <c r="B46" s="71">
        <v>1000</v>
      </c>
      <c r="C46" s="71"/>
      <c r="D46" s="71">
        <f t="shared" si="9"/>
        <v>3</v>
      </c>
      <c r="E46" s="72"/>
      <c r="F46" s="73">
        <f t="shared" si="10"/>
        <v>0</v>
      </c>
      <c r="G46" s="72">
        <f t="shared" si="11"/>
        <v>0</v>
      </c>
      <c r="H46" s="73">
        <v>0</v>
      </c>
      <c r="I46" s="73">
        <f t="shared" si="12"/>
        <v>0</v>
      </c>
      <c r="J46" s="73">
        <f t="shared" si="14"/>
        <v>0</v>
      </c>
      <c r="K46" s="73">
        <f t="shared" si="15"/>
        <v>0</v>
      </c>
      <c r="L46" s="74">
        <f>'BUSBAR 2013'!$K$13</f>
        <v>0</v>
      </c>
      <c r="M46" s="73"/>
      <c r="N46" s="73">
        <f t="shared" si="16"/>
        <v>0</v>
      </c>
      <c r="O46" s="73">
        <f>IF($K$4=1,VLOOKUP(A46,Table_Old,14,0)*B46*L46*(8.9/1000000),VLOOKUP(A46,Table_New,14,0)*B46*L46*(8.9/1000000))*IF('ENCL 2013'!$F$43&gt;1,1,0)</f>
        <v>0</v>
      </c>
      <c r="P46" s="73">
        <f>IF($K$4=1,VLOOKUP(A46,Table_Old,15,0)*B46*L46*(8.9/1000000),VLOOKUP(A46,Table_New,15,0)*B46*L46*(8.9/1000000))*IF('ENCL 2013'!$F$43&gt;1,1,0)</f>
        <v>0</v>
      </c>
      <c r="Q46" s="73">
        <f>IF($K$4=1,VLOOKUP(A46,Table_Old,16,0)*B46*L46*(8.9/1000000),VLOOKUP(A46,Table_New,16,0)*B46*L46*(8.9/1000000))*IF('ENCL 2013'!$F$43&gt;1,1,0)</f>
        <v>0</v>
      </c>
      <c r="R46" s="73">
        <f>IF($K$4=1,VLOOKUP(A46,Table_Old,17,0)*B46*L46*(8.9/1000000),VLOOKUP(A46,Table_New,17,0)*B46*L46*(8.9/1000000))*IF('ENCL 2013'!$F$43&gt;1,1,0)</f>
        <v>0</v>
      </c>
      <c r="S46" s="73">
        <f>IF($K$4=1,VLOOKUP(A46,Table_Old,18,0)*B46*L46*(8.9/1000000),VLOOKUP(A46,Table_New,18,0)*B46*L46*(8.9/1000000))*IF('ENCL 2013'!$F$43&gt;1,1,0)</f>
        <v>0</v>
      </c>
      <c r="T46" s="73">
        <f t="shared" si="17"/>
        <v>0</v>
      </c>
      <c r="U46" s="73">
        <f>IF($K$4=1,VLOOKUP(A46,Table_Old,20,0)*B46*L46/1000000,VLOOKUP(A46,Table_New,20,0)*B46*L46/1000000)*IF('ENCL 2013'!$F$43&gt;1,1,0)</f>
        <v>0</v>
      </c>
      <c r="V46" s="73">
        <f>IF($K$4=1,VLOOKUP(A46,Table_Old,21,0)*B46*L46/1000000,VLOOKUP(A46,Table_New,21,0)*B46*L46/1000000)*IF('ENCL 2013'!$F$43&gt;1,1,0)</f>
        <v>0</v>
      </c>
      <c r="W46" s="73">
        <f>IF($K$4=1,VLOOKUP(A46,Table_Old,22,0)*B46*L46/1000000,VLOOKUP(A46,Table_New,22,0)*B46*L46/1000000)*IF('ENCL 2013'!$F$43&gt;1,1,0)</f>
        <v>0</v>
      </c>
      <c r="X46" s="73">
        <f>IF($K$4=1,VLOOKUP(A46,Table_Old,23,0)*B46*L46/1000000,VLOOKUP(A46,Table_New,23,0)*B46*L46/1000000)*IF('ENCL 2013'!$F$43&gt;1,1,0)</f>
        <v>0</v>
      </c>
      <c r="Y46" s="73">
        <f>IF($K$4=1,VLOOKUP(A46,Table_Old,24,0)*B46*L46/1000000,VLOOKUP(A46,Table_New,24,0)*B46*L46/1000000)*IF('ENCL 2013'!$F$43&gt;1,1,0)</f>
        <v>0</v>
      </c>
    </row>
    <row r="47" spans="1:25">
      <c r="A47" s="77">
        <f>A44</f>
        <v>2000</v>
      </c>
      <c r="B47" s="71">
        <v>1200</v>
      </c>
      <c r="C47" s="71"/>
      <c r="D47" s="71">
        <f t="shared" si="9"/>
        <v>3</v>
      </c>
      <c r="E47" s="72"/>
      <c r="F47" s="73">
        <f t="shared" si="10"/>
        <v>0</v>
      </c>
      <c r="G47" s="72">
        <f t="shared" si="11"/>
        <v>0</v>
      </c>
      <c r="H47" s="73">
        <v>0</v>
      </c>
      <c r="I47" s="73">
        <f t="shared" si="12"/>
        <v>0</v>
      </c>
      <c r="J47" s="73">
        <f t="shared" si="14"/>
        <v>0</v>
      </c>
      <c r="K47" s="73">
        <f t="shared" si="15"/>
        <v>0</v>
      </c>
      <c r="L47" s="74">
        <f>'BUSBAR 2013'!$K$14</f>
        <v>0</v>
      </c>
      <c r="M47" s="73"/>
      <c r="N47" s="73">
        <f t="shared" si="16"/>
        <v>0</v>
      </c>
      <c r="O47" s="73">
        <f>IF($K$4=1,VLOOKUP(A47,Table_Old,14,0)*B47*L47*(8.9/1000000),VLOOKUP(A47,Table_New,14,0)*B47*L47*(8.9/1000000))*IF('ENCL 2013'!$F$43&gt;1,1,0)</f>
        <v>0</v>
      </c>
      <c r="P47" s="73">
        <f>IF($K$4=1,VLOOKUP(A47,Table_Old,15,0)*B47*L47*(8.9/1000000),VLOOKUP(A47,Table_New,15,0)*B47*L47*(8.9/1000000))*IF('ENCL 2013'!$F$43&gt;1,1,0)</f>
        <v>0</v>
      </c>
      <c r="Q47" s="73">
        <f>IF($K$4=1,VLOOKUP(A47,Table_Old,16,0)*B47*L47*(8.9/1000000),VLOOKUP(A47,Table_New,16,0)*B47*L47*(8.9/1000000))*IF('ENCL 2013'!$F$43&gt;1,1,0)</f>
        <v>0</v>
      </c>
      <c r="R47" s="73">
        <f>IF($K$4=1,VLOOKUP(A47,Table_Old,17,0)*B47*L47*(8.9/1000000),VLOOKUP(A47,Table_New,17,0)*B47*L47*(8.9/1000000))*IF('ENCL 2013'!$F$43&gt;1,1,0)</f>
        <v>0</v>
      </c>
      <c r="S47" s="73">
        <f>IF($K$4=1,VLOOKUP(A47,Table_Old,18,0)*B47*L47*(8.9/1000000),VLOOKUP(A47,Table_New,18,0)*B47*L47*(8.9/1000000))*IF('ENCL 2013'!$F$43&gt;1,1,0)</f>
        <v>0</v>
      </c>
      <c r="T47" s="73">
        <f t="shared" si="17"/>
        <v>0</v>
      </c>
      <c r="U47" s="73">
        <f>IF($K$4=1,VLOOKUP(A47,Table_Old,20,0)*B47*L47/1000000,VLOOKUP(A47,Table_New,20,0)*B47*L47/1000000)*IF('ENCL 2013'!$F$43&gt;1,1,0)</f>
        <v>0</v>
      </c>
      <c r="V47" s="73">
        <f>IF($K$4=1,VLOOKUP(A47,Table_Old,21,0)*B47*L47/1000000,VLOOKUP(A47,Table_New,21,0)*B47*L47/1000000)*IF('ENCL 2013'!$F$43&gt;1,1,0)</f>
        <v>0</v>
      </c>
      <c r="W47" s="73">
        <f>IF($K$4=1,VLOOKUP(A47,Table_Old,22,0)*B47*L47/1000000,VLOOKUP(A47,Table_New,22,0)*B47*L47/1000000)*IF('ENCL 2013'!$F$43&gt;1,1,0)</f>
        <v>0</v>
      </c>
      <c r="X47" s="73">
        <f>IF($K$4=1,VLOOKUP(A47,Table_Old,23,0)*B47*L47/1000000,VLOOKUP(A47,Table_New,23,0)*B47*L47/1000000)*IF('ENCL 2013'!$F$43&gt;1,1,0)</f>
        <v>0</v>
      </c>
      <c r="Y47" s="73">
        <f>IF($K$4=1,VLOOKUP(A47,Table_Old,24,0)*B47*L47/1000000,VLOOKUP(A47,Table_New,24,0)*B47*L47/1000000)*IF('ENCL 2013'!$F$43&gt;1,1,0)</f>
        <v>0</v>
      </c>
    </row>
    <row r="48" spans="1:25">
      <c r="A48" s="71">
        <v>2500</v>
      </c>
      <c r="B48" s="71">
        <v>600</v>
      </c>
      <c r="C48" s="71"/>
      <c r="D48" s="71">
        <f t="shared" si="9"/>
        <v>3</v>
      </c>
      <c r="E48" s="72"/>
      <c r="F48" s="73">
        <f t="shared" si="10"/>
        <v>0</v>
      </c>
      <c r="G48" s="72">
        <f t="shared" si="11"/>
        <v>0</v>
      </c>
      <c r="H48" s="73">
        <v>0</v>
      </c>
      <c r="I48" s="73">
        <f t="shared" si="12"/>
        <v>0</v>
      </c>
      <c r="J48" s="73">
        <f t="shared" si="14"/>
        <v>0</v>
      </c>
      <c r="K48" s="73">
        <f t="shared" si="15"/>
        <v>0</v>
      </c>
      <c r="L48" s="74">
        <f>'BUSBAR 2013'!$L$11</f>
        <v>0</v>
      </c>
      <c r="M48" s="73"/>
      <c r="N48" s="73">
        <f t="shared" si="16"/>
        <v>0</v>
      </c>
      <c r="O48" s="73">
        <f>IF($K$4=1,VLOOKUP(A48,Table_Old,14,0)*B48*L48*(8.9/1000000),VLOOKUP(A48,Table_New,14,0)*B48*L48*(8.9/1000000))*IF('ENCL 2013'!$F$43&gt;1,1,0)</f>
        <v>0</v>
      </c>
      <c r="P48" s="73">
        <f>IF($K$4=1,VLOOKUP(A48,Table_Old,15,0)*B48*L48*(8.9/1000000),VLOOKUP(A48,Table_New,15,0)*B48*L48*(8.9/1000000))*IF('ENCL 2013'!$F$43&gt;1,1,0)</f>
        <v>0</v>
      </c>
      <c r="Q48" s="73">
        <f>IF($K$4=1,VLOOKUP(A48,Table_Old,16,0)*B48*L48*(8.9/1000000),VLOOKUP(A48,Table_New,16,0)*B48*L48*(8.9/1000000))*IF('ENCL 2013'!$F$43&gt;1,1,0)</f>
        <v>0</v>
      </c>
      <c r="R48" s="73">
        <f>IF($K$4=1,VLOOKUP(A48,Table_Old,17,0)*B48*L48*(8.9/1000000),VLOOKUP(A48,Table_New,17,0)*B48*L48*(8.9/1000000))*IF('ENCL 2013'!$F$43&gt;1,1,0)</f>
        <v>0</v>
      </c>
      <c r="S48" s="73">
        <f>IF($K$4=1,VLOOKUP(A48,Table_Old,18,0)*B48*L48*(8.9/1000000),VLOOKUP(A48,Table_New,18,0)*B48*L48*(8.9/1000000))*IF('ENCL 2013'!$F$43&gt;1,1,0)</f>
        <v>0</v>
      </c>
      <c r="T48" s="73">
        <f t="shared" si="17"/>
        <v>0</v>
      </c>
      <c r="U48" s="73">
        <f>IF($K$4=1,VLOOKUP(A48,Table_Old,20,0)*B48*L48/1000000,VLOOKUP(A48,Table_New,20,0)*B48*L48/1000000)*IF('ENCL 2013'!$F$43&gt;1,1,0)</f>
        <v>0</v>
      </c>
      <c r="V48" s="73">
        <f>IF($K$4=1,VLOOKUP(A48,Table_Old,21,0)*B48*L48/1000000,VLOOKUP(A48,Table_New,21,0)*B48*L48/1000000)*IF('ENCL 2013'!$F$43&gt;1,1,0)</f>
        <v>0</v>
      </c>
      <c r="W48" s="73">
        <f>IF($K$4=1,VLOOKUP(A48,Table_Old,22,0)*B48*L48/1000000,VLOOKUP(A48,Table_New,22,0)*B48*L48/1000000)*IF('ENCL 2013'!$F$43&gt;1,1,0)</f>
        <v>0</v>
      </c>
      <c r="X48" s="73">
        <f>IF($K$4=1,VLOOKUP(A48,Table_Old,23,0)*B48*L48/1000000,VLOOKUP(A48,Table_New,23,0)*B48*L48/1000000)*IF('ENCL 2013'!$F$43&gt;1,1,0)</f>
        <v>0</v>
      </c>
      <c r="Y48" s="73">
        <f>IF($K$4=1,VLOOKUP(A48,Table_Old,24,0)*B48*L48/1000000,VLOOKUP(A48,Table_New,24,0)*B48*L48/1000000)*IF('ENCL 2013'!$F$43&gt;1,1,0)</f>
        <v>0</v>
      </c>
    </row>
    <row r="49" spans="1:25">
      <c r="A49" s="77">
        <f>A48</f>
        <v>2500</v>
      </c>
      <c r="B49" s="71">
        <v>800</v>
      </c>
      <c r="C49" s="71"/>
      <c r="D49" s="71">
        <f t="shared" si="9"/>
        <v>3</v>
      </c>
      <c r="E49" s="72"/>
      <c r="F49" s="73">
        <f t="shared" si="10"/>
        <v>0</v>
      </c>
      <c r="G49" s="72">
        <f t="shared" si="11"/>
        <v>0</v>
      </c>
      <c r="H49" s="73">
        <v>0</v>
      </c>
      <c r="I49" s="73">
        <f t="shared" si="12"/>
        <v>0</v>
      </c>
      <c r="J49" s="73">
        <f t="shared" si="14"/>
        <v>0</v>
      </c>
      <c r="K49" s="73">
        <f t="shared" si="15"/>
        <v>0</v>
      </c>
      <c r="L49" s="74">
        <f>'BUSBAR 2013'!$L$12</f>
        <v>0</v>
      </c>
      <c r="M49" s="73"/>
      <c r="N49" s="73">
        <f t="shared" si="16"/>
        <v>0</v>
      </c>
      <c r="O49" s="73">
        <f>IF($K$4=1,VLOOKUP(A49,Table_Old,14,0)*B49*L49*(8.9/1000000),VLOOKUP(A49,Table_New,14,0)*B49*L49*(8.9/1000000))*IF('ENCL 2013'!$F$43&gt;1,1,0)</f>
        <v>0</v>
      </c>
      <c r="P49" s="73">
        <f>IF($K$4=1,VLOOKUP(A49,Table_Old,15,0)*B49*L49*(8.9/1000000),VLOOKUP(A49,Table_New,15,0)*B49*L49*(8.9/1000000))*IF('ENCL 2013'!$F$43&gt;1,1,0)</f>
        <v>0</v>
      </c>
      <c r="Q49" s="73">
        <f>IF($K$4=1,VLOOKUP(A49,Table_Old,16,0)*B49*L49*(8.9/1000000),VLOOKUP(A49,Table_New,16,0)*B49*L49*(8.9/1000000))*IF('ENCL 2013'!$F$43&gt;1,1,0)</f>
        <v>0</v>
      </c>
      <c r="R49" s="73">
        <f>IF($K$4=1,VLOOKUP(A49,Table_Old,17,0)*B49*L49*(8.9/1000000),VLOOKUP(A49,Table_New,17,0)*B49*L49*(8.9/1000000))*IF('ENCL 2013'!$F$43&gt;1,1,0)</f>
        <v>0</v>
      </c>
      <c r="S49" s="73">
        <f>IF($K$4=1,VLOOKUP(A49,Table_Old,18,0)*B49*L49*(8.9/1000000),VLOOKUP(A49,Table_New,18,0)*B49*L49*(8.9/1000000))*IF('ENCL 2013'!$F$43&gt;1,1,0)</f>
        <v>0</v>
      </c>
      <c r="T49" s="73">
        <f t="shared" si="17"/>
        <v>0</v>
      </c>
      <c r="U49" s="73">
        <f>IF($K$4=1,VLOOKUP(A49,Table_Old,20,0)*B49*L49/1000000,VLOOKUP(A49,Table_New,20,0)*B49*L49/1000000)*IF('ENCL 2013'!$F$43&gt;1,1,0)</f>
        <v>0</v>
      </c>
      <c r="V49" s="73">
        <f>IF($K$4=1,VLOOKUP(A49,Table_Old,21,0)*B49*L49/1000000,VLOOKUP(A49,Table_New,21,0)*B49*L49/1000000)*IF('ENCL 2013'!$F$43&gt;1,1,0)</f>
        <v>0</v>
      </c>
      <c r="W49" s="73">
        <f>IF($K$4=1,VLOOKUP(A49,Table_Old,22,0)*B49*L49/1000000,VLOOKUP(A49,Table_New,22,0)*B49*L49/1000000)*IF('ENCL 2013'!$F$43&gt;1,1,0)</f>
        <v>0</v>
      </c>
      <c r="X49" s="73">
        <f>IF($K$4=1,VLOOKUP(A49,Table_Old,23,0)*B49*L49/1000000,VLOOKUP(A49,Table_New,23,0)*B49*L49/1000000)*IF('ENCL 2013'!$F$43&gt;1,1,0)</f>
        <v>0</v>
      </c>
      <c r="Y49" s="73">
        <f>IF($K$4=1,VLOOKUP(A49,Table_Old,24,0)*B49*L49/1000000,VLOOKUP(A49,Table_New,24,0)*B49*L49/1000000)*IF('ENCL 2013'!$F$43&gt;1,1,0)</f>
        <v>0</v>
      </c>
    </row>
    <row r="50" spans="1:25">
      <c r="A50" s="77">
        <f>A48</f>
        <v>2500</v>
      </c>
      <c r="B50" s="71">
        <v>1000</v>
      </c>
      <c r="C50" s="71"/>
      <c r="D50" s="71">
        <f t="shared" si="9"/>
        <v>3</v>
      </c>
      <c r="E50" s="72"/>
      <c r="F50" s="73">
        <f t="shared" si="10"/>
        <v>0</v>
      </c>
      <c r="G50" s="72">
        <f t="shared" si="11"/>
        <v>0</v>
      </c>
      <c r="H50" s="73">
        <v>0</v>
      </c>
      <c r="I50" s="73">
        <f t="shared" si="12"/>
        <v>0</v>
      </c>
      <c r="J50" s="73">
        <f t="shared" si="14"/>
        <v>0</v>
      </c>
      <c r="K50" s="73">
        <f t="shared" si="15"/>
        <v>0</v>
      </c>
      <c r="L50" s="74">
        <f>'BUSBAR 2013'!$L$13</f>
        <v>0</v>
      </c>
      <c r="M50" s="73"/>
      <c r="N50" s="73">
        <f t="shared" si="16"/>
        <v>0</v>
      </c>
      <c r="O50" s="73">
        <f>IF($K$4=1,VLOOKUP(A50,Table_Old,14,0)*B50*L50*(8.9/1000000),VLOOKUP(A50,Table_New,14,0)*B50*L50*(8.9/1000000))*IF('ENCL 2013'!$F$43&gt;1,1,0)</f>
        <v>0</v>
      </c>
      <c r="P50" s="73">
        <f>IF($K$4=1,VLOOKUP(A50,Table_Old,15,0)*B50*L50*(8.9/1000000),VLOOKUP(A50,Table_New,15,0)*B50*L50*(8.9/1000000))*IF('ENCL 2013'!$F$43&gt;1,1,0)</f>
        <v>0</v>
      </c>
      <c r="Q50" s="73">
        <f>IF($K$4=1,VLOOKUP(A50,Table_Old,16,0)*B50*L50*(8.9/1000000),VLOOKUP(A50,Table_New,16,0)*B50*L50*(8.9/1000000))*IF('ENCL 2013'!$F$43&gt;1,1,0)</f>
        <v>0</v>
      </c>
      <c r="R50" s="73">
        <f>IF($K$4=1,VLOOKUP(A50,Table_Old,17,0)*B50*L50*(8.9/1000000),VLOOKUP(A50,Table_New,17,0)*B50*L50*(8.9/1000000))*IF('ENCL 2013'!$F$43&gt;1,1,0)</f>
        <v>0</v>
      </c>
      <c r="S50" s="73">
        <f>IF($K$4=1,VLOOKUP(A50,Table_Old,18,0)*B50*L50*(8.9/1000000),VLOOKUP(A50,Table_New,18,0)*B50*L50*(8.9/1000000))*IF('ENCL 2013'!$F$43&gt;1,1,0)</f>
        <v>0</v>
      </c>
      <c r="T50" s="73">
        <f t="shared" si="17"/>
        <v>0</v>
      </c>
      <c r="U50" s="73">
        <f>IF($K$4=1,VLOOKUP(A50,Table_Old,20,0)*B50*L50/1000000,VLOOKUP(A50,Table_New,20,0)*B50*L50/1000000)*IF('ENCL 2013'!$F$43&gt;1,1,0)</f>
        <v>0</v>
      </c>
      <c r="V50" s="73">
        <f>IF($K$4=1,VLOOKUP(A50,Table_Old,21,0)*B50*L50/1000000,VLOOKUP(A50,Table_New,21,0)*B50*L50/1000000)*IF('ENCL 2013'!$F$43&gt;1,1,0)</f>
        <v>0</v>
      </c>
      <c r="W50" s="73">
        <f>IF($K$4=1,VLOOKUP(A50,Table_Old,22,0)*B50*L50/1000000,VLOOKUP(A50,Table_New,22,0)*B50*L50/1000000)*IF('ENCL 2013'!$F$43&gt;1,1,0)</f>
        <v>0</v>
      </c>
      <c r="X50" s="73">
        <f>IF($K$4=1,VLOOKUP(A50,Table_Old,23,0)*B50*L50/1000000,VLOOKUP(A50,Table_New,23,0)*B50*L50/1000000)*IF('ENCL 2013'!$F$43&gt;1,1,0)</f>
        <v>0</v>
      </c>
      <c r="Y50" s="73">
        <f>IF($K$4=1,VLOOKUP(A50,Table_Old,24,0)*B50*L50/1000000,VLOOKUP(A50,Table_New,24,0)*B50*L50/1000000)*IF('ENCL 2013'!$F$43&gt;1,1,0)</f>
        <v>0</v>
      </c>
    </row>
    <row r="51" spans="1:25">
      <c r="A51" s="77">
        <f>A48</f>
        <v>2500</v>
      </c>
      <c r="B51" s="71">
        <v>1200</v>
      </c>
      <c r="C51" s="71"/>
      <c r="D51" s="71">
        <f t="shared" si="9"/>
        <v>3</v>
      </c>
      <c r="E51" s="72"/>
      <c r="F51" s="73">
        <f t="shared" si="10"/>
        <v>0</v>
      </c>
      <c r="G51" s="72">
        <f t="shared" si="11"/>
        <v>0</v>
      </c>
      <c r="H51" s="73">
        <v>0</v>
      </c>
      <c r="I51" s="73">
        <f t="shared" si="12"/>
        <v>0</v>
      </c>
      <c r="J51" s="73">
        <f t="shared" si="14"/>
        <v>0</v>
      </c>
      <c r="K51" s="73">
        <f t="shared" si="15"/>
        <v>0</v>
      </c>
      <c r="L51" s="74">
        <f>'BUSBAR 2013'!$L$14</f>
        <v>0</v>
      </c>
      <c r="M51" s="73"/>
      <c r="N51" s="73">
        <f t="shared" si="16"/>
        <v>0</v>
      </c>
      <c r="O51" s="73">
        <f>IF($K$4=1,VLOOKUP(A51,Table_Old,14,0)*B51*L51*(8.9/1000000),VLOOKUP(A51,Table_New,14,0)*B51*L51*(8.9/1000000))*IF('ENCL 2013'!$F$43&gt;1,1,0)</f>
        <v>0</v>
      </c>
      <c r="P51" s="73">
        <f>IF($K$4=1,VLOOKUP(A51,Table_Old,15,0)*B51*L51*(8.9/1000000),VLOOKUP(A51,Table_New,15,0)*B51*L51*(8.9/1000000))*IF('ENCL 2013'!$F$43&gt;1,1,0)</f>
        <v>0</v>
      </c>
      <c r="Q51" s="73">
        <f>IF($K$4=1,VLOOKUP(A51,Table_Old,16,0)*B51*L51*(8.9/1000000),VLOOKUP(A51,Table_New,16,0)*B51*L51*(8.9/1000000))*IF('ENCL 2013'!$F$43&gt;1,1,0)</f>
        <v>0</v>
      </c>
      <c r="R51" s="73">
        <f>IF($K$4=1,VLOOKUP(A51,Table_Old,17,0)*B51*L51*(8.9/1000000),VLOOKUP(A51,Table_New,17,0)*B51*L51*(8.9/1000000))*IF('ENCL 2013'!$F$43&gt;1,1,0)</f>
        <v>0</v>
      </c>
      <c r="S51" s="73">
        <f>IF($K$4=1,VLOOKUP(A51,Table_Old,18,0)*B51*L51*(8.9/1000000),VLOOKUP(A51,Table_New,18,0)*B51*L51*(8.9/1000000))*IF('ENCL 2013'!$F$43&gt;1,1,0)</f>
        <v>0</v>
      </c>
      <c r="T51" s="73">
        <f t="shared" si="17"/>
        <v>0</v>
      </c>
      <c r="U51" s="73">
        <f>IF($K$4=1,VLOOKUP(A51,Table_Old,20,0)*B51*L51/1000000,VLOOKUP(A51,Table_New,20,0)*B51*L51/1000000)*IF('ENCL 2013'!$F$43&gt;1,1,0)</f>
        <v>0</v>
      </c>
      <c r="V51" s="73">
        <f>IF($K$4=1,VLOOKUP(A51,Table_Old,21,0)*B51*L51/1000000,VLOOKUP(A51,Table_New,21,0)*B51*L51/1000000)*IF('ENCL 2013'!$F$43&gt;1,1,0)</f>
        <v>0</v>
      </c>
      <c r="W51" s="73">
        <f>IF($K$4=1,VLOOKUP(A51,Table_Old,22,0)*B51*L51/1000000,VLOOKUP(A51,Table_New,22,0)*B51*L51/1000000)*IF('ENCL 2013'!$F$43&gt;1,1,0)</f>
        <v>0</v>
      </c>
      <c r="X51" s="73">
        <f>IF($K$4=1,VLOOKUP(A51,Table_Old,23,0)*B51*L51/1000000,VLOOKUP(A51,Table_New,23,0)*B51*L51/1000000)*IF('ENCL 2013'!$F$43&gt;1,1,0)</f>
        <v>0</v>
      </c>
      <c r="Y51" s="73">
        <f>IF($K$4=1,VLOOKUP(A51,Table_Old,24,0)*B51*L51/1000000,VLOOKUP(A51,Table_New,24,0)*B51*L51/1000000)*IF('ENCL 2013'!$F$43&gt;1,1,0)</f>
        <v>0</v>
      </c>
    </row>
    <row r="52" spans="1:25">
      <c r="A52" s="71">
        <v>3000</v>
      </c>
      <c r="B52" s="71">
        <v>600</v>
      </c>
      <c r="C52" s="71"/>
      <c r="D52" s="71">
        <f t="shared" si="9"/>
        <v>3</v>
      </c>
      <c r="E52" s="72"/>
      <c r="F52" s="73">
        <f t="shared" si="10"/>
        <v>0</v>
      </c>
      <c r="G52" s="72">
        <f t="shared" si="11"/>
        <v>0</v>
      </c>
      <c r="H52" s="73">
        <v>0</v>
      </c>
      <c r="I52" s="73">
        <f t="shared" si="12"/>
        <v>0</v>
      </c>
      <c r="J52" s="73">
        <f t="shared" si="14"/>
        <v>0</v>
      </c>
      <c r="K52" s="73">
        <f t="shared" si="15"/>
        <v>0</v>
      </c>
      <c r="L52" s="74">
        <f>'BUSBAR 2013'!$M$11</f>
        <v>0</v>
      </c>
      <c r="M52" s="73"/>
      <c r="N52" s="73">
        <f t="shared" si="16"/>
        <v>0</v>
      </c>
      <c r="O52" s="73">
        <f>IF($K$4=1,VLOOKUP(A52,Table_Old,14,0)*B52*L52*(8.9/1000000),VLOOKUP(A52,Table_New,14,0)*B52*L52*(8.9/1000000))*IF('ENCL 2013'!$F$43&gt;1,1,0)</f>
        <v>0</v>
      </c>
      <c r="P52" s="73">
        <f>IF($K$4=1,VLOOKUP(A52,Table_Old,15,0)*B52*L52*(8.9/1000000),VLOOKUP(A52,Table_New,15,0)*B52*L52*(8.9/1000000))*IF('ENCL 2013'!$F$43&gt;1,1,0)</f>
        <v>0</v>
      </c>
      <c r="Q52" s="73">
        <f>IF($K$4=1,VLOOKUP(A52,Table_Old,16,0)*B52*L52*(8.9/1000000),VLOOKUP(A52,Table_New,16,0)*B52*L52*(8.9/1000000))*IF('ENCL 2013'!$F$43&gt;1,1,0)</f>
        <v>0</v>
      </c>
      <c r="R52" s="73">
        <f>IF($K$4=1,VLOOKUP(A52,Table_Old,17,0)*B52*L52*(8.9/1000000),VLOOKUP(A52,Table_New,17,0)*B52*L52*(8.9/1000000))*IF('ENCL 2013'!$F$43&gt;1,1,0)</f>
        <v>0</v>
      </c>
      <c r="S52" s="73">
        <f>IF($K$4=1,VLOOKUP(A52,Table_Old,18,0)*B52*L52*(8.9/1000000),VLOOKUP(A52,Table_New,18,0)*B52*L52*(8.9/1000000))*IF('ENCL 2013'!$F$43&gt;1,1,0)</f>
        <v>0</v>
      </c>
      <c r="T52" s="73">
        <f t="shared" si="17"/>
        <v>0</v>
      </c>
      <c r="U52" s="73">
        <f>IF($K$4=1,VLOOKUP(A52,Table_Old,20,0)*B52*L52/1000000,VLOOKUP(A52,Table_New,20,0)*B52*L52/1000000)*IF('ENCL 2013'!$F$43&gt;1,1,0)</f>
        <v>0</v>
      </c>
      <c r="V52" s="73">
        <f>IF($K$4=1,VLOOKUP(A52,Table_Old,21,0)*B52*L52/1000000,VLOOKUP(A52,Table_New,21,0)*B52*L52/1000000)*IF('ENCL 2013'!$F$43&gt;1,1,0)</f>
        <v>0</v>
      </c>
      <c r="W52" s="73">
        <f>IF($K$4=1,VLOOKUP(A52,Table_Old,22,0)*B52*L52/1000000,VLOOKUP(A52,Table_New,22,0)*B52*L52/1000000)*IF('ENCL 2013'!$F$43&gt;1,1,0)</f>
        <v>0</v>
      </c>
      <c r="X52" s="73">
        <f>IF($K$4=1,VLOOKUP(A52,Table_Old,23,0)*B52*L52/1000000,VLOOKUP(A52,Table_New,23,0)*B52*L52/1000000)*IF('ENCL 2013'!$F$43&gt;1,1,0)</f>
        <v>0</v>
      </c>
      <c r="Y52" s="73">
        <f>IF($K$4=1,VLOOKUP(A52,Table_Old,24,0)*B52*L52/1000000,VLOOKUP(A52,Table_New,24,0)*B52*L52/1000000)*IF('ENCL 2013'!$F$43&gt;1,1,0)</f>
        <v>0</v>
      </c>
    </row>
    <row r="53" spans="1:25">
      <c r="A53" s="77">
        <f>A52</f>
        <v>3000</v>
      </c>
      <c r="B53" s="71">
        <v>800</v>
      </c>
      <c r="C53" s="71"/>
      <c r="D53" s="71">
        <f t="shared" si="9"/>
        <v>3</v>
      </c>
      <c r="E53" s="72"/>
      <c r="F53" s="73">
        <f t="shared" si="10"/>
        <v>0</v>
      </c>
      <c r="G53" s="72">
        <f t="shared" si="11"/>
        <v>0</v>
      </c>
      <c r="H53" s="73">
        <v>0</v>
      </c>
      <c r="I53" s="73">
        <f t="shared" si="12"/>
        <v>0</v>
      </c>
      <c r="J53" s="73">
        <f t="shared" si="14"/>
        <v>0</v>
      </c>
      <c r="K53" s="73">
        <f t="shared" si="15"/>
        <v>0</v>
      </c>
      <c r="L53" s="74">
        <f>'BUSBAR 2013'!$M$12</f>
        <v>0</v>
      </c>
      <c r="M53" s="73"/>
      <c r="N53" s="73">
        <f t="shared" si="16"/>
        <v>0</v>
      </c>
      <c r="O53" s="73">
        <f>IF($K$4=1,VLOOKUP(A53,Table_Old,14,0)*B53*L53*(8.9/1000000),VLOOKUP(A53,Table_New,14,0)*B53*L53*(8.9/1000000))*IF('ENCL 2013'!$F$43&gt;1,1,0)</f>
        <v>0</v>
      </c>
      <c r="P53" s="73">
        <f>IF($K$4=1,VLOOKUP(A53,Table_Old,15,0)*B53*L53*(8.9/1000000),VLOOKUP(A53,Table_New,15,0)*B53*L53*(8.9/1000000))*IF('ENCL 2013'!$F$43&gt;1,1,0)</f>
        <v>0</v>
      </c>
      <c r="Q53" s="73">
        <f>IF($K$4=1,VLOOKUP(A53,Table_Old,16,0)*B53*L53*(8.9/1000000),VLOOKUP(A53,Table_New,16,0)*B53*L53*(8.9/1000000))*IF('ENCL 2013'!$F$43&gt;1,1,0)</f>
        <v>0</v>
      </c>
      <c r="R53" s="73">
        <f>IF($K$4=1,VLOOKUP(A53,Table_Old,17,0)*B53*L53*(8.9/1000000),VLOOKUP(A53,Table_New,17,0)*B53*L53*(8.9/1000000))*IF('ENCL 2013'!$F$43&gt;1,1,0)</f>
        <v>0</v>
      </c>
      <c r="S53" s="73">
        <f>IF($K$4=1,VLOOKUP(A53,Table_Old,18,0)*B53*L53*(8.9/1000000),VLOOKUP(A53,Table_New,18,0)*B53*L53*(8.9/1000000))*IF('ENCL 2013'!$F$43&gt;1,1,0)</f>
        <v>0</v>
      </c>
      <c r="T53" s="73">
        <f t="shared" si="17"/>
        <v>0</v>
      </c>
      <c r="U53" s="73">
        <f>IF($K$4=1,VLOOKUP(A53,Table_Old,20,0)*B53*L53/1000000,VLOOKUP(A53,Table_New,20,0)*B53*L53/1000000)*IF('ENCL 2013'!$F$43&gt;1,1,0)</f>
        <v>0</v>
      </c>
      <c r="V53" s="73">
        <f>IF($K$4=1,VLOOKUP(A53,Table_Old,21,0)*B53*L53/1000000,VLOOKUP(A53,Table_New,21,0)*B53*L53/1000000)*IF('ENCL 2013'!$F$43&gt;1,1,0)</f>
        <v>0</v>
      </c>
      <c r="W53" s="73">
        <f>IF($K$4=1,VLOOKUP(A53,Table_Old,22,0)*B53*L53/1000000,VLOOKUP(A53,Table_New,22,0)*B53*L53/1000000)*IF('ENCL 2013'!$F$43&gt;1,1,0)</f>
        <v>0</v>
      </c>
      <c r="X53" s="73">
        <f>IF($K$4=1,VLOOKUP(A53,Table_Old,23,0)*B53*L53/1000000,VLOOKUP(A53,Table_New,23,0)*B53*L53/1000000)*IF('ENCL 2013'!$F$43&gt;1,1,0)</f>
        <v>0</v>
      </c>
      <c r="Y53" s="73">
        <f>IF($K$4=1,VLOOKUP(A53,Table_Old,24,0)*B53*L53/1000000,VLOOKUP(A53,Table_New,24,0)*B53*L53/1000000)*IF('ENCL 2013'!$F$43&gt;1,1,0)</f>
        <v>0</v>
      </c>
    </row>
    <row r="54" spans="1:25">
      <c r="A54" s="77">
        <f>A52</f>
        <v>3000</v>
      </c>
      <c r="B54" s="71">
        <v>1000</v>
      </c>
      <c r="C54" s="71"/>
      <c r="D54" s="71">
        <f t="shared" si="9"/>
        <v>3</v>
      </c>
      <c r="E54" s="72"/>
      <c r="F54" s="73">
        <f t="shared" si="10"/>
        <v>0</v>
      </c>
      <c r="G54" s="72">
        <f t="shared" si="11"/>
        <v>0</v>
      </c>
      <c r="H54" s="73">
        <v>0</v>
      </c>
      <c r="I54" s="73">
        <f t="shared" si="12"/>
        <v>0</v>
      </c>
      <c r="J54" s="73">
        <f t="shared" si="14"/>
        <v>0</v>
      </c>
      <c r="K54" s="73">
        <f t="shared" si="15"/>
        <v>0</v>
      </c>
      <c r="L54" s="74">
        <f>'BUSBAR 2013'!$M$13</f>
        <v>0</v>
      </c>
      <c r="M54" s="73"/>
      <c r="N54" s="73">
        <f t="shared" si="16"/>
        <v>0</v>
      </c>
      <c r="O54" s="73">
        <f>IF($K$4=1,VLOOKUP(A54,Table_Old,14,0)*B54*L54*(8.9/1000000),VLOOKUP(A54,Table_New,14,0)*B54*L54*(8.9/1000000))*IF('ENCL 2013'!$F$43&gt;1,1,0)</f>
        <v>0</v>
      </c>
      <c r="P54" s="73">
        <f>IF($K$4=1,VLOOKUP(A54,Table_Old,15,0)*B54*L54*(8.9/1000000),VLOOKUP(A54,Table_New,15,0)*B54*L54*(8.9/1000000))*IF('ENCL 2013'!$F$43&gt;1,1,0)</f>
        <v>0</v>
      </c>
      <c r="Q54" s="73">
        <f>IF($K$4=1,VLOOKUP(A54,Table_Old,16,0)*B54*L54*(8.9/1000000),VLOOKUP(A54,Table_New,16,0)*B54*L54*(8.9/1000000))*IF('ENCL 2013'!$F$43&gt;1,1,0)</f>
        <v>0</v>
      </c>
      <c r="R54" s="73">
        <f>IF($K$4=1,VLOOKUP(A54,Table_Old,17,0)*B54*L54*(8.9/1000000),VLOOKUP(A54,Table_New,17,0)*B54*L54*(8.9/1000000))*IF('ENCL 2013'!$F$43&gt;1,1,0)</f>
        <v>0</v>
      </c>
      <c r="S54" s="73">
        <f>IF($K$4=1,VLOOKUP(A54,Table_Old,18,0)*B54*L54*(8.9/1000000),VLOOKUP(A54,Table_New,18,0)*B54*L54*(8.9/1000000))*IF('ENCL 2013'!$F$43&gt;1,1,0)</f>
        <v>0</v>
      </c>
      <c r="T54" s="73">
        <f t="shared" si="17"/>
        <v>0</v>
      </c>
      <c r="U54" s="73">
        <f>IF($K$4=1,VLOOKUP(A54,Table_Old,20,0)*B54*L54/1000000,VLOOKUP(A54,Table_New,20,0)*B54*L54/1000000)*IF('ENCL 2013'!$F$43&gt;1,1,0)</f>
        <v>0</v>
      </c>
      <c r="V54" s="73">
        <f>IF($K$4=1,VLOOKUP(A54,Table_Old,21,0)*B54*L54/1000000,VLOOKUP(A54,Table_New,21,0)*B54*L54/1000000)*IF('ENCL 2013'!$F$43&gt;1,1,0)</f>
        <v>0</v>
      </c>
      <c r="W54" s="73">
        <f>IF($K$4=1,VLOOKUP(A54,Table_Old,22,0)*B54*L54/1000000,VLOOKUP(A54,Table_New,22,0)*B54*L54/1000000)*IF('ENCL 2013'!$F$43&gt;1,1,0)</f>
        <v>0</v>
      </c>
      <c r="X54" s="73">
        <f>IF($K$4=1,VLOOKUP(A54,Table_Old,23,0)*B54*L54/1000000,VLOOKUP(A54,Table_New,23,0)*B54*L54/1000000)*IF('ENCL 2013'!$F$43&gt;1,1,0)</f>
        <v>0</v>
      </c>
      <c r="Y54" s="73">
        <f>IF($K$4=1,VLOOKUP(A54,Table_Old,24,0)*B54*L54/1000000,VLOOKUP(A54,Table_New,24,0)*B54*L54/1000000)*IF('ENCL 2013'!$F$43&gt;1,1,0)</f>
        <v>0</v>
      </c>
    </row>
    <row r="55" spans="1:25">
      <c r="A55" s="77">
        <f>A52</f>
        <v>3000</v>
      </c>
      <c r="B55" s="71">
        <v>1200</v>
      </c>
      <c r="C55" s="71"/>
      <c r="D55" s="71">
        <f t="shared" si="9"/>
        <v>3</v>
      </c>
      <c r="E55" s="72"/>
      <c r="F55" s="73">
        <f t="shared" si="10"/>
        <v>0</v>
      </c>
      <c r="G55" s="72">
        <f t="shared" si="11"/>
        <v>0</v>
      </c>
      <c r="H55" s="73">
        <v>0</v>
      </c>
      <c r="I55" s="73">
        <f t="shared" si="12"/>
        <v>0</v>
      </c>
      <c r="J55" s="73">
        <f t="shared" si="14"/>
        <v>0</v>
      </c>
      <c r="K55" s="73">
        <f t="shared" si="15"/>
        <v>0</v>
      </c>
      <c r="L55" s="74">
        <f>'BUSBAR 2013'!$M$14</f>
        <v>0</v>
      </c>
      <c r="M55" s="73"/>
      <c r="N55" s="73">
        <f t="shared" si="16"/>
        <v>0</v>
      </c>
      <c r="O55" s="73">
        <f>IF($K$4=1,VLOOKUP(A55,Table_Old,14,0)*B55*L55*(8.9/1000000),VLOOKUP(A55,Table_New,14,0)*B55*L55*(8.9/1000000))*IF('ENCL 2013'!$F$43&gt;1,1,0)</f>
        <v>0</v>
      </c>
      <c r="P55" s="73">
        <f>IF($K$4=1,VLOOKUP(A55,Table_Old,15,0)*B55*L55*(8.9/1000000),VLOOKUP(A55,Table_New,15,0)*B55*L55*(8.9/1000000))*IF('ENCL 2013'!$F$43&gt;1,1,0)</f>
        <v>0</v>
      </c>
      <c r="Q55" s="73">
        <f>IF($K$4=1,VLOOKUP(A55,Table_Old,16,0)*B55*L55*(8.9/1000000),VLOOKUP(A55,Table_New,16,0)*B55*L55*(8.9/1000000))*IF('ENCL 2013'!$F$43&gt;1,1,0)</f>
        <v>0</v>
      </c>
      <c r="R55" s="73">
        <f>IF($K$4=1,VLOOKUP(A55,Table_Old,17,0)*B55*L55*(8.9/1000000),VLOOKUP(A55,Table_New,17,0)*B55*L55*(8.9/1000000))*IF('ENCL 2013'!$F$43&gt;1,1,0)</f>
        <v>0</v>
      </c>
      <c r="S55" s="73">
        <f>IF($K$4=1,VLOOKUP(A55,Table_Old,18,0)*B55*L55*(8.9/1000000),VLOOKUP(A55,Table_New,18,0)*B55*L55*(8.9/1000000))*IF('ENCL 2013'!$F$43&gt;1,1,0)</f>
        <v>0</v>
      </c>
      <c r="T55" s="73">
        <f t="shared" si="17"/>
        <v>0</v>
      </c>
      <c r="U55" s="73">
        <f>IF($K$4=1,VLOOKUP(A55,Table_Old,20,0)*B55*L55/1000000,VLOOKUP(A55,Table_New,20,0)*B55*L55/1000000)*IF('ENCL 2013'!$F$43&gt;1,1,0)</f>
        <v>0</v>
      </c>
      <c r="V55" s="73">
        <f>IF($K$4=1,VLOOKUP(A55,Table_Old,21,0)*B55*L55/1000000,VLOOKUP(A55,Table_New,21,0)*B55*L55/1000000)*IF('ENCL 2013'!$F$43&gt;1,1,0)</f>
        <v>0</v>
      </c>
      <c r="W55" s="73">
        <f>IF($K$4=1,VLOOKUP(A55,Table_Old,22,0)*B55*L55/1000000,VLOOKUP(A55,Table_New,22,0)*B55*L55/1000000)*IF('ENCL 2013'!$F$43&gt;1,1,0)</f>
        <v>0</v>
      </c>
      <c r="X55" s="73">
        <f>IF($K$4=1,VLOOKUP(A55,Table_Old,23,0)*B55*L55/1000000,VLOOKUP(A55,Table_New,23,0)*B55*L55/1000000)*IF('ENCL 2013'!$F$43&gt;1,1,0)</f>
        <v>0</v>
      </c>
      <c r="Y55" s="73">
        <f>IF($K$4=1,VLOOKUP(A55,Table_Old,24,0)*B55*L55/1000000,VLOOKUP(A55,Table_New,24,0)*B55*L55/1000000)*IF('ENCL 2013'!$F$43&gt;1,1,0)</f>
        <v>0</v>
      </c>
    </row>
    <row r="56" spans="1:25">
      <c r="A56" s="71">
        <v>3200</v>
      </c>
      <c r="B56" s="71">
        <v>600</v>
      </c>
      <c r="C56" s="71"/>
      <c r="D56" s="71">
        <f t="shared" si="9"/>
        <v>3</v>
      </c>
      <c r="E56" s="72"/>
      <c r="F56" s="73">
        <f t="shared" si="10"/>
        <v>0</v>
      </c>
      <c r="G56" s="72">
        <f t="shared" si="11"/>
        <v>0</v>
      </c>
      <c r="H56" s="73">
        <v>0</v>
      </c>
      <c r="I56" s="73">
        <f t="shared" si="12"/>
        <v>0</v>
      </c>
      <c r="J56" s="73">
        <f t="shared" si="14"/>
        <v>0</v>
      </c>
      <c r="K56" s="73">
        <f t="shared" si="15"/>
        <v>0</v>
      </c>
      <c r="L56" s="74">
        <f>'BUSBAR 2013'!$N$11</f>
        <v>0</v>
      </c>
      <c r="M56" s="73"/>
      <c r="N56" s="73">
        <f t="shared" si="16"/>
        <v>0</v>
      </c>
      <c r="O56" s="73">
        <f>IF($K$4=1,VLOOKUP(A56,Table_Old,14,0)*B56*L56*(8.9/1000000),VLOOKUP(A56,Table_New,14,0)*B56*L56*(8.9/1000000))*IF('ENCL 2013'!$F$43&gt;1,1,0)</f>
        <v>0</v>
      </c>
      <c r="P56" s="73">
        <f>IF($K$4=1,VLOOKUP(A56,Table_Old,15,0)*B56*L56*(8.9/1000000),VLOOKUP(A56,Table_New,15,0)*B56*L56*(8.9/1000000))*IF('ENCL 2013'!$F$43&gt;1,1,0)</f>
        <v>0</v>
      </c>
      <c r="Q56" s="73">
        <f>IF($K$4=1,VLOOKUP(A56,Table_Old,16,0)*B56*L56*(8.9/1000000),VLOOKUP(A56,Table_New,16,0)*B56*L56*(8.9/1000000))*IF('ENCL 2013'!$F$43&gt;1,1,0)</f>
        <v>0</v>
      </c>
      <c r="R56" s="73">
        <f>IF($K$4=1,VLOOKUP(A56,Table_Old,17,0)*B56*L56*(8.9/1000000),VLOOKUP(A56,Table_New,17,0)*B56*L56*(8.9/1000000))*IF('ENCL 2013'!$F$43&gt;1,1,0)</f>
        <v>0</v>
      </c>
      <c r="S56" s="73">
        <f>IF($K$4=1,VLOOKUP(A56,Table_Old,18,0)*B56*L56*(8.9/1000000),VLOOKUP(A56,Table_New,18,0)*B56*L56*(8.9/1000000))*IF('ENCL 2013'!$F$43&gt;1,1,0)</f>
        <v>0</v>
      </c>
      <c r="T56" s="73">
        <f t="shared" si="17"/>
        <v>0</v>
      </c>
      <c r="U56" s="73">
        <f>IF($K$4=1,VLOOKUP(A56,Table_Old,20,0)*B56*L56/1000000,VLOOKUP(A56,Table_New,20,0)*B56*L56/1000000)*IF('ENCL 2013'!$F$43&gt;1,1,0)</f>
        <v>0</v>
      </c>
      <c r="V56" s="73">
        <f>IF($K$4=1,VLOOKUP(A56,Table_Old,21,0)*B56*L56/1000000,VLOOKUP(A56,Table_New,21,0)*B56*L56/1000000)*IF('ENCL 2013'!$F$43&gt;1,1,0)</f>
        <v>0</v>
      </c>
      <c r="W56" s="73">
        <f>IF($K$4=1,VLOOKUP(A56,Table_Old,22,0)*B56*L56/1000000,VLOOKUP(A56,Table_New,22,0)*B56*L56/1000000)*IF('ENCL 2013'!$F$43&gt;1,1,0)</f>
        <v>0</v>
      </c>
      <c r="X56" s="73">
        <f>IF($K$4=1,VLOOKUP(A56,Table_Old,23,0)*B56*L56/1000000,VLOOKUP(A56,Table_New,23,0)*B56*L56/1000000)*IF('ENCL 2013'!$F$43&gt;1,1,0)</f>
        <v>0</v>
      </c>
      <c r="Y56" s="73">
        <f>IF($K$4=1,VLOOKUP(A56,Table_Old,24,0)*B56*L56/1000000,VLOOKUP(A56,Table_New,24,0)*B56*L56/1000000)*IF('ENCL 2013'!$F$43&gt;1,1,0)</f>
        <v>0</v>
      </c>
    </row>
    <row r="57" spans="1:25">
      <c r="A57" s="77">
        <f>A56</f>
        <v>3200</v>
      </c>
      <c r="B57" s="71">
        <v>800</v>
      </c>
      <c r="C57" s="71"/>
      <c r="D57" s="71">
        <f t="shared" si="9"/>
        <v>3</v>
      </c>
      <c r="E57" s="72"/>
      <c r="F57" s="73">
        <f t="shared" si="10"/>
        <v>0</v>
      </c>
      <c r="G57" s="72">
        <f t="shared" si="11"/>
        <v>0</v>
      </c>
      <c r="H57" s="73">
        <v>0</v>
      </c>
      <c r="I57" s="73">
        <f t="shared" si="12"/>
        <v>0</v>
      </c>
      <c r="J57" s="73">
        <f t="shared" si="14"/>
        <v>0</v>
      </c>
      <c r="K57" s="73">
        <f t="shared" si="15"/>
        <v>0</v>
      </c>
      <c r="L57" s="74">
        <f>'BUSBAR 2013'!$N$12</f>
        <v>0</v>
      </c>
      <c r="M57" s="73"/>
      <c r="N57" s="73">
        <f t="shared" si="16"/>
        <v>0</v>
      </c>
      <c r="O57" s="73">
        <f>IF($K$4=1,VLOOKUP(A57,Table_Old,14,0)*B57*L57*(8.9/1000000),VLOOKUP(A57,Table_New,14,0)*B57*L57*(8.9/1000000))*IF('ENCL 2013'!$F$43&gt;1,1,0)</f>
        <v>0</v>
      </c>
      <c r="P57" s="73">
        <f>IF($K$4=1,VLOOKUP(A57,Table_Old,15,0)*B57*L57*(8.9/1000000),VLOOKUP(A57,Table_New,15,0)*B57*L57*(8.9/1000000))*IF('ENCL 2013'!$F$43&gt;1,1,0)</f>
        <v>0</v>
      </c>
      <c r="Q57" s="73">
        <f>IF($K$4=1,VLOOKUP(A57,Table_Old,16,0)*B57*L57*(8.9/1000000),VLOOKUP(A57,Table_New,16,0)*B57*L57*(8.9/1000000))*IF('ENCL 2013'!$F$43&gt;1,1,0)</f>
        <v>0</v>
      </c>
      <c r="R57" s="73">
        <f>IF($K$4=1,VLOOKUP(A57,Table_Old,17,0)*B57*L57*(8.9/1000000),VLOOKUP(A57,Table_New,17,0)*B57*L57*(8.9/1000000))*IF('ENCL 2013'!$F$43&gt;1,1,0)</f>
        <v>0</v>
      </c>
      <c r="S57" s="73">
        <f>IF($K$4=1,VLOOKUP(A57,Table_Old,18,0)*B57*L57*(8.9/1000000),VLOOKUP(A57,Table_New,18,0)*B57*L57*(8.9/1000000))*IF('ENCL 2013'!$F$43&gt;1,1,0)</f>
        <v>0</v>
      </c>
      <c r="T57" s="73">
        <f t="shared" si="17"/>
        <v>0</v>
      </c>
      <c r="U57" s="73">
        <f>IF($K$4=1,VLOOKUP(A57,Table_Old,20,0)*B57*L57/1000000,VLOOKUP(A57,Table_New,20,0)*B57*L57/1000000)*IF('ENCL 2013'!$F$43&gt;1,1,0)</f>
        <v>0</v>
      </c>
      <c r="V57" s="73">
        <f>IF($K$4=1,VLOOKUP(A57,Table_Old,21,0)*B57*L57/1000000,VLOOKUP(A57,Table_New,21,0)*B57*L57/1000000)*IF('ENCL 2013'!$F$43&gt;1,1,0)</f>
        <v>0</v>
      </c>
      <c r="W57" s="73">
        <f>IF($K$4=1,VLOOKUP(A57,Table_Old,22,0)*B57*L57/1000000,VLOOKUP(A57,Table_New,22,0)*B57*L57/1000000)*IF('ENCL 2013'!$F$43&gt;1,1,0)</f>
        <v>0</v>
      </c>
      <c r="X57" s="73">
        <f>IF($K$4=1,VLOOKUP(A57,Table_Old,23,0)*B57*L57/1000000,VLOOKUP(A57,Table_New,23,0)*B57*L57/1000000)*IF('ENCL 2013'!$F$43&gt;1,1,0)</f>
        <v>0</v>
      </c>
      <c r="Y57" s="73">
        <f>IF($K$4=1,VLOOKUP(A57,Table_Old,24,0)*B57*L57/1000000,VLOOKUP(A57,Table_New,24,0)*B57*L57/1000000)*IF('ENCL 2013'!$F$43&gt;1,1,0)</f>
        <v>0</v>
      </c>
    </row>
    <row r="58" spans="1:25">
      <c r="A58" s="77">
        <f>A56</f>
        <v>3200</v>
      </c>
      <c r="B58" s="71">
        <v>1000</v>
      </c>
      <c r="C58" s="71"/>
      <c r="D58" s="71">
        <f t="shared" si="9"/>
        <v>3</v>
      </c>
      <c r="E58" s="72"/>
      <c r="F58" s="73">
        <f t="shared" si="10"/>
        <v>0</v>
      </c>
      <c r="G58" s="72">
        <f t="shared" si="11"/>
        <v>0</v>
      </c>
      <c r="H58" s="73">
        <v>0</v>
      </c>
      <c r="I58" s="73">
        <f t="shared" si="12"/>
        <v>0</v>
      </c>
      <c r="J58" s="73">
        <f t="shared" si="14"/>
        <v>0</v>
      </c>
      <c r="K58" s="73">
        <f t="shared" si="15"/>
        <v>0</v>
      </c>
      <c r="L58" s="74">
        <f>'BUSBAR 2013'!$N$13</f>
        <v>0</v>
      </c>
      <c r="M58" s="73"/>
      <c r="N58" s="73">
        <f t="shared" si="16"/>
        <v>0</v>
      </c>
      <c r="O58" s="73">
        <f>IF($K$4=1,VLOOKUP(A58,Table_Old,14,0)*B58*L58*(8.9/1000000),VLOOKUP(A58,Table_New,14,0)*B58*L58*(8.9/1000000))*IF('ENCL 2013'!$F$43&gt;1,1,0)</f>
        <v>0</v>
      </c>
      <c r="P58" s="73">
        <f>IF($K$4=1,VLOOKUP(A58,Table_Old,15,0)*B58*L58*(8.9/1000000),VLOOKUP(A58,Table_New,15,0)*B58*L58*(8.9/1000000))*IF('ENCL 2013'!$F$43&gt;1,1,0)</f>
        <v>0</v>
      </c>
      <c r="Q58" s="73">
        <f>IF($K$4=1,VLOOKUP(A58,Table_Old,16,0)*B58*L58*(8.9/1000000),VLOOKUP(A58,Table_New,16,0)*B58*L58*(8.9/1000000))*IF('ENCL 2013'!$F$43&gt;1,1,0)</f>
        <v>0</v>
      </c>
      <c r="R58" s="73">
        <f>IF($K$4=1,VLOOKUP(A58,Table_Old,17,0)*B58*L58*(8.9/1000000),VLOOKUP(A58,Table_New,17,0)*B58*L58*(8.9/1000000))*IF('ENCL 2013'!$F$43&gt;1,1,0)</f>
        <v>0</v>
      </c>
      <c r="S58" s="73">
        <f>IF($K$4=1,VLOOKUP(A58,Table_Old,18,0)*B58*L58*(8.9/1000000),VLOOKUP(A58,Table_New,18,0)*B58*L58*(8.9/1000000))*IF('ENCL 2013'!$F$43&gt;1,1,0)</f>
        <v>0</v>
      </c>
      <c r="T58" s="73">
        <f t="shared" si="17"/>
        <v>0</v>
      </c>
      <c r="U58" s="73">
        <f>IF($K$4=1,VLOOKUP(A58,Table_Old,20,0)*B58*L58/1000000,VLOOKUP(A58,Table_New,20,0)*B58*L58/1000000)*IF('ENCL 2013'!$F$43&gt;1,1,0)</f>
        <v>0</v>
      </c>
      <c r="V58" s="73">
        <f>IF($K$4=1,VLOOKUP(A58,Table_Old,21,0)*B58*L58/1000000,VLOOKUP(A58,Table_New,21,0)*B58*L58/1000000)*IF('ENCL 2013'!$F$43&gt;1,1,0)</f>
        <v>0</v>
      </c>
      <c r="W58" s="73">
        <f>IF($K$4=1,VLOOKUP(A58,Table_Old,22,0)*B58*L58/1000000,VLOOKUP(A58,Table_New,22,0)*B58*L58/1000000)*IF('ENCL 2013'!$F$43&gt;1,1,0)</f>
        <v>0</v>
      </c>
      <c r="X58" s="73">
        <f>IF($K$4=1,VLOOKUP(A58,Table_Old,23,0)*B58*L58/1000000,VLOOKUP(A58,Table_New,23,0)*B58*L58/1000000)*IF('ENCL 2013'!$F$43&gt;1,1,0)</f>
        <v>0</v>
      </c>
      <c r="Y58" s="73">
        <f>IF($K$4=1,VLOOKUP(A58,Table_Old,24,0)*B58*L58/1000000,VLOOKUP(A58,Table_New,24,0)*B58*L58/1000000)*IF('ENCL 2013'!$F$43&gt;1,1,0)</f>
        <v>0</v>
      </c>
    </row>
    <row r="59" spans="1:25">
      <c r="A59" s="77">
        <f>A56</f>
        <v>3200</v>
      </c>
      <c r="B59" s="71">
        <v>1200</v>
      </c>
      <c r="C59" s="71"/>
      <c r="D59" s="71">
        <f t="shared" si="9"/>
        <v>3</v>
      </c>
      <c r="E59" s="72"/>
      <c r="F59" s="73">
        <f t="shared" si="10"/>
        <v>0</v>
      </c>
      <c r="G59" s="72">
        <f t="shared" si="11"/>
        <v>0</v>
      </c>
      <c r="H59" s="73">
        <v>0</v>
      </c>
      <c r="I59" s="73">
        <f t="shared" si="12"/>
        <v>0</v>
      </c>
      <c r="J59" s="73">
        <f t="shared" si="14"/>
        <v>0</v>
      </c>
      <c r="K59" s="73">
        <f t="shared" si="15"/>
        <v>0</v>
      </c>
      <c r="L59" s="74">
        <f>'BUSBAR 2013'!$N$14</f>
        <v>0</v>
      </c>
      <c r="M59" s="73"/>
      <c r="N59" s="73">
        <f t="shared" si="16"/>
        <v>0</v>
      </c>
      <c r="O59" s="73">
        <f>IF($K$4=1,VLOOKUP(A59,Table_Old,14,0)*B59*L59*(8.9/1000000),VLOOKUP(A59,Table_New,14,0)*B59*L59*(8.9/1000000))*IF('ENCL 2013'!$F$43&gt;1,1,0)</f>
        <v>0</v>
      </c>
      <c r="P59" s="73">
        <f>IF($K$4=1,VLOOKUP(A59,Table_Old,15,0)*B59*L59*(8.9/1000000),VLOOKUP(A59,Table_New,15,0)*B59*L59*(8.9/1000000))*IF('ENCL 2013'!$F$43&gt;1,1,0)</f>
        <v>0</v>
      </c>
      <c r="Q59" s="73">
        <f>IF($K$4=1,VLOOKUP(A59,Table_Old,16,0)*B59*L59*(8.9/1000000),VLOOKUP(A59,Table_New,16,0)*B59*L59*(8.9/1000000))*IF('ENCL 2013'!$F$43&gt;1,1,0)</f>
        <v>0</v>
      </c>
      <c r="R59" s="73">
        <f>IF($K$4=1,VLOOKUP(A59,Table_Old,17,0)*B59*L59*(8.9/1000000),VLOOKUP(A59,Table_New,17,0)*B59*L59*(8.9/1000000))*IF('ENCL 2013'!$F$43&gt;1,1,0)</f>
        <v>0</v>
      </c>
      <c r="S59" s="73">
        <f>IF($K$4=1,VLOOKUP(A59,Table_Old,18,0)*B59*L59*(8.9/1000000),VLOOKUP(A59,Table_New,18,0)*B59*L59*(8.9/1000000))*IF('ENCL 2013'!$F$43&gt;1,1,0)</f>
        <v>0</v>
      </c>
      <c r="T59" s="73">
        <f t="shared" si="17"/>
        <v>0</v>
      </c>
      <c r="U59" s="73">
        <f>IF($K$4=1,VLOOKUP(A59,Table_Old,20,0)*B59*L59/1000000,VLOOKUP(A59,Table_New,20,0)*B59*L59/1000000)*IF('ENCL 2013'!$F$43&gt;1,1,0)</f>
        <v>0</v>
      </c>
      <c r="V59" s="73">
        <f>IF($K$4=1,VLOOKUP(A59,Table_Old,21,0)*B59*L59/1000000,VLOOKUP(A59,Table_New,21,0)*B59*L59/1000000)*IF('ENCL 2013'!$F$43&gt;1,1,0)</f>
        <v>0</v>
      </c>
      <c r="W59" s="73">
        <f>IF($K$4=1,VLOOKUP(A59,Table_Old,22,0)*B59*L59/1000000,VLOOKUP(A59,Table_New,22,0)*B59*L59/1000000)*IF('ENCL 2013'!$F$43&gt;1,1,0)</f>
        <v>0</v>
      </c>
      <c r="X59" s="73">
        <f>IF($K$4=1,VLOOKUP(A59,Table_Old,23,0)*B59*L59/1000000,VLOOKUP(A59,Table_New,23,0)*B59*L59/1000000)*IF('ENCL 2013'!$F$43&gt;1,1,0)</f>
        <v>0</v>
      </c>
      <c r="Y59" s="73">
        <f>IF($K$4=1,VLOOKUP(A59,Table_Old,24,0)*B59*L59/1000000,VLOOKUP(A59,Table_New,24,0)*B59*L59/1000000)*IF('ENCL 2013'!$F$43&gt;1,1,0)</f>
        <v>0</v>
      </c>
    </row>
    <row r="60" spans="1:25">
      <c r="A60" s="71">
        <v>4000</v>
      </c>
      <c r="B60" s="71">
        <v>600</v>
      </c>
      <c r="C60" s="71"/>
      <c r="D60" s="71">
        <f t="shared" si="9"/>
        <v>3</v>
      </c>
      <c r="E60" s="72"/>
      <c r="F60" s="73">
        <f t="shared" si="10"/>
        <v>0</v>
      </c>
      <c r="G60" s="72">
        <f t="shared" si="11"/>
        <v>0</v>
      </c>
      <c r="H60" s="73">
        <v>0</v>
      </c>
      <c r="I60" s="73">
        <f t="shared" si="12"/>
        <v>0</v>
      </c>
      <c r="J60" s="73">
        <f t="shared" si="14"/>
        <v>0</v>
      </c>
      <c r="K60" s="73">
        <f t="shared" si="15"/>
        <v>0</v>
      </c>
      <c r="L60" s="74">
        <f>'BUSBAR 2013'!$O$11</f>
        <v>0</v>
      </c>
      <c r="M60" s="73"/>
      <c r="N60" s="73">
        <f t="shared" si="16"/>
        <v>0</v>
      </c>
      <c r="O60" s="73">
        <f>IF($K$4=1,VLOOKUP(A60,Table_Old,14,0)*B60*L60*(8.9/1000000),VLOOKUP(A60,Table_New,14,0)*B60*L60*(8.9/1000000))*IF('ENCL 2013'!$F$43&gt;1,1,0)</f>
        <v>0</v>
      </c>
      <c r="P60" s="73">
        <f>IF($K$4=1,VLOOKUP(A60,Table_Old,15,0)*B60*L60*(8.9/1000000),VLOOKUP(A60,Table_New,15,0)*B60*L60*(8.9/1000000))*IF('ENCL 2013'!$F$43&gt;1,1,0)</f>
        <v>0</v>
      </c>
      <c r="Q60" s="73">
        <f>IF($K$4=1,VLOOKUP(A60,Table_Old,16,0)*B60*L60*(8.9/1000000),VLOOKUP(A60,Table_New,16,0)*B60*L60*(8.9/1000000))*IF('ENCL 2013'!$F$43&gt;1,1,0)</f>
        <v>0</v>
      </c>
      <c r="R60" s="73">
        <f>IF($K$4=1,VLOOKUP(A60,Table_Old,17,0)*B60*L60*(8.9/1000000),VLOOKUP(A60,Table_New,17,0)*B60*L60*(8.9/1000000))*IF('ENCL 2013'!$F$43&gt;1,1,0)</f>
        <v>0</v>
      </c>
      <c r="S60" s="73">
        <f>IF($K$4=1,VLOOKUP(A60,Table_Old,18,0)*B60*L60*(8.9/1000000),VLOOKUP(A60,Table_New,18,0)*B60*L60*(8.9/1000000))*IF('ENCL 2013'!$F$43&gt;1,1,0)</f>
        <v>0</v>
      </c>
      <c r="T60" s="73">
        <f t="shared" si="17"/>
        <v>0</v>
      </c>
      <c r="U60" s="73">
        <f>IF($K$4=1,VLOOKUP(A60,Table_Old,20,0)*B60*L60/1000000,VLOOKUP(A60,Table_New,20,0)*B60*L60/1000000)*IF('ENCL 2013'!$F$43&gt;1,1,0)</f>
        <v>0</v>
      </c>
      <c r="V60" s="73">
        <f>IF($K$4=1,VLOOKUP(A60,Table_Old,21,0)*B60*L60/1000000,VLOOKUP(A60,Table_New,21,0)*B60*L60/1000000)*IF('ENCL 2013'!$F$43&gt;1,1,0)</f>
        <v>0</v>
      </c>
      <c r="W60" s="73">
        <f>IF($K$4=1,VLOOKUP(A60,Table_Old,22,0)*B60*L60/1000000,VLOOKUP(A60,Table_New,22,0)*B60*L60/1000000)*IF('ENCL 2013'!$F$43&gt;1,1,0)</f>
        <v>0</v>
      </c>
      <c r="X60" s="73">
        <f>IF($K$4=1,VLOOKUP(A60,Table_Old,23,0)*B60*L60/1000000,VLOOKUP(A60,Table_New,23,0)*B60*L60/1000000)*IF('ENCL 2013'!$F$43&gt;1,1,0)</f>
        <v>0</v>
      </c>
      <c r="Y60" s="73">
        <f>IF($K$4=1,VLOOKUP(A60,Table_Old,24,0)*B60*L60/1000000,VLOOKUP(A60,Table_New,24,0)*B60*L60/1000000)*IF('ENCL 2013'!$F$43&gt;1,1,0)</f>
        <v>0</v>
      </c>
    </row>
    <row r="61" spans="1:25">
      <c r="A61" s="77">
        <f>A60</f>
        <v>4000</v>
      </c>
      <c r="B61" s="71">
        <v>800</v>
      </c>
      <c r="C61" s="71"/>
      <c r="D61" s="71">
        <f t="shared" si="9"/>
        <v>3</v>
      </c>
      <c r="E61" s="72"/>
      <c r="F61" s="73">
        <f t="shared" si="10"/>
        <v>158.06400000000002</v>
      </c>
      <c r="G61" s="72">
        <f t="shared" si="11"/>
        <v>3.9359999999999999</v>
      </c>
      <c r="H61" s="73">
        <v>0</v>
      </c>
      <c r="I61" s="73">
        <f t="shared" si="12"/>
        <v>4138.0080364799996</v>
      </c>
      <c r="J61" s="73">
        <f t="shared" si="14"/>
        <v>118.73767680000002</v>
      </c>
      <c r="K61" s="73">
        <f t="shared" si="15"/>
        <v>1377.6</v>
      </c>
      <c r="L61" s="74">
        <f>'BUSBAR 2013'!$O$12</f>
        <v>2</v>
      </c>
      <c r="M61" s="73"/>
      <c r="N61" s="73">
        <f t="shared" si="16"/>
        <v>128.16000000000003</v>
      </c>
      <c r="O61" s="73">
        <f>IF($K$4=1,VLOOKUP(A61,Table_Old,14,0)*B61*L61*(8.9/1000000),VLOOKUP(A61,Table_New,14,0)*B61*L61*(8.9/1000000))*IF('ENCL 2013'!$F$43&gt;1,1,0)</f>
        <v>0</v>
      </c>
      <c r="P61" s="73">
        <f>IF($K$4=1,VLOOKUP(A61,Table_Old,15,0)*B61*L61*(8.9/1000000),VLOOKUP(A61,Table_New,15,0)*B61*L61*(8.9/1000000))*IF('ENCL 2013'!$F$43&gt;1,1,0)</f>
        <v>19.936000000000003</v>
      </c>
      <c r="Q61" s="73">
        <f>IF($K$4=1,VLOOKUP(A61,Table_Old,16,0)*B61*L61*(8.9/1000000),VLOOKUP(A61,Table_New,16,0)*B61*L61*(8.9/1000000))*IF('ENCL 2013'!$F$43&gt;1,1,0)</f>
        <v>0</v>
      </c>
      <c r="R61" s="73">
        <f>IF($K$4=1,VLOOKUP(A61,Table_Old,17,0)*B61*L61*(8.9/1000000),VLOOKUP(A61,Table_New,17,0)*B61*L61*(8.9/1000000))*IF('ENCL 2013'!$F$43&gt;1,1,0)</f>
        <v>0</v>
      </c>
      <c r="S61" s="73">
        <f>IF($K$4=1,VLOOKUP(A61,Table_Old,18,0)*B61*L61*(8.9/1000000),VLOOKUP(A61,Table_New,18,0)*B61*L61*(8.9/1000000))*IF('ENCL 2013'!$F$43&gt;1,1,0)</f>
        <v>9.9680000000000017</v>
      </c>
      <c r="T61" s="73">
        <f t="shared" si="17"/>
        <v>3.1680000000000001</v>
      </c>
      <c r="U61" s="73">
        <f>IF($K$4=1,VLOOKUP(A61,Table_Old,20,0)*B61*L61/1000000,VLOOKUP(A61,Table_New,20,0)*B61*L61/1000000)*IF('ENCL 2013'!$F$43&gt;1,1,0)</f>
        <v>0</v>
      </c>
      <c r="V61" s="73">
        <f>IF($K$4=1,VLOOKUP(A61,Table_Old,21,0)*B61*L61/1000000,VLOOKUP(A61,Table_New,21,0)*B61*L61/1000000)*IF('ENCL 2013'!$F$43&gt;1,1,0)</f>
        <v>0.51200000000000001</v>
      </c>
      <c r="W61" s="73">
        <f>IF($K$4=1,VLOOKUP(A61,Table_Old,22,0)*B61*L61/1000000,VLOOKUP(A61,Table_New,22,0)*B61*L61/1000000)*IF('ENCL 2013'!$F$43&gt;1,1,0)</f>
        <v>0</v>
      </c>
      <c r="X61" s="73">
        <f>IF($K$4=1,VLOOKUP(A61,Table_Old,23,0)*B61*L61/1000000,VLOOKUP(A61,Table_New,23,0)*B61*L61/1000000)*IF('ENCL 2013'!$F$43&gt;1,1,0)</f>
        <v>0</v>
      </c>
      <c r="Y61" s="73">
        <f>IF($K$4=1,VLOOKUP(A61,Table_Old,24,0)*B61*L61/1000000,VLOOKUP(A61,Table_New,24,0)*B61*L61/1000000)*IF('ENCL 2013'!$F$43&gt;1,1,0)</f>
        <v>0.25600000000000001</v>
      </c>
    </row>
    <row r="62" spans="1:25">
      <c r="A62" s="77">
        <f>A60</f>
        <v>4000</v>
      </c>
      <c r="B62" s="71">
        <v>1000</v>
      </c>
      <c r="C62" s="71"/>
      <c r="D62" s="71">
        <f t="shared" si="9"/>
        <v>3</v>
      </c>
      <c r="E62" s="72"/>
      <c r="F62" s="73">
        <f t="shared" si="10"/>
        <v>98.79</v>
      </c>
      <c r="G62" s="72">
        <f t="shared" si="11"/>
        <v>2.46</v>
      </c>
      <c r="H62" s="73">
        <v>0</v>
      </c>
      <c r="I62" s="73">
        <f t="shared" si="12"/>
        <v>2586.2550228</v>
      </c>
      <c r="J62" s="73">
        <f t="shared" si="14"/>
        <v>74.211048000000005</v>
      </c>
      <c r="K62" s="73">
        <f t="shared" si="15"/>
        <v>861</v>
      </c>
      <c r="L62" s="74">
        <f>'BUSBAR 2013'!$O$13</f>
        <v>1</v>
      </c>
      <c r="M62" s="73"/>
      <c r="N62" s="73">
        <f t="shared" si="16"/>
        <v>80.100000000000009</v>
      </c>
      <c r="O62" s="73">
        <f>IF($K$4=1,VLOOKUP(A62,Table_Old,14,0)*B62*L62*(8.9/1000000),VLOOKUP(A62,Table_New,14,0)*B62*L62*(8.9/1000000))*IF('ENCL 2013'!$F$43&gt;1,1,0)</f>
        <v>0</v>
      </c>
      <c r="P62" s="73">
        <f>IF($K$4=1,VLOOKUP(A62,Table_Old,15,0)*B62*L62*(8.9/1000000),VLOOKUP(A62,Table_New,15,0)*B62*L62*(8.9/1000000))*IF('ENCL 2013'!$F$43&gt;1,1,0)</f>
        <v>12.46</v>
      </c>
      <c r="Q62" s="73">
        <f>IF($K$4=1,VLOOKUP(A62,Table_Old,16,0)*B62*L62*(8.9/1000000),VLOOKUP(A62,Table_New,16,0)*B62*L62*(8.9/1000000))*IF('ENCL 2013'!$F$43&gt;1,1,0)</f>
        <v>0</v>
      </c>
      <c r="R62" s="73">
        <f>IF($K$4=1,VLOOKUP(A62,Table_Old,17,0)*B62*L62*(8.9/1000000),VLOOKUP(A62,Table_New,17,0)*B62*L62*(8.9/1000000))*IF('ENCL 2013'!$F$43&gt;1,1,0)</f>
        <v>0</v>
      </c>
      <c r="S62" s="73">
        <f>IF($K$4=1,VLOOKUP(A62,Table_Old,18,0)*B62*L62*(8.9/1000000),VLOOKUP(A62,Table_New,18,0)*B62*L62*(8.9/1000000))*IF('ENCL 2013'!$F$43&gt;1,1,0)</f>
        <v>6.23</v>
      </c>
      <c r="T62" s="73">
        <f t="shared" si="17"/>
        <v>1.98</v>
      </c>
      <c r="U62" s="73">
        <f>IF($K$4=1,VLOOKUP(A62,Table_Old,20,0)*B62*L62/1000000,VLOOKUP(A62,Table_New,20,0)*B62*L62/1000000)*IF('ENCL 2013'!$F$43&gt;1,1,0)</f>
        <v>0</v>
      </c>
      <c r="V62" s="73">
        <f>IF($K$4=1,VLOOKUP(A62,Table_Old,21,0)*B62*L62/1000000,VLOOKUP(A62,Table_New,21,0)*B62*L62/1000000)*IF('ENCL 2013'!$F$43&gt;1,1,0)</f>
        <v>0.32</v>
      </c>
      <c r="W62" s="73">
        <f>IF($K$4=1,VLOOKUP(A62,Table_Old,22,0)*B62*L62/1000000,VLOOKUP(A62,Table_New,22,0)*B62*L62/1000000)*IF('ENCL 2013'!$F$43&gt;1,1,0)</f>
        <v>0</v>
      </c>
      <c r="X62" s="73">
        <f>IF($K$4=1,VLOOKUP(A62,Table_Old,23,0)*B62*L62/1000000,VLOOKUP(A62,Table_New,23,0)*B62*L62/1000000)*IF('ENCL 2013'!$F$43&gt;1,1,0)</f>
        <v>0</v>
      </c>
      <c r="Y62" s="73">
        <f>IF($K$4=1,VLOOKUP(A62,Table_Old,24,0)*B62*L62/1000000,VLOOKUP(A62,Table_New,24,0)*B62*L62/1000000)*IF('ENCL 2013'!$F$43&gt;1,1,0)</f>
        <v>0.16</v>
      </c>
    </row>
    <row r="63" spans="1:25">
      <c r="A63" s="77">
        <f>A60</f>
        <v>4000</v>
      </c>
      <c r="B63" s="71">
        <v>1200</v>
      </c>
      <c r="C63" s="71"/>
      <c r="D63" s="71">
        <f t="shared" si="9"/>
        <v>3</v>
      </c>
      <c r="E63" s="72"/>
      <c r="F63" s="73">
        <f t="shared" si="10"/>
        <v>0</v>
      </c>
      <c r="G63" s="72">
        <f t="shared" si="11"/>
        <v>0</v>
      </c>
      <c r="H63" s="73">
        <v>0</v>
      </c>
      <c r="I63" s="73">
        <f t="shared" si="12"/>
        <v>0</v>
      </c>
      <c r="J63" s="73">
        <f t="shared" si="14"/>
        <v>0</v>
      </c>
      <c r="K63" s="73">
        <f t="shared" si="15"/>
        <v>0</v>
      </c>
      <c r="L63" s="74">
        <f>'BUSBAR 2013'!$O$14</f>
        <v>0</v>
      </c>
      <c r="M63" s="73"/>
      <c r="N63" s="73">
        <f t="shared" si="16"/>
        <v>0</v>
      </c>
      <c r="O63" s="73">
        <f>IF($K$4=1,VLOOKUP(A63,Table_Old,14,0)*B63*L63*(8.9/1000000),VLOOKUP(A63,Table_New,14,0)*B63*L63*(8.9/1000000))*IF('ENCL 2013'!$F$43&gt;1,1,0)</f>
        <v>0</v>
      </c>
      <c r="P63" s="73">
        <f>IF($K$4=1,VLOOKUP(A63,Table_Old,15,0)*B63*L63*(8.9/1000000),VLOOKUP(A63,Table_New,15,0)*B63*L63*(8.9/1000000))*IF('ENCL 2013'!$F$43&gt;1,1,0)</f>
        <v>0</v>
      </c>
      <c r="Q63" s="73">
        <f>IF($K$4=1,VLOOKUP(A63,Table_Old,16,0)*B63*L63*(8.9/1000000),VLOOKUP(A63,Table_New,16,0)*B63*L63*(8.9/1000000))*IF('ENCL 2013'!$F$43&gt;1,1,0)</f>
        <v>0</v>
      </c>
      <c r="R63" s="73">
        <f>IF($K$4=1,VLOOKUP(A63,Table_Old,17,0)*B63*L63*(8.9/1000000),VLOOKUP(A63,Table_New,17,0)*B63*L63*(8.9/1000000))*IF('ENCL 2013'!$F$43&gt;1,1,0)</f>
        <v>0</v>
      </c>
      <c r="S63" s="73">
        <f>IF($K$4=1,VLOOKUP(A63,Table_Old,18,0)*B63*L63*(8.9/1000000),VLOOKUP(A63,Table_New,18,0)*B63*L63*(8.9/1000000))*IF('ENCL 2013'!$F$43&gt;1,1,0)</f>
        <v>0</v>
      </c>
      <c r="T63" s="73">
        <f t="shared" si="17"/>
        <v>0</v>
      </c>
      <c r="U63" s="73">
        <f>IF($K$4=1,VLOOKUP(A63,Table_Old,20,0)*B63*L63/1000000,VLOOKUP(A63,Table_New,20,0)*B63*L63/1000000)*IF('ENCL 2013'!$F$43&gt;1,1,0)</f>
        <v>0</v>
      </c>
      <c r="V63" s="73">
        <f>IF($K$4=1,VLOOKUP(A63,Table_Old,21,0)*B63*L63/1000000,VLOOKUP(A63,Table_New,21,0)*B63*L63/1000000)*IF('ENCL 2013'!$F$43&gt;1,1,0)</f>
        <v>0</v>
      </c>
      <c r="W63" s="73">
        <f>IF($K$4=1,VLOOKUP(A63,Table_Old,22,0)*B63*L63/1000000,VLOOKUP(A63,Table_New,22,0)*B63*L63/1000000)*IF('ENCL 2013'!$F$43&gt;1,1,0)</f>
        <v>0</v>
      </c>
      <c r="X63" s="73">
        <f>IF($K$4=1,VLOOKUP(A63,Table_Old,23,0)*B63*L63/1000000,VLOOKUP(A63,Table_New,23,0)*B63*L63/1000000)*IF('ENCL 2013'!$F$43&gt;1,1,0)</f>
        <v>0</v>
      </c>
      <c r="Y63" s="73">
        <f>IF($K$4=1,VLOOKUP(A63,Table_Old,24,0)*B63*L63/1000000,VLOOKUP(A63,Table_New,24,0)*B63*L63/1000000)*IF('ENCL 2013'!$F$43&gt;1,1,0)</f>
        <v>0</v>
      </c>
    </row>
    <row r="64" spans="1:25">
      <c r="A64" s="71">
        <v>5000</v>
      </c>
      <c r="B64" s="71">
        <v>600</v>
      </c>
      <c r="C64" s="71"/>
      <c r="D64" s="71">
        <f t="shared" si="9"/>
        <v>3</v>
      </c>
      <c r="E64" s="72"/>
      <c r="F64" s="73">
        <f t="shared" si="10"/>
        <v>0</v>
      </c>
      <c r="G64" s="72">
        <f t="shared" si="11"/>
        <v>0</v>
      </c>
      <c r="H64" s="73">
        <v>0</v>
      </c>
      <c r="I64" s="73">
        <f t="shared" si="12"/>
        <v>0</v>
      </c>
      <c r="J64" s="73">
        <f t="shared" si="14"/>
        <v>0</v>
      </c>
      <c r="K64" s="73">
        <f t="shared" si="15"/>
        <v>0</v>
      </c>
      <c r="L64" s="74">
        <f>'BUSBAR 2013'!$P$11</f>
        <v>0</v>
      </c>
      <c r="M64" s="73"/>
      <c r="N64" s="73">
        <f t="shared" si="16"/>
        <v>0</v>
      </c>
      <c r="O64" s="73">
        <f>IF($K$4=1,VLOOKUP(A64,Table_Old,14,0)*B64*L64*(8.9/1000000),VLOOKUP(A64,Table_New,14,0)*B64*L64*(8.9/1000000))*IF('ENCL 2013'!$F$43&gt;1,1,0)</f>
        <v>0</v>
      </c>
      <c r="P64" s="73">
        <f>IF($K$4=1,VLOOKUP(A64,Table_Old,15,0)*B64*L64*(8.9/1000000),VLOOKUP(A64,Table_New,15,0)*B64*L64*(8.9/1000000))*IF('ENCL 2013'!$F$43&gt;1,1,0)</f>
        <v>0</v>
      </c>
      <c r="Q64" s="73">
        <f>IF($K$4=1,VLOOKUP(A64,Table_Old,16,0)*B64*L64*(8.9/1000000),VLOOKUP(A64,Table_New,16,0)*B64*L64*(8.9/1000000))*IF('ENCL 2013'!$F$43&gt;1,1,0)</f>
        <v>0</v>
      </c>
      <c r="R64" s="73">
        <f>IF($K$4=1,VLOOKUP(A64,Table_Old,17,0)*B64*L64*(8.9/1000000),VLOOKUP(A64,Table_New,17,0)*B64*L64*(8.9/1000000))*IF('ENCL 2013'!$F$43&gt;1,1,0)</f>
        <v>0</v>
      </c>
      <c r="S64" s="73">
        <f>IF($K$4=1,VLOOKUP(A64,Table_Old,18,0)*B64*L64*(8.9/1000000),VLOOKUP(A64,Table_New,18,0)*B64*L64*(8.9/1000000))*IF('ENCL 2013'!$F$43&gt;1,1,0)</f>
        <v>0</v>
      </c>
      <c r="T64" s="73">
        <f t="shared" si="17"/>
        <v>0</v>
      </c>
      <c r="U64" s="73">
        <f>IF($K$4=1,VLOOKUP(A64,Table_Old,20,0)*B64*L64/1000000,VLOOKUP(A64,Table_New,20,0)*B64*L64/1000000)*IF('ENCL 2013'!$F$43&gt;1,1,0)</f>
        <v>0</v>
      </c>
      <c r="V64" s="73">
        <f>IF($K$4=1,VLOOKUP(A64,Table_Old,21,0)*B64*L64/1000000,VLOOKUP(A64,Table_New,21,0)*B64*L64/1000000)*IF('ENCL 2013'!$F$43&gt;1,1,0)</f>
        <v>0</v>
      </c>
      <c r="W64" s="73">
        <f>IF($K$4=1,VLOOKUP(A64,Table_Old,22,0)*B64*L64/1000000,VLOOKUP(A64,Table_New,22,0)*B64*L64/1000000)*IF('ENCL 2013'!$F$43&gt;1,1,0)</f>
        <v>0</v>
      </c>
      <c r="X64" s="73">
        <f>IF($K$4=1,VLOOKUP(A64,Table_Old,23,0)*B64*L64/1000000,VLOOKUP(A64,Table_New,23,0)*B64*L64/1000000)*IF('ENCL 2013'!$F$43&gt;1,1,0)</f>
        <v>0</v>
      </c>
      <c r="Y64" s="73">
        <f>IF($K$4=1,VLOOKUP(A64,Table_Old,24,0)*B64*L64/1000000,VLOOKUP(A64,Table_New,24,0)*B64*L64/1000000)*IF('ENCL 2013'!$F$43&gt;1,1,0)</f>
        <v>0</v>
      </c>
    </row>
    <row r="65" spans="1:25">
      <c r="A65" s="77">
        <f>A64</f>
        <v>5000</v>
      </c>
      <c r="B65" s="71">
        <v>800</v>
      </c>
      <c r="C65" s="71"/>
      <c r="D65" s="71">
        <f t="shared" si="9"/>
        <v>3</v>
      </c>
      <c r="E65" s="72"/>
      <c r="F65" s="73">
        <f t="shared" si="10"/>
        <v>0</v>
      </c>
      <c r="G65" s="72">
        <f t="shared" si="11"/>
        <v>0</v>
      </c>
      <c r="H65" s="73">
        <v>0</v>
      </c>
      <c r="I65" s="73">
        <f t="shared" si="12"/>
        <v>0</v>
      </c>
      <c r="J65" s="73">
        <f t="shared" si="14"/>
        <v>0</v>
      </c>
      <c r="K65" s="73">
        <f t="shared" si="15"/>
        <v>0</v>
      </c>
      <c r="L65" s="74">
        <f>'BUSBAR 2013'!$P$12</f>
        <v>0</v>
      </c>
      <c r="M65" s="73"/>
      <c r="N65" s="73">
        <f t="shared" si="16"/>
        <v>0</v>
      </c>
      <c r="O65" s="73">
        <f>IF($K$4=1,VLOOKUP(A65,Table_Old,14,0)*B65*L65*(8.9/1000000),VLOOKUP(A65,Table_New,14,0)*B65*L65*(8.9/1000000))*IF('ENCL 2013'!$F$43&gt;1,1,0)</f>
        <v>0</v>
      </c>
      <c r="P65" s="73">
        <f>IF($K$4=1,VLOOKUP(A65,Table_Old,15,0)*B65*L65*(8.9/1000000),VLOOKUP(A65,Table_New,15,0)*B65*L65*(8.9/1000000))*IF('ENCL 2013'!$F$43&gt;1,1,0)</f>
        <v>0</v>
      </c>
      <c r="Q65" s="73">
        <f>IF($K$4=1,VLOOKUP(A65,Table_Old,16,0)*B65*L65*(8.9/1000000),VLOOKUP(A65,Table_New,16,0)*B65*L65*(8.9/1000000))*IF('ENCL 2013'!$F$43&gt;1,1,0)</f>
        <v>0</v>
      </c>
      <c r="R65" s="73">
        <f>IF($K$4=1,VLOOKUP(A65,Table_Old,17,0)*B65*L65*(8.9/1000000),VLOOKUP(A65,Table_New,17,0)*B65*L65*(8.9/1000000))*IF('ENCL 2013'!$F$43&gt;1,1,0)</f>
        <v>0</v>
      </c>
      <c r="S65" s="73">
        <f>IF($K$4=1,VLOOKUP(A65,Table_Old,18,0)*B65*L65*(8.9/1000000),VLOOKUP(A65,Table_New,18,0)*B65*L65*(8.9/1000000))*IF('ENCL 2013'!$F$43&gt;1,1,0)</f>
        <v>0</v>
      </c>
      <c r="T65" s="73">
        <f t="shared" si="17"/>
        <v>0</v>
      </c>
      <c r="U65" s="73">
        <f>IF($K$4=1,VLOOKUP(A65,Table_Old,20,0)*B65*L65/1000000,VLOOKUP(A65,Table_New,20,0)*B65*L65/1000000)*IF('ENCL 2013'!$F$43&gt;1,1,0)</f>
        <v>0</v>
      </c>
      <c r="V65" s="73">
        <f>IF($K$4=1,VLOOKUP(A65,Table_Old,21,0)*B65*L65/1000000,VLOOKUP(A65,Table_New,21,0)*B65*L65/1000000)*IF('ENCL 2013'!$F$43&gt;1,1,0)</f>
        <v>0</v>
      </c>
      <c r="W65" s="73">
        <f>IF($K$4=1,VLOOKUP(A65,Table_Old,22,0)*B65*L65/1000000,VLOOKUP(A65,Table_New,22,0)*B65*L65/1000000)*IF('ENCL 2013'!$F$43&gt;1,1,0)</f>
        <v>0</v>
      </c>
      <c r="X65" s="73">
        <f>IF($K$4=1,VLOOKUP(A65,Table_Old,23,0)*B65*L65/1000000,VLOOKUP(A65,Table_New,23,0)*B65*L65/1000000)*IF('ENCL 2013'!$F$43&gt;1,1,0)</f>
        <v>0</v>
      </c>
      <c r="Y65" s="73">
        <f>IF($K$4=1,VLOOKUP(A65,Table_Old,24,0)*B65*L65/1000000,VLOOKUP(A65,Table_New,24,0)*B65*L65/1000000)*IF('ENCL 2013'!$F$43&gt;1,1,0)</f>
        <v>0</v>
      </c>
    </row>
    <row r="66" spans="1:25">
      <c r="A66" s="77">
        <f>A64</f>
        <v>5000</v>
      </c>
      <c r="B66" s="71">
        <v>1000</v>
      </c>
      <c r="C66" s="71"/>
      <c r="D66" s="71">
        <f t="shared" si="9"/>
        <v>3</v>
      </c>
      <c r="E66" s="72"/>
      <c r="F66" s="73">
        <f t="shared" si="10"/>
        <v>0</v>
      </c>
      <c r="G66" s="72">
        <f t="shared" si="11"/>
        <v>0</v>
      </c>
      <c r="H66" s="73">
        <v>0</v>
      </c>
      <c r="I66" s="73">
        <f t="shared" si="12"/>
        <v>0</v>
      </c>
      <c r="J66" s="73">
        <f t="shared" si="14"/>
        <v>0</v>
      </c>
      <c r="K66" s="73">
        <f t="shared" si="15"/>
        <v>0</v>
      </c>
      <c r="L66" s="74">
        <f>'BUSBAR 2013'!$P$13</f>
        <v>0</v>
      </c>
      <c r="M66" s="73"/>
      <c r="N66" s="73">
        <f t="shared" si="16"/>
        <v>0</v>
      </c>
      <c r="O66" s="73">
        <f>IF($K$4=1,VLOOKUP(A66,Table_Old,14,0)*B66*L66*(8.9/1000000),VLOOKUP(A66,Table_New,14,0)*B66*L66*(8.9/1000000))*IF('ENCL 2013'!$F$43&gt;1,1,0)</f>
        <v>0</v>
      </c>
      <c r="P66" s="73">
        <f>IF($K$4=1,VLOOKUP(A66,Table_Old,15,0)*B66*L66*(8.9/1000000),VLOOKUP(A66,Table_New,15,0)*B66*L66*(8.9/1000000))*IF('ENCL 2013'!$F$43&gt;1,1,0)</f>
        <v>0</v>
      </c>
      <c r="Q66" s="73">
        <f>IF($K$4=1,VLOOKUP(A66,Table_Old,16,0)*B66*L66*(8.9/1000000),VLOOKUP(A66,Table_New,16,0)*B66*L66*(8.9/1000000))*IF('ENCL 2013'!$F$43&gt;1,1,0)</f>
        <v>0</v>
      </c>
      <c r="R66" s="73">
        <f>IF($K$4=1,VLOOKUP(A66,Table_Old,17,0)*B66*L66*(8.9/1000000),VLOOKUP(A66,Table_New,17,0)*B66*L66*(8.9/1000000))*IF('ENCL 2013'!$F$43&gt;1,1,0)</f>
        <v>0</v>
      </c>
      <c r="S66" s="73">
        <f>IF($K$4=1,VLOOKUP(A66,Table_Old,18,0)*B66*L66*(8.9/1000000),VLOOKUP(A66,Table_New,18,0)*B66*L66*(8.9/1000000))*IF('ENCL 2013'!$F$43&gt;1,1,0)</f>
        <v>0</v>
      </c>
      <c r="T66" s="73">
        <f t="shared" si="17"/>
        <v>0</v>
      </c>
      <c r="U66" s="73">
        <f>IF($K$4=1,VLOOKUP(A66,Table_Old,20,0)*B66*L66/1000000,VLOOKUP(A66,Table_New,20,0)*B66*L66/1000000)*IF('ENCL 2013'!$F$43&gt;1,1,0)</f>
        <v>0</v>
      </c>
      <c r="V66" s="73">
        <f>IF($K$4=1,VLOOKUP(A66,Table_Old,21,0)*B66*L66/1000000,VLOOKUP(A66,Table_New,21,0)*B66*L66/1000000)*IF('ENCL 2013'!$F$43&gt;1,1,0)</f>
        <v>0</v>
      </c>
      <c r="W66" s="73">
        <f>IF($K$4=1,VLOOKUP(A66,Table_Old,22,0)*B66*L66/1000000,VLOOKUP(A66,Table_New,22,0)*B66*L66/1000000)*IF('ENCL 2013'!$F$43&gt;1,1,0)</f>
        <v>0</v>
      </c>
      <c r="X66" s="73">
        <f>IF($K$4=1,VLOOKUP(A66,Table_Old,23,0)*B66*L66/1000000,VLOOKUP(A66,Table_New,23,0)*B66*L66/1000000)*IF('ENCL 2013'!$F$43&gt;1,1,0)</f>
        <v>0</v>
      </c>
      <c r="Y66" s="73">
        <f>IF($K$4=1,VLOOKUP(A66,Table_Old,24,0)*B66*L66/1000000,VLOOKUP(A66,Table_New,24,0)*B66*L66/1000000)*IF('ENCL 2013'!$F$43&gt;1,1,0)</f>
        <v>0</v>
      </c>
    </row>
    <row r="67" spans="1:25">
      <c r="A67" s="77">
        <f>A64</f>
        <v>5000</v>
      </c>
      <c r="B67" s="71">
        <v>1200</v>
      </c>
      <c r="C67" s="71"/>
      <c r="D67" s="71">
        <f t="shared" si="9"/>
        <v>3</v>
      </c>
      <c r="E67" s="72"/>
      <c r="F67" s="73">
        <f t="shared" si="10"/>
        <v>0</v>
      </c>
      <c r="G67" s="72">
        <f t="shared" si="11"/>
        <v>0</v>
      </c>
      <c r="H67" s="73">
        <v>0</v>
      </c>
      <c r="I67" s="73">
        <f t="shared" si="12"/>
        <v>0</v>
      </c>
      <c r="J67" s="73">
        <f t="shared" si="14"/>
        <v>0</v>
      </c>
      <c r="K67" s="73">
        <f t="shared" si="15"/>
        <v>0</v>
      </c>
      <c r="L67" s="74">
        <f>'BUSBAR 2013'!$P$14</f>
        <v>0</v>
      </c>
      <c r="M67" s="73"/>
      <c r="N67" s="73">
        <f t="shared" si="16"/>
        <v>0</v>
      </c>
      <c r="O67" s="73">
        <f>IF($K$4=1,VLOOKUP(A67,Table_Old,14,0)*B67*L67*(8.9/1000000),VLOOKUP(A67,Table_New,14,0)*B67*L67*(8.9/1000000))*IF('ENCL 2013'!$F$43&gt;1,1,0)</f>
        <v>0</v>
      </c>
      <c r="P67" s="73">
        <f>IF($K$4=1,VLOOKUP(A67,Table_Old,15,0)*B67*L67*(8.9/1000000),VLOOKUP(A67,Table_New,15,0)*B67*L67*(8.9/1000000))*IF('ENCL 2013'!$F$43&gt;1,1,0)</f>
        <v>0</v>
      </c>
      <c r="Q67" s="73">
        <f>IF($K$4=1,VLOOKUP(A67,Table_Old,16,0)*B67*L67*(8.9/1000000),VLOOKUP(A67,Table_New,16,0)*B67*L67*(8.9/1000000))*IF('ENCL 2013'!$F$43&gt;1,1,0)</f>
        <v>0</v>
      </c>
      <c r="R67" s="73">
        <f>IF($K$4=1,VLOOKUP(A67,Table_Old,17,0)*B67*L67*(8.9/1000000),VLOOKUP(A67,Table_New,17,0)*B67*L67*(8.9/1000000))*IF('ENCL 2013'!$F$43&gt;1,1,0)</f>
        <v>0</v>
      </c>
      <c r="S67" s="73">
        <f>IF($K$4=1,VLOOKUP(A67,Table_Old,18,0)*B67*L67*(8.9/1000000),VLOOKUP(A67,Table_New,18,0)*B67*L67*(8.9/1000000))*IF('ENCL 2013'!$F$43&gt;1,1,0)</f>
        <v>0</v>
      </c>
      <c r="T67" s="73">
        <f t="shared" si="17"/>
        <v>0</v>
      </c>
      <c r="U67" s="73">
        <f>IF($K$4=1,VLOOKUP(A67,Table_Old,20,0)*B67*L67/1000000,VLOOKUP(A67,Table_New,20,0)*B67*L67/1000000)*IF('ENCL 2013'!$F$43&gt;1,1,0)</f>
        <v>0</v>
      </c>
      <c r="V67" s="73">
        <f>IF($K$4=1,VLOOKUP(A67,Table_Old,21,0)*B67*L67/1000000,VLOOKUP(A67,Table_New,21,0)*B67*L67/1000000)*IF('ENCL 2013'!$F$43&gt;1,1,0)</f>
        <v>0</v>
      </c>
      <c r="W67" s="73">
        <f>IF($K$4=1,VLOOKUP(A67,Table_Old,22,0)*B67*L67/1000000,VLOOKUP(A67,Table_New,22,0)*B67*L67/1000000)*IF('ENCL 2013'!$F$43&gt;1,1,0)</f>
        <v>0</v>
      </c>
      <c r="X67" s="73">
        <f>IF($K$4=1,VLOOKUP(A67,Table_Old,23,0)*B67*L67/1000000,VLOOKUP(A67,Table_New,23,0)*B67*L67/1000000)*IF('ENCL 2013'!$F$43&gt;1,1,0)</f>
        <v>0</v>
      </c>
      <c r="Y67" s="73">
        <f>IF($K$4=1,VLOOKUP(A67,Table_Old,24,0)*B67*L67/1000000,VLOOKUP(A67,Table_New,24,0)*B67*L67/1000000)*IF('ENCL 2013'!$F$43&gt;1,1,0)</f>
        <v>0</v>
      </c>
    </row>
    <row r="68" spans="1:25">
      <c r="A68" s="71">
        <v>6300</v>
      </c>
      <c r="B68" s="71">
        <v>600</v>
      </c>
      <c r="C68" s="71"/>
      <c r="D68" s="71">
        <f t="shared" si="9"/>
        <v>3</v>
      </c>
      <c r="E68" s="72"/>
      <c r="F68" s="73">
        <f t="shared" si="10"/>
        <v>0</v>
      </c>
      <c r="G68" s="72">
        <f t="shared" si="11"/>
        <v>0</v>
      </c>
      <c r="H68" s="73">
        <v>0</v>
      </c>
      <c r="I68" s="73">
        <f t="shared" si="12"/>
        <v>0</v>
      </c>
      <c r="J68" s="73">
        <f t="shared" si="14"/>
        <v>0</v>
      </c>
      <c r="K68" s="73">
        <f t="shared" si="15"/>
        <v>0</v>
      </c>
      <c r="L68" s="74">
        <f>'BUSBAR 2013'!$Q$11</f>
        <v>0</v>
      </c>
      <c r="M68" s="73"/>
      <c r="N68" s="73">
        <f t="shared" si="16"/>
        <v>0</v>
      </c>
      <c r="O68" s="73">
        <f>IF($K$4=1,VLOOKUP(A68,Table_Old,14,0)*B68*L68*(8.9/1000000),VLOOKUP(A68,Table_New,14,0)*B68*L68*(8.9/1000000))*IF('ENCL 2013'!$F$43&gt;1,1,0)</f>
        <v>0</v>
      </c>
      <c r="P68" s="73">
        <f>IF($K$4=1,VLOOKUP(A68,Table_Old,15,0)*B68*L68*(8.9/1000000),VLOOKUP(A68,Table_New,15,0)*B68*L68*(8.9/1000000))*IF('ENCL 2013'!$F$43&gt;1,1,0)</f>
        <v>0</v>
      </c>
      <c r="Q68" s="73">
        <f>IF($K$4=1,VLOOKUP(A68,Table_Old,16,0)*B68*L68*(8.9/1000000),VLOOKUP(A68,Table_New,16,0)*B68*L68*(8.9/1000000))*IF('ENCL 2013'!$F$43&gt;1,1,0)</f>
        <v>0</v>
      </c>
      <c r="R68" s="73">
        <f>IF($K$4=1,VLOOKUP(A68,Table_Old,17,0)*B68*L68*(8.9/1000000),VLOOKUP(A68,Table_New,17,0)*B68*L68*(8.9/1000000))*IF('ENCL 2013'!$F$43&gt;1,1,0)</f>
        <v>0</v>
      </c>
      <c r="S68" s="73">
        <f>IF($K$4=1,VLOOKUP(A68,Table_Old,18,0)*B68*L68*(8.9/1000000),VLOOKUP(A68,Table_New,18,0)*B68*L68*(8.9/1000000))*IF('ENCL 2013'!$F$43&gt;1,1,0)</f>
        <v>0</v>
      </c>
      <c r="T68" s="73">
        <f t="shared" si="17"/>
        <v>0</v>
      </c>
      <c r="U68" s="73">
        <f>IF($K$4=1,VLOOKUP(A68,Table_Old,20,0)*B68*L68/1000000,VLOOKUP(A68,Table_New,20,0)*B68*L68/1000000)*IF('ENCL 2013'!$F$43&gt;1,1,0)</f>
        <v>0</v>
      </c>
      <c r="V68" s="73">
        <f>IF($K$4=1,VLOOKUP(A68,Table_Old,21,0)*B68*L68/1000000,VLOOKUP(A68,Table_New,21,0)*B68*L68/1000000)*IF('ENCL 2013'!$F$43&gt;1,1,0)</f>
        <v>0</v>
      </c>
      <c r="W68" s="73">
        <f>IF($K$4=1,VLOOKUP(A68,Table_Old,22,0)*B68*L68/1000000,VLOOKUP(A68,Table_New,22,0)*B68*L68/1000000)*IF('ENCL 2013'!$F$43&gt;1,1,0)</f>
        <v>0</v>
      </c>
      <c r="X68" s="73">
        <f>IF($K$4=1,VLOOKUP(A68,Table_Old,23,0)*B68*L68/1000000,VLOOKUP(A68,Table_New,23,0)*B68*L68/1000000)*IF('ENCL 2013'!$F$43&gt;1,1,0)</f>
        <v>0</v>
      </c>
      <c r="Y68" s="73">
        <f>IF($K$4=1,VLOOKUP(A68,Table_Old,24,0)*B68*L68/1000000,VLOOKUP(A68,Table_New,24,0)*B68*L68/1000000)*IF('ENCL 2013'!$F$43&gt;1,1,0)</f>
        <v>0</v>
      </c>
    </row>
    <row r="69" spans="1:25">
      <c r="A69" s="77">
        <f>A68</f>
        <v>6300</v>
      </c>
      <c r="B69" s="71">
        <v>800</v>
      </c>
      <c r="C69" s="71"/>
      <c r="D69" s="71">
        <f t="shared" si="9"/>
        <v>3</v>
      </c>
      <c r="E69" s="72"/>
      <c r="F69" s="73">
        <f t="shared" si="10"/>
        <v>0</v>
      </c>
      <c r="G69" s="72">
        <f t="shared" si="11"/>
        <v>0</v>
      </c>
      <c r="H69" s="73">
        <v>0</v>
      </c>
      <c r="I69" s="73">
        <f t="shared" si="12"/>
        <v>0</v>
      </c>
      <c r="J69" s="73">
        <f t="shared" si="14"/>
        <v>0</v>
      </c>
      <c r="K69" s="73">
        <f t="shared" si="15"/>
        <v>0</v>
      </c>
      <c r="L69" s="74">
        <f>'BUSBAR 2013'!$Q$12</f>
        <v>0</v>
      </c>
      <c r="M69" s="73"/>
      <c r="N69" s="73">
        <f t="shared" si="16"/>
        <v>0</v>
      </c>
      <c r="O69" s="73">
        <f>IF($K$4=1,VLOOKUP(A69,Table_Old,14,0)*B69*L69*(8.9/1000000),VLOOKUP(A69,Table_New,14,0)*B69*L69*(8.9/1000000))*IF('ENCL 2013'!$F$43&gt;1,1,0)</f>
        <v>0</v>
      </c>
      <c r="P69" s="73">
        <f>IF($K$4=1,VLOOKUP(A69,Table_Old,15,0)*B69*L69*(8.9/1000000),VLOOKUP(A69,Table_New,15,0)*B69*L69*(8.9/1000000))*IF('ENCL 2013'!$F$43&gt;1,1,0)</f>
        <v>0</v>
      </c>
      <c r="Q69" s="73">
        <f>IF($K$4=1,VLOOKUP(A69,Table_Old,16,0)*B69*L69*(8.9/1000000),VLOOKUP(A69,Table_New,16,0)*B69*L69*(8.9/1000000))*IF('ENCL 2013'!$F$43&gt;1,1,0)</f>
        <v>0</v>
      </c>
      <c r="R69" s="73">
        <f>IF($K$4=1,VLOOKUP(A69,Table_Old,17,0)*B69*L69*(8.9/1000000),VLOOKUP(A69,Table_New,17,0)*B69*L69*(8.9/1000000))*IF('ENCL 2013'!$F$43&gt;1,1,0)</f>
        <v>0</v>
      </c>
      <c r="S69" s="73">
        <f>IF($K$4=1,VLOOKUP(A69,Table_Old,18,0)*B69*L69*(8.9/1000000),VLOOKUP(A69,Table_New,18,0)*B69*L69*(8.9/1000000))*IF('ENCL 2013'!$F$43&gt;1,1,0)</f>
        <v>0</v>
      </c>
      <c r="T69" s="73">
        <f t="shared" si="17"/>
        <v>0</v>
      </c>
      <c r="U69" s="73">
        <f>IF($K$4=1,VLOOKUP(A69,Table_Old,20,0)*B69*L69/1000000,VLOOKUP(A69,Table_New,20,0)*B69*L69/1000000)*IF('ENCL 2013'!$F$43&gt;1,1,0)</f>
        <v>0</v>
      </c>
      <c r="V69" s="73">
        <f>IF($K$4=1,VLOOKUP(A69,Table_Old,21,0)*B69*L69/1000000,VLOOKUP(A69,Table_New,21,0)*B69*L69/1000000)*IF('ENCL 2013'!$F$43&gt;1,1,0)</f>
        <v>0</v>
      </c>
      <c r="W69" s="73">
        <f>IF($K$4=1,VLOOKUP(A69,Table_Old,22,0)*B69*L69/1000000,VLOOKUP(A69,Table_New,22,0)*B69*L69/1000000)*IF('ENCL 2013'!$F$43&gt;1,1,0)</f>
        <v>0</v>
      </c>
      <c r="X69" s="73">
        <f>IF($K$4=1,VLOOKUP(A69,Table_Old,23,0)*B69*L69/1000000,VLOOKUP(A69,Table_New,23,0)*B69*L69/1000000)*IF('ENCL 2013'!$F$43&gt;1,1,0)</f>
        <v>0</v>
      </c>
      <c r="Y69" s="73">
        <f>IF($K$4=1,VLOOKUP(A69,Table_Old,24,0)*B69*L69/1000000,VLOOKUP(A69,Table_New,24,0)*B69*L69/1000000)*IF('ENCL 2013'!$F$43&gt;1,1,0)</f>
        <v>0</v>
      </c>
    </row>
    <row r="70" spans="1:25">
      <c r="A70" s="77">
        <f>A68</f>
        <v>6300</v>
      </c>
      <c r="B70" s="71">
        <v>1000</v>
      </c>
      <c r="C70" s="71"/>
      <c r="D70" s="71">
        <f t="shared" si="9"/>
        <v>3</v>
      </c>
      <c r="E70" s="72"/>
      <c r="F70" s="73">
        <f t="shared" si="10"/>
        <v>0</v>
      </c>
      <c r="G70" s="72">
        <f t="shared" si="11"/>
        <v>0</v>
      </c>
      <c r="H70" s="73">
        <v>0</v>
      </c>
      <c r="I70" s="73">
        <f t="shared" si="12"/>
        <v>0</v>
      </c>
      <c r="J70" s="73">
        <f t="shared" si="14"/>
        <v>0</v>
      </c>
      <c r="K70" s="73">
        <f t="shared" si="15"/>
        <v>0</v>
      </c>
      <c r="L70" s="74">
        <f>'BUSBAR 2013'!$Q$13</f>
        <v>0</v>
      </c>
      <c r="M70" s="73"/>
      <c r="N70" s="73">
        <f t="shared" si="16"/>
        <v>0</v>
      </c>
      <c r="O70" s="73">
        <f>IF($K$4=1,VLOOKUP(A70,Table_Old,14,0)*B70*L70*(8.9/1000000),VLOOKUP(A70,Table_New,14,0)*B70*L70*(8.9/1000000))*IF('ENCL 2013'!$F$43&gt;1,1,0)</f>
        <v>0</v>
      </c>
      <c r="P70" s="73">
        <f>IF($K$4=1,VLOOKUP(A70,Table_Old,15,0)*B70*L70*(8.9/1000000),VLOOKUP(A70,Table_New,15,0)*B70*L70*(8.9/1000000))*IF('ENCL 2013'!$F$43&gt;1,1,0)</f>
        <v>0</v>
      </c>
      <c r="Q70" s="73">
        <f>IF($K$4=1,VLOOKUP(A70,Table_Old,16,0)*B70*L70*(8.9/1000000),VLOOKUP(A70,Table_New,16,0)*B70*L70*(8.9/1000000))*IF('ENCL 2013'!$F$43&gt;1,1,0)</f>
        <v>0</v>
      </c>
      <c r="R70" s="73">
        <f>IF($K$4=1,VLOOKUP(A70,Table_Old,17,0)*B70*L70*(8.9/1000000),VLOOKUP(A70,Table_New,17,0)*B70*L70*(8.9/1000000))*IF('ENCL 2013'!$F$43&gt;1,1,0)</f>
        <v>0</v>
      </c>
      <c r="S70" s="73">
        <f>IF($K$4=1,VLOOKUP(A70,Table_Old,18,0)*B70*L70*(8.9/1000000),VLOOKUP(A70,Table_New,18,0)*B70*L70*(8.9/1000000))*IF('ENCL 2013'!$F$43&gt;1,1,0)</f>
        <v>0</v>
      </c>
      <c r="T70" s="73">
        <f t="shared" si="17"/>
        <v>0</v>
      </c>
      <c r="U70" s="73">
        <f>IF($K$4=1,VLOOKUP(A70,Table_Old,20,0)*B70*L70/1000000,VLOOKUP(A70,Table_New,20,0)*B70*L70/1000000)*IF('ENCL 2013'!$F$43&gt;1,1,0)</f>
        <v>0</v>
      </c>
      <c r="V70" s="73">
        <f>IF($K$4=1,VLOOKUP(A70,Table_Old,21,0)*B70*L70/1000000,VLOOKUP(A70,Table_New,21,0)*B70*L70/1000000)*IF('ENCL 2013'!$F$43&gt;1,1,0)</f>
        <v>0</v>
      </c>
      <c r="W70" s="73">
        <f>IF($K$4=1,VLOOKUP(A70,Table_Old,22,0)*B70*L70/1000000,VLOOKUP(A70,Table_New,22,0)*B70*L70/1000000)*IF('ENCL 2013'!$F$43&gt;1,1,0)</f>
        <v>0</v>
      </c>
      <c r="X70" s="73">
        <f>IF($K$4=1,VLOOKUP(A70,Table_Old,23,0)*B70*L70/1000000,VLOOKUP(A70,Table_New,23,0)*B70*L70/1000000)*IF('ENCL 2013'!$F$43&gt;1,1,0)</f>
        <v>0</v>
      </c>
      <c r="Y70" s="73">
        <f>IF($K$4=1,VLOOKUP(A70,Table_Old,24,0)*B70*L70/1000000,VLOOKUP(A70,Table_New,24,0)*B70*L70/1000000)*IF('ENCL 2013'!$F$43&gt;1,1,0)</f>
        <v>0</v>
      </c>
    </row>
    <row r="71" spans="1:25">
      <c r="A71" s="77">
        <f>A68</f>
        <v>6300</v>
      </c>
      <c r="B71" s="71">
        <v>1200</v>
      </c>
      <c r="C71" s="71"/>
      <c r="D71" s="71">
        <f t="shared" si="9"/>
        <v>3</v>
      </c>
      <c r="E71" s="72"/>
      <c r="F71" s="73">
        <f t="shared" si="10"/>
        <v>0</v>
      </c>
      <c r="G71" s="72">
        <f t="shared" si="11"/>
        <v>0</v>
      </c>
      <c r="H71" s="73">
        <v>0</v>
      </c>
      <c r="I71" s="73">
        <f t="shared" si="12"/>
        <v>0</v>
      </c>
      <c r="J71" s="73">
        <f t="shared" si="14"/>
        <v>0</v>
      </c>
      <c r="K71" s="73">
        <f t="shared" si="15"/>
        <v>0</v>
      </c>
      <c r="L71" s="74">
        <f>'BUSBAR 2013'!$Q$14</f>
        <v>0</v>
      </c>
      <c r="M71" s="73"/>
      <c r="N71" s="73">
        <f t="shared" si="16"/>
        <v>0</v>
      </c>
      <c r="O71" s="73">
        <f>IF($K$4=1,VLOOKUP(A71,Table_Old,14,0)*B71*L71*(8.9/1000000),VLOOKUP(A71,Table_New,14,0)*B71*L71*(8.9/1000000))*IF('ENCL 2013'!$F$43&gt;1,1,0)</f>
        <v>0</v>
      </c>
      <c r="P71" s="73">
        <f>IF($K$4=1,VLOOKUP(A71,Table_Old,15,0)*B71*L71*(8.9/1000000),VLOOKUP(A71,Table_New,15,0)*B71*L71*(8.9/1000000))*IF('ENCL 2013'!$F$43&gt;1,1,0)</f>
        <v>0</v>
      </c>
      <c r="Q71" s="73">
        <f>IF($K$4=1,VLOOKUP(A71,Table_Old,16,0)*B71*L71*(8.9/1000000),VLOOKUP(A71,Table_New,16,0)*B71*L71*(8.9/1000000))*IF('ENCL 2013'!$F$43&gt;1,1,0)</f>
        <v>0</v>
      </c>
      <c r="R71" s="73">
        <f>IF($K$4=1,VLOOKUP(A71,Table_Old,17,0)*B71*L71*(8.9/1000000),VLOOKUP(A71,Table_New,17,0)*B71*L71*(8.9/1000000))*IF('ENCL 2013'!$F$43&gt;1,1,0)</f>
        <v>0</v>
      </c>
      <c r="S71" s="73">
        <f>IF($K$4=1,VLOOKUP(A71,Table_Old,18,0)*B71*L71*(8.9/1000000),VLOOKUP(A71,Table_New,18,0)*B71*L71*(8.9/1000000))*IF('ENCL 2013'!$F$43&gt;1,1,0)</f>
        <v>0</v>
      </c>
      <c r="T71" s="73">
        <f t="shared" si="17"/>
        <v>0</v>
      </c>
      <c r="U71" s="73">
        <f>IF($K$4=1,VLOOKUP(A71,Table_Old,20,0)*B71*L71/1000000,VLOOKUP(A71,Table_New,20,0)*B71*L71/1000000)*IF('ENCL 2013'!$F$43&gt;1,1,0)</f>
        <v>0</v>
      </c>
      <c r="V71" s="73">
        <f>IF($K$4=1,VLOOKUP(A71,Table_Old,21,0)*B71*L71/1000000,VLOOKUP(A71,Table_New,21,0)*B71*L71/1000000)*IF('ENCL 2013'!$F$43&gt;1,1,0)</f>
        <v>0</v>
      </c>
      <c r="W71" s="73">
        <f>IF($K$4=1,VLOOKUP(A71,Table_Old,22,0)*B71*L71/1000000,VLOOKUP(A71,Table_New,22,0)*B71*L71/1000000)*IF('ENCL 2013'!$F$43&gt;1,1,0)</f>
        <v>0</v>
      </c>
      <c r="X71" s="73">
        <f>IF($K$4=1,VLOOKUP(A71,Table_Old,23,0)*B71*L71/1000000,VLOOKUP(A71,Table_New,23,0)*B71*L71/1000000)*IF('ENCL 2013'!$F$43&gt;1,1,0)</f>
        <v>0</v>
      </c>
      <c r="Y71" s="73">
        <f>IF($K$4=1,VLOOKUP(A71,Table_Old,24,0)*B71*L71/1000000,VLOOKUP(A71,Table_New,24,0)*B71*L71/1000000)*IF('ENCL 2013'!$F$43&gt;1,1,0)</f>
        <v>0</v>
      </c>
    </row>
    <row r="72" spans="1:25" ht="12.75" thickBot="1">
      <c r="T72" s="103"/>
      <c r="U72" s="103"/>
      <c r="V72" s="103"/>
      <c r="W72" s="103"/>
      <c r="X72" s="103"/>
      <c r="Y72" s="103"/>
    </row>
    <row r="73" spans="1:25" ht="21.75" customHeight="1" thickBot="1">
      <c r="G73" s="108">
        <f>SUM(G8:G72)</f>
        <v>6.3959999999999999</v>
      </c>
      <c r="H73" s="108">
        <f t="shared" ref="H73:K73" si="18">SUM(H8:H72)</f>
        <v>0</v>
      </c>
      <c r="I73" s="108">
        <f t="shared" si="18"/>
        <v>6724.2630592799997</v>
      </c>
      <c r="J73" s="108">
        <f t="shared" si="18"/>
        <v>192.94872480000004</v>
      </c>
      <c r="K73" s="108">
        <f t="shared" si="18"/>
        <v>2238.6</v>
      </c>
      <c r="L73" s="109"/>
      <c r="M73" s="110"/>
      <c r="N73" s="80"/>
      <c r="O73" s="75"/>
      <c r="T73" s="103"/>
      <c r="U73" s="103"/>
      <c r="V73" s="103"/>
      <c r="W73" s="103"/>
      <c r="X73" s="103"/>
      <c r="Y73" s="103"/>
    </row>
    <row r="74" spans="1:25" ht="18" thickBot="1">
      <c r="M74" s="78"/>
      <c r="T74" s="103"/>
      <c r="U74" s="103"/>
      <c r="V74" s="103"/>
      <c r="W74" s="103"/>
      <c r="X74" s="103"/>
      <c r="Y74" s="103"/>
    </row>
    <row r="75" spans="1:25" s="68" customFormat="1" ht="21.75" customHeight="1" thickBot="1">
      <c r="A75" s="502" t="s">
        <v>71</v>
      </c>
      <c r="B75" s="503"/>
      <c r="C75" s="503"/>
      <c r="D75" s="503"/>
      <c r="E75" s="503"/>
      <c r="F75" s="503"/>
      <c r="G75" s="503"/>
      <c r="H75" s="503"/>
      <c r="I75" s="503"/>
      <c r="J75" s="503"/>
      <c r="K75" s="503"/>
      <c r="L75" s="503"/>
      <c r="M75" s="503"/>
      <c r="N75" s="503"/>
      <c r="O75" s="503"/>
      <c r="P75" s="503"/>
      <c r="Q75" s="503"/>
      <c r="R75" s="504"/>
      <c r="T75" s="103"/>
      <c r="U75" s="103"/>
      <c r="V75" s="103"/>
      <c r="W75" s="103"/>
      <c r="X75" s="103"/>
      <c r="Y75" s="103"/>
    </row>
    <row r="76" spans="1:25" ht="22.5" customHeight="1" thickBot="1">
      <c r="A76" s="69" t="s">
        <v>26</v>
      </c>
      <c r="B76" s="69" t="s">
        <v>20</v>
      </c>
      <c r="C76" s="69"/>
      <c r="D76" s="69" t="s">
        <v>64</v>
      </c>
      <c r="E76" s="69"/>
      <c r="F76" s="69" t="s">
        <v>76</v>
      </c>
      <c r="G76" s="69" t="s">
        <v>413</v>
      </c>
      <c r="H76" s="69" t="s">
        <v>410</v>
      </c>
      <c r="I76" s="69" t="s">
        <v>192</v>
      </c>
      <c r="J76" s="69" t="s">
        <v>411</v>
      </c>
      <c r="K76" s="69" t="s">
        <v>412</v>
      </c>
      <c r="L76" s="69" t="s">
        <v>87</v>
      </c>
      <c r="M76" s="69"/>
      <c r="N76" s="113" t="s">
        <v>365</v>
      </c>
      <c r="O76" s="114" t="s">
        <v>366</v>
      </c>
      <c r="P76" s="114" t="s">
        <v>367</v>
      </c>
      <c r="Q76" s="114" t="s">
        <v>368</v>
      </c>
      <c r="R76" s="114" t="s">
        <v>369</v>
      </c>
      <c r="S76" s="114" t="s">
        <v>370</v>
      </c>
      <c r="T76" s="113" t="s">
        <v>371</v>
      </c>
      <c r="U76" s="114" t="s">
        <v>372</v>
      </c>
      <c r="V76" s="114" t="s">
        <v>373</v>
      </c>
      <c r="W76" s="114" t="s">
        <v>374</v>
      </c>
      <c r="X76" s="114" t="s">
        <v>375</v>
      </c>
      <c r="Y76" s="114" t="s">
        <v>376</v>
      </c>
    </row>
    <row r="77" spans="1:25">
      <c r="A77" s="71">
        <v>250</v>
      </c>
      <c r="B77" s="71">
        <f>IF($I$4=1,300,500)</f>
        <v>300</v>
      </c>
      <c r="C77" s="71"/>
      <c r="D77" s="71">
        <v>3</v>
      </c>
      <c r="E77" s="72"/>
      <c r="F77" s="73">
        <f>SUM(N77:S77)</f>
        <v>0</v>
      </c>
      <c r="G77" s="72">
        <f>SUM(T77:Y77)</f>
        <v>0</v>
      </c>
      <c r="H77" s="73">
        <v>0</v>
      </c>
      <c r="I77" s="73">
        <f>($A$2*F77)</f>
        <v>0</v>
      </c>
      <c r="J77" s="73">
        <f>(F77*$C$2)</f>
        <v>0</v>
      </c>
      <c r="K77" s="73">
        <f>(G77*$E$2)</f>
        <v>0</v>
      </c>
      <c r="L77" s="74">
        <f>'BUSBAR 2013'!$B$18</f>
        <v>0</v>
      </c>
      <c r="M77" s="73"/>
      <c r="N77" s="73">
        <f>IF($K$4=1,VLOOKUP(A77,Table_Old,13,0)*$M$4*B77*L77*(8.9/1000000),VLOOKUP(A77,Table_New,13,0)*$M$4*B77*L77*(8.9/1000000))</f>
        <v>0</v>
      </c>
      <c r="O77" s="73"/>
      <c r="P77" s="73"/>
      <c r="Q77" s="73"/>
      <c r="R77" s="73"/>
      <c r="S77" s="73"/>
      <c r="T77" s="73">
        <f>IF($K$4=1,VLOOKUP(A77,Table_Old,19,0)*$M$4*B77*L77/1000000,VLOOKUP(A77,Table_New,19,0)*$M$4*B77*L77/1000000)</f>
        <v>0</v>
      </c>
      <c r="U77" s="73"/>
      <c r="V77" s="73"/>
      <c r="W77" s="73"/>
      <c r="X77" s="73"/>
      <c r="Y77" s="73"/>
    </row>
    <row r="78" spans="1:25">
      <c r="A78" s="71">
        <v>400</v>
      </c>
      <c r="B78" s="71">
        <f>IF($I$4=1,350,500)</f>
        <v>350</v>
      </c>
      <c r="C78" s="71"/>
      <c r="D78" s="71">
        <f t="shared" ref="D78:D92" si="19">$M$4</f>
        <v>3</v>
      </c>
      <c r="E78" s="72"/>
      <c r="F78" s="73">
        <f t="shared" ref="F78:F92" si="20">SUM(N78:S78)</f>
        <v>0</v>
      </c>
      <c r="G78" s="72">
        <f t="shared" ref="G78:G92" si="21">SUM(T78:Y78)</f>
        <v>0</v>
      </c>
      <c r="H78" s="73">
        <v>0</v>
      </c>
      <c r="I78" s="73">
        <f t="shared" ref="I78:I92" si="22">($A$2*F78)</f>
        <v>0</v>
      </c>
      <c r="J78" s="73">
        <f t="shared" ref="J78:J92" si="23">(F78*$C$2)</f>
        <v>0</v>
      </c>
      <c r="K78" s="73">
        <f t="shared" ref="K78:K92" si="24">(G78*$E$2)</f>
        <v>0</v>
      </c>
      <c r="L78" s="74">
        <f>'BUSBAR 2013'!$C$18</f>
        <v>0</v>
      </c>
      <c r="M78" s="73"/>
      <c r="N78" s="73">
        <f t="shared" ref="N78:N92" si="25">IF($K$4=1,VLOOKUP(A78,Table_Old,13,0)*$M$4*B78*L78*(8.9/1000000),VLOOKUP(A78,Table_New,13,0)*$M$4*B78*L78*(8.9/1000000))</f>
        <v>0</v>
      </c>
      <c r="O78" s="73"/>
      <c r="P78" s="73"/>
      <c r="Q78" s="73"/>
      <c r="R78" s="73"/>
      <c r="S78" s="73"/>
      <c r="T78" s="73">
        <f t="shared" ref="T78:T92" si="26">IF($K$4=1,VLOOKUP(A78,Table_Old,19,0)*$M$4*B78*L78/1000000,VLOOKUP(A78,Table_New,19,0)*$M$4*B78*L78/1000000)</f>
        <v>0</v>
      </c>
      <c r="U78" s="73"/>
      <c r="V78" s="73"/>
      <c r="W78" s="73"/>
      <c r="X78" s="73"/>
      <c r="Y78" s="73"/>
    </row>
    <row r="79" spans="1:25">
      <c r="A79" s="71">
        <v>600</v>
      </c>
      <c r="B79" s="71">
        <f>IF($I$4=1,350,500)</f>
        <v>350</v>
      </c>
      <c r="C79" s="71"/>
      <c r="D79" s="71">
        <f t="shared" si="19"/>
        <v>3</v>
      </c>
      <c r="E79" s="72"/>
      <c r="F79" s="73">
        <f t="shared" si="20"/>
        <v>0</v>
      </c>
      <c r="G79" s="72">
        <f t="shared" si="21"/>
        <v>0</v>
      </c>
      <c r="H79" s="73">
        <v>0</v>
      </c>
      <c r="I79" s="73">
        <f t="shared" si="22"/>
        <v>0</v>
      </c>
      <c r="J79" s="73">
        <f t="shared" si="23"/>
        <v>0</v>
      </c>
      <c r="K79" s="73">
        <f t="shared" si="24"/>
        <v>0</v>
      </c>
      <c r="L79" s="74">
        <f>'BUSBAR 2013'!$D$18</f>
        <v>0</v>
      </c>
      <c r="M79" s="73"/>
      <c r="N79" s="73">
        <f t="shared" si="25"/>
        <v>0</v>
      </c>
      <c r="O79" s="73"/>
      <c r="P79" s="73"/>
      <c r="Q79" s="73"/>
      <c r="R79" s="73"/>
      <c r="S79" s="73"/>
      <c r="T79" s="73">
        <f t="shared" si="26"/>
        <v>0</v>
      </c>
      <c r="U79" s="73"/>
      <c r="V79" s="73"/>
      <c r="W79" s="73"/>
      <c r="X79" s="73"/>
      <c r="Y79" s="73"/>
    </row>
    <row r="80" spans="1:25">
      <c r="A80" s="71">
        <v>630</v>
      </c>
      <c r="B80" s="71">
        <f>IF($I$4=1,350,500)</f>
        <v>350</v>
      </c>
      <c r="C80" s="71"/>
      <c r="D80" s="71">
        <f t="shared" si="19"/>
        <v>3</v>
      </c>
      <c r="E80" s="72"/>
      <c r="F80" s="73">
        <f t="shared" si="20"/>
        <v>0</v>
      </c>
      <c r="G80" s="72">
        <f t="shared" si="21"/>
        <v>0</v>
      </c>
      <c r="H80" s="73">
        <v>0</v>
      </c>
      <c r="I80" s="73">
        <f t="shared" si="22"/>
        <v>0</v>
      </c>
      <c r="J80" s="73">
        <f t="shared" si="23"/>
        <v>0</v>
      </c>
      <c r="K80" s="73">
        <f t="shared" si="24"/>
        <v>0</v>
      </c>
      <c r="L80" s="74">
        <f>'BUSBAR 2013'!$E$18</f>
        <v>0</v>
      </c>
      <c r="M80" s="73"/>
      <c r="N80" s="73">
        <f t="shared" si="25"/>
        <v>0</v>
      </c>
      <c r="O80" s="73"/>
      <c r="P80" s="73"/>
      <c r="Q80" s="73"/>
      <c r="R80" s="73"/>
      <c r="S80" s="73"/>
      <c r="T80" s="73">
        <f t="shared" si="26"/>
        <v>0</v>
      </c>
      <c r="U80" s="73"/>
      <c r="V80" s="73"/>
      <c r="W80" s="73"/>
      <c r="X80" s="73"/>
      <c r="Y80" s="73"/>
    </row>
    <row r="81" spans="1:25">
      <c r="A81" s="71">
        <v>800</v>
      </c>
      <c r="B81" s="71">
        <v>350</v>
      </c>
      <c r="C81" s="71"/>
      <c r="D81" s="71">
        <f t="shared" si="19"/>
        <v>3</v>
      </c>
      <c r="E81" s="72"/>
      <c r="F81" s="73">
        <f t="shared" si="20"/>
        <v>0</v>
      </c>
      <c r="G81" s="72">
        <f t="shared" si="21"/>
        <v>0</v>
      </c>
      <c r="H81" s="73">
        <v>0</v>
      </c>
      <c r="I81" s="73">
        <f t="shared" si="22"/>
        <v>0</v>
      </c>
      <c r="J81" s="73">
        <f t="shared" si="23"/>
        <v>0</v>
      </c>
      <c r="K81" s="73">
        <f t="shared" si="24"/>
        <v>0</v>
      </c>
      <c r="L81" s="74">
        <f>'BUSBAR 2013'!$F$18</f>
        <v>0</v>
      </c>
      <c r="M81" s="73"/>
      <c r="N81" s="73">
        <f t="shared" si="25"/>
        <v>0</v>
      </c>
      <c r="O81" s="73"/>
      <c r="P81" s="73"/>
      <c r="Q81" s="73"/>
      <c r="R81" s="73"/>
      <c r="S81" s="73"/>
      <c r="T81" s="73">
        <f t="shared" si="26"/>
        <v>0</v>
      </c>
      <c r="U81" s="73"/>
      <c r="V81" s="73"/>
      <c r="W81" s="73"/>
      <c r="X81" s="73"/>
      <c r="Y81" s="73"/>
    </row>
    <row r="82" spans="1:25">
      <c r="A82" s="71">
        <v>1000</v>
      </c>
      <c r="B82" s="71">
        <v>350</v>
      </c>
      <c r="C82" s="71"/>
      <c r="D82" s="71">
        <f t="shared" si="19"/>
        <v>3</v>
      </c>
      <c r="E82" s="72"/>
      <c r="F82" s="73">
        <f t="shared" si="20"/>
        <v>0</v>
      </c>
      <c r="G82" s="72">
        <f t="shared" si="21"/>
        <v>0</v>
      </c>
      <c r="H82" s="73">
        <v>0</v>
      </c>
      <c r="I82" s="73">
        <f t="shared" si="22"/>
        <v>0</v>
      </c>
      <c r="J82" s="73">
        <f t="shared" si="23"/>
        <v>0</v>
      </c>
      <c r="K82" s="73">
        <f t="shared" si="24"/>
        <v>0</v>
      </c>
      <c r="L82" s="74">
        <f>'BUSBAR 2013'!$G$18</f>
        <v>0</v>
      </c>
      <c r="M82" s="73"/>
      <c r="N82" s="73">
        <f t="shared" si="25"/>
        <v>0</v>
      </c>
      <c r="O82" s="73"/>
      <c r="P82" s="73"/>
      <c r="Q82" s="73"/>
      <c r="R82" s="73"/>
      <c r="S82" s="73"/>
      <c r="T82" s="73">
        <f t="shared" si="26"/>
        <v>0</v>
      </c>
      <c r="U82" s="73"/>
      <c r="V82" s="73"/>
      <c r="W82" s="73"/>
      <c r="X82" s="73"/>
      <c r="Y82" s="73"/>
    </row>
    <row r="83" spans="1:25">
      <c r="A83" s="71">
        <v>1200</v>
      </c>
      <c r="B83" s="71">
        <v>480</v>
      </c>
      <c r="C83" s="71"/>
      <c r="D83" s="71">
        <f t="shared" si="19"/>
        <v>3</v>
      </c>
      <c r="E83" s="72"/>
      <c r="F83" s="73">
        <f t="shared" si="20"/>
        <v>0</v>
      </c>
      <c r="G83" s="72">
        <f t="shared" si="21"/>
        <v>0</v>
      </c>
      <c r="H83" s="73">
        <v>0</v>
      </c>
      <c r="I83" s="73">
        <f t="shared" si="22"/>
        <v>0</v>
      </c>
      <c r="J83" s="73">
        <f t="shared" si="23"/>
        <v>0</v>
      </c>
      <c r="K83" s="73">
        <f t="shared" si="24"/>
        <v>0</v>
      </c>
      <c r="L83" s="74">
        <f>'BUSBAR 2013'!$H$18</f>
        <v>0</v>
      </c>
      <c r="M83" s="73"/>
      <c r="N83" s="73">
        <f t="shared" si="25"/>
        <v>0</v>
      </c>
      <c r="O83" s="73"/>
      <c r="P83" s="73"/>
      <c r="Q83" s="73"/>
      <c r="R83" s="73"/>
      <c r="S83" s="73"/>
      <c r="T83" s="73">
        <f t="shared" si="26"/>
        <v>0</v>
      </c>
      <c r="U83" s="73"/>
      <c r="V83" s="73"/>
      <c r="W83" s="73"/>
      <c r="X83" s="73"/>
      <c r="Y83" s="73"/>
    </row>
    <row r="84" spans="1:25">
      <c r="A84" s="71">
        <v>1250</v>
      </c>
      <c r="B84" s="71">
        <v>480</v>
      </c>
      <c r="C84" s="71"/>
      <c r="D84" s="71">
        <f t="shared" si="19"/>
        <v>3</v>
      </c>
      <c r="E84" s="72"/>
      <c r="F84" s="73">
        <f t="shared" si="20"/>
        <v>43.574400000000004</v>
      </c>
      <c r="G84" s="72">
        <f t="shared" si="21"/>
        <v>1.0944</v>
      </c>
      <c r="H84" s="73">
        <v>0</v>
      </c>
      <c r="I84" s="73">
        <f t="shared" si="22"/>
        <v>1140.748161408</v>
      </c>
      <c r="J84" s="73">
        <f t="shared" si="23"/>
        <v>32.733089280000002</v>
      </c>
      <c r="K84" s="73">
        <f t="shared" si="24"/>
        <v>383.04</v>
      </c>
      <c r="L84" s="74">
        <f>'BUSBAR 2013'!$I$18</f>
        <v>4</v>
      </c>
      <c r="M84" s="73"/>
      <c r="N84" s="73">
        <f t="shared" si="25"/>
        <v>43.574400000000004</v>
      </c>
      <c r="O84" s="73"/>
      <c r="P84" s="73"/>
      <c r="Q84" s="73"/>
      <c r="R84" s="73"/>
      <c r="S84" s="73"/>
      <c r="T84" s="73">
        <f t="shared" si="26"/>
        <v>1.0944</v>
      </c>
      <c r="U84" s="73"/>
      <c r="V84" s="73"/>
      <c r="W84" s="73"/>
      <c r="X84" s="73"/>
      <c r="Y84" s="73"/>
    </row>
    <row r="85" spans="1:25">
      <c r="A85" s="71">
        <v>1600</v>
      </c>
      <c r="B85" s="71">
        <v>480</v>
      </c>
      <c r="C85" s="71"/>
      <c r="D85" s="71">
        <f t="shared" si="19"/>
        <v>3</v>
      </c>
      <c r="E85" s="72"/>
      <c r="F85" s="73">
        <f t="shared" si="20"/>
        <v>0</v>
      </c>
      <c r="G85" s="72">
        <f t="shared" si="21"/>
        <v>0</v>
      </c>
      <c r="H85" s="73">
        <v>0</v>
      </c>
      <c r="I85" s="73">
        <f t="shared" si="22"/>
        <v>0</v>
      </c>
      <c r="J85" s="73">
        <f t="shared" si="23"/>
        <v>0</v>
      </c>
      <c r="K85" s="73">
        <f t="shared" si="24"/>
        <v>0</v>
      </c>
      <c r="L85" s="74">
        <f>'BUSBAR 2013'!$J$18</f>
        <v>0</v>
      </c>
      <c r="M85" s="73"/>
      <c r="N85" s="73">
        <f t="shared" si="25"/>
        <v>0</v>
      </c>
      <c r="O85" s="73"/>
      <c r="P85" s="73"/>
      <c r="Q85" s="73"/>
      <c r="R85" s="73"/>
      <c r="S85" s="73"/>
      <c r="T85" s="73">
        <f t="shared" si="26"/>
        <v>0</v>
      </c>
      <c r="U85" s="73"/>
      <c r="V85" s="73"/>
      <c r="W85" s="73"/>
      <c r="X85" s="73"/>
      <c r="Y85" s="73"/>
    </row>
    <row r="86" spans="1:25">
      <c r="A86" s="71">
        <v>2000</v>
      </c>
      <c r="B86" s="71">
        <v>480</v>
      </c>
      <c r="C86" s="71"/>
      <c r="D86" s="71">
        <f t="shared" si="19"/>
        <v>3</v>
      </c>
      <c r="E86" s="72"/>
      <c r="F86" s="73">
        <f t="shared" si="20"/>
        <v>0</v>
      </c>
      <c r="G86" s="72">
        <f t="shared" si="21"/>
        <v>0</v>
      </c>
      <c r="H86" s="73">
        <v>0</v>
      </c>
      <c r="I86" s="73">
        <f t="shared" si="22"/>
        <v>0</v>
      </c>
      <c r="J86" s="73">
        <f t="shared" si="23"/>
        <v>0</v>
      </c>
      <c r="K86" s="73">
        <f t="shared" si="24"/>
        <v>0</v>
      </c>
      <c r="L86" s="74">
        <f>'BUSBAR 2013'!$K$18</f>
        <v>0</v>
      </c>
      <c r="M86" s="73"/>
      <c r="N86" s="73">
        <f t="shared" si="25"/>
        <v>0</v>
      </c>
      <c r="O86" s="73"/>
      <c r="P86" s="73"/>
      <c r="Q86" s="73"/>
      <c r="R86" s="73"/>
      <c r="S86" s="73"/>
      <c r="T86" s="73">
        <f t="shared" si="26"/>
        <v>0</v>
      </c>
      <c r="U86" s="73"/>
      <c r="V86" s="73"/>
      <c r="W86" s="73"/>
      <c r="X86" s="73"/>
      <c r="Y86" s="73"/>
    </row>
    <row r="87" spans="1:25">
      <c r="A87" s="71">
        <v>2500</v>
      </c>
      <c r="B87" s="71">
        <v>620</v>
      </c>
      <c r="C87" s="71"/>
      <c r="D87" s="71">
        <f t="shared" si="19"/>
        <v>3</v>
      </c>
      <c r="E87" s="72"/>
      <c r="F87" s="73">
        <f t="shared" si="20"/>
        <v>0</v>
      </c>
      <c r="G87" s="72">
        <f t="shared" si="21"/>
        <v>0</v>
      </c>
      <c r="H87" s="73">
        <v>0</v>
      </c>
      <c r="I87" s="73">
        <f t="shared" si="22"/>
        <v>0</v>
      </c>
      <c r="J87" s="73">
        <f t="shared" si="23"/>
        <v>0</v>
      </c>
      <c r="K87" s="73">
        <f t="shared" si="24"/>
        <v>0</v>
      </c>
      <c r="L87" s="74">
        <f>'BUSBAR 2013'!$L$18</f>
        <v>0</v>
      </c>
      <c r="M87" s="73"/>
      <c r="N87" s="73">
        <f t="shared" si="25"/>
        <v>0</v>
      </c>
      <c r="O87" s="73"/>
      <c r="P87" s="73"/>
      <c r="Q87" s="73"/>
      <c r="R87" s="73"/>
      <c r="S87" s="73"/>
      <c r="T87" s="73">
        <f t="shared" si="26"/>
        <v>0</v>
      </c>
      <c r="U87" s="73"/>
      <c r="V87" s="73"/>
      <c r="W87" s="73"/>
      <c r="X87" s="73"/>
      <c r="Y87" s="73"/>
    </row>
    <row r="88" spans="1:25">
      <c r="A88" s="71">
        <v>3000</v>
      </c>
      <c r="B88" s="71">
        <v>620</v>
      </c>
      <c r="C88" s="71"/>
      <c r="D88" s="71">
        <f t="shared" si="19"/>
        <v>3</v>
      </c>
      <c r="E88" s="72"/>
      <c r="F88" s="73">
        <f t="shared" si="20"/>
        <v>0</v>
      </c>
      <c r="G88" s="72">
        <f t="shared" si="21"/>
        <v>0</v>
      </c>
      <c r="H88" s="73">
        <v>0</v>
      </c>
      <c r="I88" s="73">
        <f t="shared" si="22"/>
        <v>0</v>
      </c>
      <c r="J88" s="73">
        <f t="shared" si="23"/>
        <v>0</v>
      </c>
      <c r="K88" s="73">
        <f t="shared" si="24"/>
        <v>0</v>
      </c>
      <c r="L88" s="74">
        <f>'BUSBAR 2013'!$M$18</f>
        <v>0</v>
      </c>
      <c r="M88" s="73"/>
      <c r="N88" s="73">
        <f t="shared" si="25"/>
        <v>0</v>
      </c>
      <c r="O88" s="73"/>
      <c r="P88" s="73"/>
      <c r="Q88" s="73"/>
      <c r="R88" s="73"/>
      <c r="S88" s="73"/>
      <c r="T88" s="73">
        <f t="shared" si="26"/>
        <v>0</v>
      </c>
      <c r="U88" s="73"/>
      <c r="V88" s="73"/>
      <c r="W88" s="73"/>
      <c r="X88" s="73"/>
      <c r="Y88" s="73"/>
    </row>
    <row r="89" spans="1:25">
      <c r="A89" s="71">
        <v>3200</v>
      </c>
      <c r="B89" s="71">
        <v>950</v>
      </c>
      <c r="C89" s="71"/>
      <c r="D89" s="71">
        <f t="shared" si="19"/>
        <v>3</v>
      </c>
      <c r="E89" s="72"/>
      <c r="F89" s="73">
        <f t="shared" si="20"/>
        <v>0</v>
      </c>
      <c r="G89" s="72">
        <f t="shared" si="21"/>
        <v>0</v>
      </c>
      <c r="H89" s="73">
        <v>0</v>
      </c>
      <c r="I89" s="73">
        <f t="shared" si="22"/>
        <v>0</v>
      </c>
      <c r="J89" s="73">
        <f t="shared" si="23"/>
        <v>0</v>
      </c>
      <c r="K89" s="73">
        <f t="shared" si="24"/>
        <v>0</v>
      </c>
      <c r="L89" s="74">
        <f>'BUSBAR 2013'!$N$18</f>
        <v>0</v>
      </c>
      <c r="M89" s="73"/>
      <c r="N89" s="73">
        <f t="shared" si="25"/>
        <v>0</v>
      </c>
      <c r="O89" s="73"/>
      <c r="P89" s="73"/>
      <c r="Q89" s="73"/>
      <c r="R89" s="73"/>
      <c r="S89" s="73"/>
      <c r="T89" s="73">
        <f t="shared" si="26"/>
        <v>0</v>
      </c>
      <c r="U89" s="73"/>
      <c r="V89" s="73"/>
      <c r="W89" s="73"/>
      <c r="X89" s="73"/>
      <c r="Y89" s="73"/>
    </row>
    <row r="90" spans="1:25">
      <c r="A90" s="71">
        <v>4000</v>
      </c>
      <c r="B90" s="71">
        <v>950</v>
      </c>
      <c r="C90" s="71"/>
      <c r="D90" s="71">
        <f t="shared" si="19"/>
        <v>3</v>
      </c>
      <c r="E90" s="72"/>
      <c r="F90" s="73">
        <f t="shared" si="20"/>
        <v>76.095000000000013</v>
      </c>
      <c r="G90" s="72">
        <f t="shared" si="21"/>
        <v>1.881</v>
      </c>
      <c r="H90" s="73">
        <v>0</v>
      </c>
      <c r="I90" s="73">
        <f t="shared" si="22"/>
        <v>1992.1153554000002</v>
      </c>
      <c r="J90" s="73">
        <f t="shared" si="23"/>
        <v>57.16256400000001</v>
      </c>
      <c r="K90" s="73">
        <f t="shared" si="24"/>
        <v>658.35</v>
      </c>
      <c r="L90" s="74">
        <f>'BUSBAR 2013'!$O$18</f>
        <v>1</v>
      </c>
      <c r="M90" s="73"/>
      <c r="N90" s="73">
        <f t="shared" si="25"/>
        <v>76.095000000000013</v>
      </c>
      <c r="O90" s="73"/>
      <c r="P90" s="73"/>
      <c r="Q90" s="73"/>
      <c r="R90" s="73"/>
      <c r="S90" s="73"/>
      <c r="T90" s="73">
        <f t="shared" si="26"/>
        <v>1.881</v>
      </c>
      <c r="U90" s="73"/>
      <c r="V90" s="73"/>
      <c r="W90" s="73"/>
      <c r="X90" s="73"/>
      <c r="Y90" s="73"/>
    </row>
    <row r="91" spans="1:25">
      <c r="A91" s="71">
        <v>5000</v>
      </c>
      <c r="B91" s="71">
        <v>1100</v>
      </c>
      <c r="C91" s="71"/>
      <c r="D91" s="71">
        <f t="shared" si="19"/>
        <v>3</v>
      </c>
      <c r="E91" s="72"/>
      <c r="F91" s="73">
        <f t="shared" si="20"/>
        <v>0</v>
      </c>
      <c r="G91" s="72">
        <f t="shared" si="21"/>
        <v>0</v>
      </c>
      <c r="H91" s="73">
        <v>0</v>
      </c>
      <c r="I91" s="73">
        <f t="shared" si="22"/>
        <v>0</v>
      </c>
      <c r="J91" s="73">
        <f t="shared" si="23"/>
        <v>0</v>
      </c>
      <c r="K91" s="73">
        <f t="shared" si="24"/>
        <v>0</v>
      </c>
      <c r="L91" s="74">
        <f>'BUSBAR 2013'!$P$18</f>
        <v>0</v>
      </c>
      <c r="M91" s="73"/>
      <c r="N91" s="73">
        <f t="shared" si="25"/>
        <v>0</v>
      </c>
      <c r="O91" s="73"/>
      <c r="P91" s="73"/>
      <c r="Q91" s="73"/>
      <c r="R91" s="73"/>
      <c r="S91" s="73"/>
      <c r="T91" s="73">
        <f t="shared" si="26"/>
        <v>0</v>
      </c>
      <c r="U91" s="73"/>
      <c r="V91" s="73"/>
      <c r="W91" s="73"/>
      <c r="X91" s="73"/>
      <c r="Y91" s="73"/>
    </row>
    <row r="92" spans="1:25">
      <c r="A92" s="71">
        <v>6300</v>
      </c>
      <c r="B92" s="71">
        <v>1100</v>
      </c>
      <c r="C92" s="71"/>
      <c r="D92" s="71">
        <f t="shared" si="19"/>
        <v>3</v>
      </c>
      <c r="E92" s="72"/>
      <c r="F92" s="73">
        <f t="shared" si="20"/>
        <v>0</v>
      </c>
      <c r="G92" s="72">
        <f t="shared" si="21"/>
        <v>0</v>
      </c>
      <c r="H92" s="73">
        <v>0</v>
      </c>
      <c r="I92" s="73">
        <f t="shared" si="22"/>
        <v>0</v>
      </c>
      <c r="J92" s="73">
        <f t="shared" si="23"/>
        <v>0</v>
      </c>
      <c r="K92" s="73">
        <f t="shared" si="24"/>
        <v>0</v>
      </c>
      <c r="L92" s="74">
        <f>'BUSBAR 2013'!$Q$18</f>
        <v>0</v>
      </c>
      <c r="M92" s="73"/>
      <c r="N92" s="73">
        <f t="shared" si="25"/>
        <v>0</v>
      </c>
      <c r="O92" s="73"/>
      <c r="P92" s="73"/>
      <c r="Q92" s="73"/>
      <c r="R92" s="73"/>
      <c r="S92" s="73"/>
      <c r="T92" s="73">
        <f t="shared" si="26"/>
        <v>0</v>
      </c>
      <c r="U92" s="73"/>
      <c r="V92" s="73"/>
      <c r="W92" s="73"/>
      <c r="X92" s="73"/>
      <c r="Y92" s="73"/>
    </row>
    <row r="93" spans="1:25" ht="12.75" thickBot="1">
      <c r="T93" s="103"/>
      <c r="U93" s="103"/>
      <c r="V93" s="103"/>
      <c r="W93" s="103"/>
      <c r="X93" s="103"/>
      <c r="Y93" s="103"/>
    </row>
    <row r="94" spans="1:25" ht="21.75" customHeight="1" thickBot="1">
      <c r="G94" s="108">
        <f>SUM(G77:G93)</f>
        <v>2.9754</v>
      </c>
      <c r="H94" s="109">
        <f t="shared" ref="H94:J94" si="27">SUM(H77:H93)</f>
        <v>0</v>
      </c>
      <c r="I94" s="109">
        <f t="shared" si="27"/>
        <v>3132.863516808</v>
      </c>
      <c r="J94" s="109">
        <f t="shared" si="27"/>
        <v>89.895653280000005</v>
      </c>
      <c r="K94" s="109">
        <f>SUM(K77:K93)</f>
        <v>1041.3900000000001</v>
      </c>
      <c r="L94" s="109"/>
      <c r="M94" s="110"/>
      <c r="O94" s="75"/>
      <c r="T94" s="103"/>
      <c r="U94" s="103"/>
      <c r="V94" s="103"/>
      <c r="W94" s="103"/>
      <c r="X94" s="103"/>
      <c r="Y94" s="103"/>
    </row>
    <row r="95" spans="1:25" ht="12.75" thickBot="1">
      <c r="T95" s="103"/>
      <c r="U95" s="103"/>
      <c r="V95" s="103"/>
      <c r="W95" s="103"/>
      <c r="X95" s="103"/>
      <c r="Y95" s="103"/>
    </row>
    <row r="96" spans="1:25" s="68" customFormat="1" ht="21.75" customHeight="1" thickBot="1">
      <c r="A96" s="502" t="s">
        <v>72</v>
      </c>
      <c r="B96" s="503"/>
      <c r="C96" s="503"/>
      <c r="D96" s="503"/>
      <c r="E96" s="503"/>
      <c r="F96" s="503"/>
      <c r="G96" s="503"/>
      <c r="H96" s="503"/>
      <c r="I96" s="503"/>
      <c r="J96" s="503"/>
      <c r="K96" s="503"/>
      <c r="L96" s="503"/>
      <c r="M96" s="503"/>
      <c r="N96" s="503"/>
      <c r="O96" s="503"/>
      <c r="P96" s="503"/>
      <c r="Q96" s="503"/>
      <c r="R96" s="504"/>
      <c r="T96" s="103"/>
      <c r="U96" s="103"/>
      <c r="V96" s="103"/>
      <c r="W96" s="103"/>
      <c r="X96" s="103"/>
      <c r="Y96" s="103"/>
    </row>
    <row r="97" spans="1:25" ht="22.5" customHeight="1" thickBot="1">
      <c r="A97" s="69" t="s">
        <v>26</v>
      </c>
      <c r="B97" s="69" t="s">
        <v>20</v>
      </c>
      <c r="C97" s="69"/>
      <c r="D97" s="69" t="s">
        <v>64</v>
      </c>
      <c r="E97" s="69"/>
      <c r="F97" s="69" t="s">
        <v>76</v>
      </c>
      <c r="G97" s="69" t="s">
        <v>413</v>
      </c>
      <c r="H97" s="69" t="s">
        <v>410</v>
      </c>
      <c r="I97" s="69" t="s">
        <v>192</v>
      </c>
      <c r="J97" s="69" t="s">
        <v>411</v>
      </c>
      <c r="K97" s="69" t="s">
        <v>412</v>
      </c>
      <c r="L97" s="69" t="s">
        <v>87</v>
      </c>
      <c r="M97" s="69"/>
      <c r="N97" s="113" t="s">
        <v>365</v>
      </c>
      <c r="O97" s="114" t="s">
        <v>366</v>
      </c>
      <c r="P97" s="114" t="s">
        <v>367</v>
      </c>
      <c r="Q97" s="114" t="s">
        <v>368</v>
      </c>
      <c r="R97" s="114" t="s">
        <v>369</v>
      </c>
      <c r="S97" s="114" t="s">
        <v>370</v>
      </c>
      <c r="T97" s="113" t="s">
        <v>371</v>
      </c>
      <c r="U97" s="114" t="s">
        <v>372</v>
      </c>
      <c r="V97" s="114" t="s">
        <v>373</v>
      </c>
      <c r="W97" s="114" t="s">
        <v>374</v>
      </c>
      <c r="X97" s="114" t="s">
        <v>375</v>
      </c>
      <c r="Y97" s="114" t="s">
        <v>376</v>
      </c>
    </row>
    <row r="98" spans="1:25">
      <c r="A98" s="71">
        <v>250</v>
      </c>
      <c r="B98" s="71">
        <v>700</v>
      </c>
      <c r="C98" s="71"/>
      <c r="D98" s="71">
        <f t="shared" ref="D98:D101" si="28">$M$4</f>
        <v>3</v>
      </c>
      <c r="E98" s="72"/>
      <c r="F98" s="73">
        <f t="shared" ref="F98:F101" si="29">SUM(N98:S98)</f>
        <v>0</v>
      </c>
      <c r="G98" s="72">
        <f t="shared" ref="G98:G101" si="30">SUM(T98:Y98)</f>
        <v>0</v>
      </c>
      <c r="H98" s="73">
        <v>0</v>
      </c>
      <c r="I98" s="73">
        <f t="shared" ref="I98:I101" si="31">($A$2*F98)</f>
        <v>0</v>
      </c>
      <c r="J98" s="73">
        <f>(F98*$C$2)</f>
        <v>0</v>
      </c>
      <c r="K98" s="73">
        <f>(G98*$E$2)</f>
        <v>0</v>
      </c>
      <c r="L98" s="74">
        <f>'BUSBAR 2013'!$B$22</f>
        <v>0</v>
      </c>
      <c r="M98" s="73"/>
      <c r="N98" s="73">
        <f t="shared" ref="N98:N101" si="32">IF($K$4=1,VLOOKUP(A98,Table_Old,13,0)*$M$4*B98*L98*(8.9/1000000),VLOOKUP(A98,Table_New,13,0)*$M$4*B98*L98*(8.9/1000000))</f>
        <v>0</v>
      </c>
      <c r="O98" s="73"/>
      <c r="P98" s="73"/>
      <c r="Q98" s="73"/>
      <c r="R98" s="73"/>
      <c r="S98" s="73"/>
      <c r="T98" s="73">
        <f t="shared" ref="T98:T101" si="33">IF($K$4=1,VLOOKUP(A98,Table_Old,19,0)*$M$4*B98*L98/1000000,VLOOKUP(A98,Table_New,19,0)*$M$4*B98*L98/1000000)</f>
        <v>0</v>
      </c>
      <c r="U98" s="73"/>
      <c r="V98" s="73"/>
      <c r="W98" s="73"/>
      <c r="X98" s="73"/>
      <c r="Y98" s="73"/>
    </row>
    <row r="99" spans="1:25">
      <c r="A99" s="77">
        <f>A98</f>
        <v>250</v>
      </c>
      <c r="B99" s="71">
        <v>900</v>
      </c>
      <c r="C99" s="71"/>
      <c r="D99" s="71">
        <f t="shared" si="28"/>
        <v>3</v>
      </c>
      <c r="E99" s="72"/>
      <c r="F99" s="73">
        <f t="shared" si="29"/>
        <v>4.8060000000000009</v>
      </c>
      <c r="G99" s="72">
        <f t="shared" si="30"/>
        <v>0.16200000000000001</v>
      </c>
      <c r="H99" s="73">
        <v>0</v>
      </c>
      <c r="I99" s="73">
        <f t="shared" si="31"/>
        <v>125.81781192000001</v>
      </c>
      <c r="J99" s="73">
        <f t="shared" ref="J99:J101" si="34">(F99*$C$2)</f>
        <v>3.6102672000000005</v>
      </c>
      <c r="K99" s="73">
        <f t="shared" ref="K99:K101" si="35">(G99*$E$2)</f>
        <v>56.7</v>
      </c>
      <c r="L99" s="74">
        <f>'BUSBAR 2013'!$B$23</f>
        <v>1</v>
      </c>
      <c r="M99" s="73"/>
      <c r="N99" s="73">
        <f t="shared" si="32"/>
        <v>4.8060000000000009</v>
      </c>
      <c r="O99" s="73"/>
      <c r="P99" s="73"/>
      <c r="Q99" s="73"/>
      <c r="R99" s="73"/>
      <c r="S99" s="73"/>
      <c r="T99" s="73">
        <f t="shared" si="33"/>
        <v>0.16200000000000001</v>
      </c>
      <c r="U99" s="73"/>
      <c r="V99" s="73"/>
      <c r="W99" s="73"/>
      <c r="X99" s="73"/>
      <c r="Y99" s="73"/>
    </row>
    <row r="100" spans="1:25">
      <c r="A100" s="77">
        <f>A98</f>
        <v>250</v>
      </c>
      <c r="B100" s="71">
        <v>1200</v>
      </c>
      <c r="C100" s="71"/>
      <c r="D100" s="71">
        <f t="shared" si="28"/>
        <v>3</v>
      </c>
      <c r="E100" s="72"/>
      <c r="F100" s="73">
        <f t="shared" si="29"/>
        <v>0</v>
      </c>
      <c r="G100" s="72">
        <f t="shared" si="30"/>
        <v>0</v>
      </c>
      <c r="H100" s="73">
        <v>0</v>
      </c>
      <c r="I100" s="73">
        <f t="shared" si="31"/>
        <v>0</v>
      </c>
      <c r="J100" s="73">
        <f t="shared" si="34"/>
        <v>0</v>
      </c>
      <c r="K100" s="73">
        <f t="shared" si="35"/>
        <v>0</v>
      </c>
      <c r="L100" s="74">
        <f>'BUSBAR 2013'!$B$24</f>
        <v>0</v>
      </c>
      <c r="M100" s="73"/>
      <c r="N100" s="73">
        <f t="shared" si="32"/>
        <v>0</v>
      </c>
      <c r="O100" s="73"/>
      <c r="P100" s="73"/>
      <c r="Q100" s="73"/>
      <c r="R100" s="73"/>
      <c r="S100" s="73"/>
      <c r="T100" s="73">
        <f t="shared" si="33"/>
        <v>0</v>
      </c>
      <c r="U100" s="73"/>
      <c r="V100" s="73"/>
      <c r="W100" s="73"/>
      <c r="X100" s="73"/>
      <c r="Y100" s="73"/>
    </row>
    <row r="101" spans="1:25">
      <c r="A101" s="77">
        <f>A98</f>
        <v>250</v>
      </c>
      <c r="B101" s="71">
        <v>1350</v>
      </c>
      <c r="C101" s="71"/>
      <c r="D101" s="71">
        <f t="shared" si="28"/>
        <v>3</v>
      </c>
      <c r="E101" s="72"/>
      <c r="F101" s="73">
        <f t="shared" si="29"/>
        <v>0</v>
      </c>
      <c r="G101" s="72">
        <f t="shared" si="30"/>
        <v>0</v>
      </c>
      <c r="H101" s="73">
        <v>0</v>
      </c>
      <c r="I101" s="73">
        <f t="shared" si="31"/>
        <v>0</v>
      </c>
      <c r="J101" s="73">
        <f t="shared" si="34"/>
        <v>0</v>
      </c>
      <c r="K101" s="73">
        <f t="shared" si="35"/>
        <v>0</v>
      </c>
      <c r="L101" s="74">
        <f>'BUSBAR 2013'!$B$25</f>
        <v>0</v>
      </c>
      <c r="M101" s="73"/>
      <c r="N101" s="73">
        <f t="shared" si="32"/>
        <v>0</v>
      </c>
      <c r="O101" s="73"/>
      <c r="P101" s="73"/>
      <c r="Q101" s="73"/>
      <c r="R101" s="73"/>
      <c r="S101" s="73"/>
      <c r="T101" s="73">
        <f t="shared" si="33"/>
        <v>0</v>
      </c>
      <c r="U101" s="73"/>
      <c r="V101" s="73"/>
      <c r="W101" s="73"/>
      <c r="X101" s="73"/>
      <c r="Y101" s="73"/>
    </row>
    <row r="102" spans="1:25">
      <c r="A102" s="71">
        <v>400</v>
      </c>
      <c r="B102" s="71">
        <v>700</v>
      </c>
      <c r="C102" s="71"/>
      <c r="D102" s="71">
        <f t="shared" ref="D102:D158" si="36">$M$4</f>
        <v>3</v>
      </c>
      <c r="E102" s="72"/>
      <c r="F102" s="73">
        <f t="shared" ref="F102:F158" si="37">SUM(N102:S102)</f>
        <v>0</v>
      </c>
      <c r="G102" s="72">
        <f t="shared" ref="G102:G158" si="38">SUM(T102:Y102)</f>
        <v>0</v>
      </c>
      <c r="H102" s="73">
        <v>0</v>
      </c>
      <c r="I102" s="73">
        <f t="shared" ref="I102:I158" si="39">($A$2*F102)</f>
        <v>0</v>
      </c>
      <c r="J102" s="73">
        <f>(F102*$C$2)</f>
        <v>0</v>
      </c>
      <c r="K102" s="73">
        <f>(G102*$E$2)</f>
        <v>0</v>
      </c>
      <c r="L102" s="74">
        <f>'BUSBAR 2013'!$C$22</f>
        <v>0</v>
      </c>
      <c r="M102" s="73"/>
      <c r="N102" s="73">
        <f t="shared" ref="N102:N133" si="40">IF($K$4=1,VLOOKUP(A102,Table_Old,13,0)*$M$4*B102*L102*(8.9/1000000),VLOOKUP(A102,Table_New,13,0)*$M$4*B102*L102*(8.9/1000000))</f>
        <v>0</v>
      </c>
      <c r="O102" s="73"/>
      <c r="P102" s="73"/>
      <c r="Q102" s="73"/>
      <c r="R102" s="73"/>
      <c r="S102" s="73"/>
      <c r="T102" s="73">
        <f t="shared" ref="T102:T133" si="41">IF($K$4=1,VLOOKUP(A102,Table_Old,19,0)*$M$4*B102*L102/1000000,VLOOKUP(A102,Table_New,19,0)*$M$4*B102*L102/1000000)</f>
        <v>0</v>
      </c>
      <c r="U102" s="73"/>
      <c r="V102" s="73"/>
      <c r="W102" s="73"/>
      <c r="X102" s="73"/>
      <c r="Y102" s="73"/>
    </row>
    <row r="103" spans="1:25">
      <c r="A103" s="77">
        <f>A102</f>
        <v>400</v>
      </c>
      <c r="B103" s="71">
        <v>900</v>
      </c>
      <c r="C103" s="71"/>
      <c r="D103" s="71">
        <f t="shared" si="36"/>
        <v>3</v>
      </c>
      <c r="E103" s="72"/>
      <c r="F103" s="73">
        <f t="shared" si="37"/>
        <v>0</v>
      </c>
      <c r="G103" s="72">
        <f t="shared" si="38"/>
        <v>0</v>
      </c>
      <c r="H103" s="73">
        <v>0</v>
      </c>
      <c r="I103" s="73">
        <f t="shared" si="39"/>
        <v>0</v>
      </c>
      <c r="J103" s="73">
        <f t="shared" ref="J103:J158" si="42">(F103*$C$2)</f>
        <v>0</v>
      </c>
      <c r="K103" s="73">
        <f t="shared" ref="K103:K158" si="43">(G103*$E$2)</f>
        <v>0</v>
      </c>
      <c r="L103" s="74">
        <f>'BUSBAR 2013'!$C$23</f>
        <v>0</v>
      </c>
      <c r="M103" s="73"/>
      <c r="N103" s="73">
        <f t="shared" si="40"/>
        <v>0</v>
      </c>
      <c r="O103" s="73"/>
      <c r="P103" s="73"/>
      <c r="Q103" s="73"/>
      <c r="R103" s="73"/>
      <c r="S103" s="73"/>
      <c r="T103" s="73">
        <f t="shared" si="41"/>
        <v>0</v>
      </c>
      <c r="U103" s="73"/>
      <c r="V103" s="73"/>
      <c r="W103" s="73"/>
      <c r="X103" s="73"/>
      <c r="Y103" s="73"/>
    </row>
    <row r="104" spans="1:25">
      <c r="A104" s="77">
        <f>A102</f>
        <v>400</v>
      </c>
      <c r="B104" s="71">
        <v>1200</v>
      </c>
      <c r="C104" s="71"/>
      <c r="D104" s="71">
        <f t="shared" si="36"/>
        <v>3</v>
      </c>
      <c r="E104" s="72"/>
      <c r="F104" s="73">
        <f t="shared" si="37"/>
        <v>0</v>
      </c>
      <c r="G104" s="72">
        <f t="shared" si="38"/>
        <v>0</v>
      </c>
      <c r="H104" s="73">
        <v>0</v>
      </c>
      <c r="I104" s="73">
        <f t="shared" si="39"/>
        <v>0</v>
      </c>
      <c r="J104" s="73">
        <f t="shared" si="42"/>
        <v>0</v>
      </c>
      <c r="K104" s="73">
        <f t="shared" si="43"/>
        <v>0</v>
      </c>
      <c r="L104" s="74">
        <f>'BUSBAR 2013'!$C$24</f>
        <v>0</v>
      </c>
      <c r="M104" s="73"/>
      <c r="N104" s="73">
        <f t="shared" si="40"/>
        <v>0</v>
      </c>
      <c r="O104" s="73"/>
      <c r="P104" s="73"/>
      <c r="Q104" s="73"/>
      <c r="R104" s="73"/>
      <c r="S104" s="73"/>
      <c r="T104" s="73">
        <f t="shared" si="41"/>
        <v>0</v>
      </c>
      <c r="U104" s="73"/>
      <c r="V104" s="73"/>
      <c r="W104" s="73"/>
      <c r="X104" s="73"/>
      <c r="Y104" s="73"/>
    </row>
    <row r="105" spans="1:25">
      <c r="A105" s="77">
        <f>A102</f>
        <v>400</v>
      </c>
      <c r="B105" s="71">
        <v>1350</v>
      </c>
      <c r="C105" s="71"/>
      <c r="D105" s="71">
        <f t="shared" si="36"/>
        <v>3</v>
      </c>
      <c r="E105" s="72"/>
      <c r="F105" s="73">
        <f t="shared" si="37"/>
        <v>0</v>
      </c>
      <c r="G105" s="72">
        <f t="shared" si="38"/>
        <v>0</v>
      </c>
      <c r="H105" s="73">
        <v>0</v>
      </c>
      <c r="I105" s="73">
        <f t="shared" si="39"/>
        <v>0</v>
      </c>
      <c r="J105" s="73">
        <f t="shared" si="42"/>
        <v>0</v>
      </c>
      <c r="K105" s="73">
        <f t="shared" si="43"/>
        <v>0</v>
      </c>
      <c r="L105" s="74">
        <f>'BUSBAR 2013'!$C$25</f>
        <v>0</v>
      </c>
      <c r="M105" s="73"/>
      <c r="N105" s="73">
        <f t="shared" si="40"/>
        <v>0</v>
      </c>
      <c r="O105" s="73"/>
      <c r="P105" s="73"/>
      <c r="Q105" s="73"/>
      <c r="R105" s="73"/>
      <c r="S105" s="73"/>
      <c r="T105" s="73">
        <f t="shared" si="41"/>
        <v>0</v>
      </c>
      <c r="U105" s="73"/>
      <c r="V105" s="73"/>
      <c r="W105" s="73"/>
      <c r="X105" s="73"/>
      <c r="Y105" s="73"/>
    </row>
    <row r="106" spans="1:25">
      <c r="A106" s="71">
        <v>600</v>
      </c>
      <c r="B106" s="71">
        <v>700</v>
      </c>
      <c r="C106" s="71"/>
      <c r="D106" s="71">
        <f t="shared" si="36"/>
        <v>3</v>
      </c>
      <c r="E106" s="72"/>
      <c r="F106" s="73">
        <f t="shared" si="37"/>
        <v>0</v>
      </c>
      <c r="G106" s="72">
        <f t="shared" si="38"/>
        <v>0</v>
      </c>
      <c r="H106" s="73">
        <v>0</v>
      </c>
      <c r="I106" s="73">
        <f t="shared" si="39"/>
        <v>0</v>
      </c>
      <c r="J106" s="73">
        <f t="shared" si="42"/>
        <v>0</v>
      </c>
      <c r="K106" s="73">
        <f t="shared" si="43"/>
        <v>0</v>
      </c>
      <c r="L106" s="74">
        <f>'BUSBAR 2013'!$D$22</f>
        <v>0</v>
      </c>
      <c r="M106" s="73"/>
      <c r="N106" s="73">
        <f t="shared" si="40"/>
        <v>0</v>
      </c>
      <c r="O106" s="73"/>
      <c r="P106" s="73"/>
      <c r="Q106" s="73"/>
      <c r="R106" s="73"/>
      <c r="S106" s="73"/>
      <c r="T106" s="73">
        <f t="shared" si="41"/>
        <v>0</v>
      </c>
      <c r="U106" s="73"/>
      <c r="V106" s="73"/>
      <c r="W106" s="73"/>
      <c r="X106" s="73"/>
      <c r="Y106" s="73"/>
    </row>
    <row r="107" spans="1:25">
      <c r="A107" s="77">
        <f>A106</f>
        <v>600</v>
      </c>
      <c r="B107" s="71">
        <v>900</v>
      </c>
      <c r="C107" s="71"/>
      <c r="D107" s="71">
        <f t="shared" si="36"/>
        <v>3</v>
      </c>
      <c r="E107" s="72"/>
      <c r="F107" s="73">
        <f t="shared" si="37"/>
        <v>0</v>
      </c>
      <c r="G107" s="72">
        <f t="shared" si="38"/>
        <v>0</v>
      </c>
      <c r="H107" s="73">
        <v>0</v>
      </c>
      <c r="I107" s="73">
        <f t="shared" si="39"/>
        <v>0</v>
      </c>
      <c r="J107" s="73">
        <f t="shared" si="42"/>
        <v>0</v>
      </c>
      <c r="K107" s="73">
        <f t="shared" si="43"/>
        <v>0</v>
      </c>
      <c r="L107" s="74">
        <f>'BUSBAR 2013'!$D$23</f>
        <v>0</v>
      </c>
      <c r="M107" s="73"/>
      <c r="N107" s="73">
        <f t="shared" si="40"/>
        <v>0</v>
      </c>
      <c r="O107" s="73"/>
      <c r="P107" s="73"/>
      <c r="Q107" s="73"/>
      <c r="R107" s="73"/>
      <c r="S107" s="73"/>
      <c r="T107" s="73">
        <f t="shared" si="41"/>
        <v>0</v>
      </c>
      <c r="U107" s="73"/>
      <c r="V107" s="73"/>
      <c r="W107" s="73"/>
      <c r="X107" s="73"/>
      <c r="Y107" s="73"/>
    </row>
    <row r="108" spans="1:25">
      <c r="A108" s="77">
        <f>A106</f>
        <v>600</v>
      </c>
      <c r="B108" s="71">
        <v>1200</v>
      </c>
      <c r="C108" s="71"/>
      <c r="D108" s="71">
        <f t="shared" si="36"/>
        <v>3</v>
      </c>
      <c r="E108" s="72"/>
      <c r="F108" s="73">
        <f t="shared" si="37"/>
        <v>0</v>
      </c>
      <c r="G108" s="72">
        <f t="shared" si="38"/>
        <v>0</v>
      </c>
      <c r="H108" s="73">
        <v>0</v>
      </c>
      <c r="I108" s="73">
        <f t="shared" si="39"/>
        <v>0</v>
      </c>
      <c r="J108" s="73">
        <f t="shared" si="42"/>
        <v>0</v>
      </c>
      <c r="K108" s="73">
        <f t="shared" si="43"/>
        <v>0</v>
      </c>
      <c r="L108" s="74">
        <f>'BUSBAR 2013'!$D$24</f>
        <v>0</v>
      </c>
      <c r="M108" s="73"/>
      <c r="N108" s="73">
        <f t="shared" si="40"/>
        <v>0</v>
      </c>
      <c r="O108" s="73"/>
      <c r="P108" s="73"/>
      <c r="Q108" s="73"/>
      <c r="R108" s="73"/>
      <c r="S108" s="73"/>
      <c r="T108" s="73">
        <f t="shared" si="41"/>
        <v>0</v>
      </c>
      <c r="U108" s="73"/>
      <c r="V108" s="73"/>
      <c r="W108" s="73"/>
      <c r="X108" s="73"/>
      <c r="Y108" s="73"/>
    </row>
    <row r="109" spans="1:25">
      <c r="A109" s="77">
        <f>A106</f>
        <v>600</v>
      </c>
      <c r="B109" s="71">
        <v>1350</v>
      </c>
      <c r="C109" s="71"/>
      <c r="D109" s="71">
        <f t="shared" si="36"/>
        <v>3</v>
      </c>
      <c r="E109" s="72"/>
      <c r="F109" s="73">
        <f t="shared" si="37"/>
        <v>0</v>
      </c>
      <c r="G109" s="72">
        <f t="shared" si="38"/>
        <v>0</v>
      </c>
      <c r="H109" s="73">
        <v>0</v>
      </c>
      <c r="I109" s="73">
        <f t="shared" si="39"/>
        <v>0</v>
      </c>
      <c r="J109" s="73">
        <f t="shared" si="42"/>
        <v>0</v>
      </c>
      <c r="K109" s="73">
        <f t="shared" si="43"/>
        <v>0</v>
      </c>
      <c r="L109" s="74">
        <f>'BUSBAR 2013'!$D$25</f>
        <v>0</v>
      </c>
      <c r="M109" s="73"/>
      <c r="N109" s="73">
        <f t="shared" si="40"/>
        <v>0</v>
      </c>
      <c r="O109" s="73"/>
      <c r="P109" s="73"/>
      <c r="Q109" s="73"/>
      <c r="R109" s="73"/>
      <c r="S109" s="73"/>
      <c r="T109" s="73">
        <f t="shared" si="41"/>
        <v>0</v>
      </c>
      <c r="U109" s="73"/>
      <c r="V109" s="73"/>
      <c r="W109" s="73"/>
      <c r="X109" s="73"/>
      <c r="Y109" s="73"/>
    </row>
    <row r="110" spans="1:25">
      <c r="A110" s="71">
        <v>630</v>
      </c>
      <c r="B110" s="71">
        <v>700</v>
      </c>
      <c r="C110" s="71"/>
      <c r="D110" s="71">
        <f t="shared" si="36"/>
        <v>3</v>
      </c>
      <c r="E110" s="72"/>
      <c r="F110" s="73">
        <f t="shared" si="37"/>
        <v>0</v>
      </c>
      <c r="G110" s="72">
        <f t="shared" si="38"/>
        <v>0</v>
      </c>
      <c r="H110" s="73">
        <v>0</v>
      </c>
      <c r="I110" s="73">
        <f t="shared" si="39"/>
        <v>0</v>
      </c>
      <c r="J110" s="73">
        <f t="shared" si="42"/>
        <v>0</v>
      </c>
      <c r="K110" s="73">
        <f t="shared" si="43"/>
        <v>0</v>
      </c>
      <c r="L110" s="74">
        <f>'BUSBAR 2013'!$E$22</f>
        <v>0</v>
      </c>
      <c r="M110" s="73"/>
      <c r="N110" s="73">
        <f t="shared" si="40"/>
        <v>0</v>
      </c>
      <c r="O110" s="73"/>
      <c r="P110" s="73"/>
      <c r="Q110" s="73"/>
      <c r="R110" s="73"/>
      <c r="S110" s="73"/>
      <c r="T110" s="73">
        <f t="shared" si="41"/>
        <v>0</v>
      </c>
      <c r="U110" s="73"/>
      <c r="V110" s="73"/>
      <c r="W110" s="73"/>
      <c r="X110" s="73"/>
      <c r="Y110" s="73"/>
    </row>
    <row r="111" spans="1:25">
      <c r="A111" s="77">
        <f>A110</f>
        <v>630</v>
      </c>
      <c r="B111" s="71">
        <v>900</v>
      </c>
      <c r="C111" s="71"/>
      <c r="D111" s="71">
        <f t="shared" si="36"/>
        <v>3</v>
      </c>
      <c r="E111" s="72"/>
      <c r="F111" s="73">
        <f t="shared" si="37"/>
        <v>0</v>
      </c>
      <c r="G111" s="72">
        <f t="shared" si="38"/>
        <v>0</v>
      </c>
      <c r="H111" s="73">
        <v>0</v>
      </c>
      <c r="I111" s="73">
        <f t="shared" si="39"/>
        <v>0</v>
      </c>
      <c r="J111" s="73">
        <f t="shared" si="42"/>
        <v>0</v>
      </c>
      <c r="K111" s="73">
        <f t="shared" si="43"/>
        <v>0</v>
      </c>
      <c r="L111" s="74">
        <f>'BUSBAR 2013'!$E$23</f>
        <v>0</v>
      </c>
      <c r="M111" s="73"/>
      <c r="N111" s="73">
        <f t="shared" si="40"/>
        <v>0</v>
      </c>
      <c r="O111" s="73"/>
      <c r="P111" s="73"/>
      <c r="Q111" s="73"/>
      <c r="R111" s="73"/>
      <c r="S111" s="73"/>
      <c r="T111" s="73">
        <f t="shared" si="41"/>
        <v>0</v>
      </c>
      <c r="U111" s="73"/>
      <c r="V111" s="73"/>
      <c r="W111" s="73"/>
      <c r="X111" s="73"/>
      <c r="Y111" s="73"/>
    </row>
    <row r="112" spans="1:25">
      <c r="A112" s="77">
        <f>A110</f>
        <v>630</v>
      </c>
      <c r="B112" s="71">
        <v>1200</v>
      </c>
      <c r="C112" s="71"/>
      <c r="D112" s="71">
        <f t="shared" si="36"/>
        <v>3</v>
      </c>
      <c r="E112" s="72"/>
      <c r="F112" s="73">
        <f t="shared" si="37"/>
        <v>0</v>
      </c>
      <c r="G112" s="72">
        <f t="shared" si="38"/>
        <v>0</v>
      </c>
      <c r="H112" s="73">
        <v>0</v>
      </c>
      <c r="I112" s="73">
        <f t="shared" si="39"/>
        <v>0</v>
      </c>
      <c r="J112" s="73">
        <f t="shared" si="42"/>
        <v>0</v>
      </c>
      <c r="K112" s="73">
        <f t="shared" si="43"/>
        <v>0</v>
      </c>
      <c r="L112" s="74">
        <f>'BUSBAR 2013'!$E$24</f>
        <v>0</v>
      </c>
      <c r="M112" s="73"/>
      <c r="N112" s="73">
        <f t="shared" si="40"/>
        <v>0</v>
      </c>
      <c r="O112" s="73"/>
      <c r="P112" s="73"/>
      <c r="Q112" s="73"/>
      <c r="R112" s="73"/>
      <c r="S112" s="73"/>
      <c r="T112" s="73">
        <f t="shared" si="41"/>
        <v>0</v>
      </c>
      <c r="U112" s="73"/>
      <c r="V112" s="73"/>
      <c r="W112" s="73"/>
      <c r="X112" s="73"/>
      <c r="Y112" s="73"/>
    </row>
    <row r="113" spans="1:25">
      <c r="A113" s="77">
        <f>A110</f>
        <v>630</v>
      </c>
      <c r="B113" s="71">
        <v>1350</v>
      </c>
      <c r="C113" s="71"/>
      <c r="D113" s="71">
        <f t="shared" si="36"/>
        <v>3</v>
      </c>
      <c r="E113" s="72"/>
      <c r="F113" s="73">
        <f t="shared" si="37"/>
        <v>0</v>
      </c>
      <c r="G113" s="72">
        <f t="shared" si="38"/>
        <v>0</v>
      </c>
      <c r="H113" s="73">
        <v>0</v>
      </c>
      <c r="I113" s="73">
        <f t="shared" si="39"/>
        <v>0</v>
      </c>
      <c r="J113" s="73">
        <f t="shared" si="42"/>
        <v>0</v>
      </c>
      <c r="K113" s="73">
        <f t="shared" si="43"/>
        <v>0</v>
      </c>
      <c r="L113" s="74">
        <f>'BUSBAR 2013'!$E$25</f>
        <v>0</v>
      </c>
      <c r="M113" s="73"/>
      <c r="N113" s="73">
        <f t="shared" si="40"/>
        <v>0</v>
      </c>
      <c r="O113" s="73"/>
      <c r="P113" s="73"/>
      <c r="Q113" s="73"/>
      <c r="R113" s="73"/>
      <c r="S113" s="73"/>
      <c r="T113" s="73">
        <f t="shared" si="41"/>
        <v>0</v>
      </c>
      <c r="U113" s="73"/>
      <c r="V113" s="73"/>
      <c r="W113" s="73"/>
      <c r="X113" s="73"/>
      <c r="Y113" s="73"/>
    </row>
    <row r="114" spans="1:25">
      <c r="A114" s="71">
        <v>800</v>
      </c>
      <c r="B114" s="71">
        <v>700</v>
      </c>
      <c r="C114" s="71"/>
      <c r="D114" s="71">
        <f t="shared" si="36"/>
        <v>3</v>
      </c>
      <c r="E114" s="72"/>
      <c r="F114" s="73">
        <f t="shared" si="37"/>
        <v>0</v>
      </c>
      <c r="G114" s="72">
        <f t="shared" si="38"/>
        <v>0</v>
      </c>
      <c r="H114" s="73">
        <v>0</v>
      </c>
      <c r="I114" s="73">
        <f t="shared" si="39"/>
        <v>0</v>
      </c>
      <c r="J114" s="73">
        <f t="shared" si="42"/>
        <v>0</v>
      </c>
      <c r="K114" s="73">
        <f t="shared" si="43"/>
        <v>0</v>
      </c>
      <c r="L114" s="74">
        <f>'BUSBAR 2013'!$F$22</f>
        <v>0</v>
      </c>
      <c r="M114" s="73"/>
      <c r="N114" s="73">
        <f t="shared" si="40"/>
        <v>0</v>
      </c>
      <c r="O114" s="73"/>
      <c r="P114" s="73"/>
      <c r="Q114" s="73"/>
      <c r="R114" s="73"/>
      <c r="S114" s="73"/>
      <c r="T114" s="73">
        <f t="shared" si="41"/>
        <v>0</v>
      </c>
      <c r="U114" s="73"/>
      <c r="V114" s="73"/>
      <c r="W114" s="73"/>
      <c r="X114" s="73"/>
      <c r="Y114" s="73"/>
    </row>
    <row r="115" spans="1:25">
      <c r="A115" s="77">
        <f>A114</f>
        <v>800</v>
      </c>
      <c r="B115" s="71">
        <v>900</v>
      </c>
      <c r="C115" s="71"/>
      <c r="D115" s="71">
        <f t="shared" si="36"/>
        <v>3</v>
      </c>
      <c r="E115" s="72"/>
      <c r="F115" s="73">
        <f t="shared" si="37"/>
        <v>0</v>
      </c>
      <c r="G115" s="72">
        <f t="shared" si="38"/>
        <v>0</v>
      </c>
      <c r="H115" s="73">
        <v>0</v>
      </c>
      <c r="I115" s="73">
        <f t="shared" si="39"/>
        <v>0</v>
      </c>
      <c r="J115" s="73">
        <f t="shared" si="42"/>
        <v>0</v>
      </c>
      <c r="K115" s="73">
        <f t="shared" si="43"/>
        <v>0</v>
      </c>
      <c r="L115" s="74">
        <f>'BUSBAR 2013'!$F$23</f>
        <v>0</v>
      </c>
      <c r="M115" s="73"/>
      <c r="N115" s="73">
        <f t="shared" si="40"/>
        <v>0</v>
      </c>
      <c r="O115" s="73"/>
      <c r="P115" s="73"/>
      <c r="Q115" s="73"/>
      <c r="R115" s="73"/>
      <c r="S115" s="73"/>
      <c r="T115" s="73">
        <f t="shared" si="41"/>
        <v>0</v>
      </c>
      <c r="U115" s="73"/>
      <c r="V115" s="73"/>
      <c r="W115" s="73"/>
      <c r="X115" s="73"/>
      <c r="Y115" s="73"/>
    </row>
    <row r="116" spans="1:25">
      <c r="A116" s="77">
        <f>A114</f>
        <v>800</v>
      </c>
      <c r="B116" s="71">
        <v>1200</v>
      </c>
      <c r="C116" s="71"/>
      <c r="D116" s="71">
        <f t="shared" si="36"/>
        <v>3</v>
      </c>
      <c r="E116" s="72"/>
      <c r="F116" s="73">
        <f t="shared" si="37"/>
        <v>0</v>
      </c>
      <c r="G116" s="72">
        <f t="shared" si="38"/>
        <v>0</v>
      </c>
      <c r="H116" s="73">
        <v>0</v>
      </c>
      <c r="I116" s="73">
        <f t="shared" si="39"/>
        <v>0</v>
      </c>
      <c r="J116" s="73">
        <f t="shared" si="42"/>
        <v>0</v>
      </c>
      <c r="K116" s="73">
        <f t="shared" si="43"/>
        <v>0</v>
      </c>
      <c r="L116" s="74">
        <f>'BUSBAR 2013'!$F$24</f>
        <v>0</v>
      </c>
      <c r="M116" s="73"/>
      <c r="N116" s="73">
        <f t="shared" si="40"/>
        <v>0</v>
      </c>
      <c r="O116" s="73"/>
      <c r="P116" s="73"/>
      <c r="Q116" s="73"/>
      <c r="R116" s="73"/>
      <c r="S116" s="73"/>
      <c r="T116" s="73">
        <f t="shared" si="41"/>
        <v>0</v>
      </c>
      <c r="U116" s="73"/>
      <c r="V116" s="73"/>
      <c r="W116" s="73"/>
      <c r="X116" s="73"/>
      <c r="Y116" s="73"/>
    </row>
    <row r="117" spans="1:25">
      <c r="A117" s="77">
        <f>A114</f>
        <v>800</v>
      </c>
      <c r="B117" s="71">
        <v>1350</v>
      </c>
      <c r="C117" s="71"/>
      <c r="D117" s="71">
        <f t="shared" si="36"/>
        <v>3</v>
      </c>
      <c r="E117" s="72"/>
      <c r="F117" s="73">
        <f t="shared" si="37"/>
        <v>0</v>
      </c>
      <c r="G117" s="72">
        <f t="shared" si="38"/>
        <v>0</v>
      </c>
      <c r="H117" s="73">
        <v>0</v>
      </c>
      <c r="I117" s="73">
        <f t="shared" si="39"/>
        <v>0</v>
      </c>
      <c r="J117" s="73">
        <f t="shared" si="42"/>
        <v>0</v>
      </c>
      <c r="K117" s="73">
        <f t="shared" si="43"/>
        <v>0</v>
      </c>
      <c r="L117" s="74">
        <f>'BUSBAR 2013'!$F$25</f>
        <v>0</v>
      </c>
      <c r="M117" s="73"/>
      <c r="N117" s="73">
        <f t="shared" si="40"/>
        <v>0</v>
      </c>
      <c r="O117" s="73"/>
      <c r="P117" s="73"/>
      <c r="Q117" s="73"/>
      <c r="R117" s="73"/>
      <c r="S117" s="73"/>
      <c r="T117" s="73">
        <f t="shared" si="41"/>
        <v>0</v>
      </c>
      <c r="U117" s="73"/>
      <c r="V117" s="73"/>
      <c r="W117" s="73"/>
      <c r="X117" s="73"/>
      <c r="Y117" s="73"/>
    </row>
    <row r="118" spans="1:25">
      <c r="A118" s="71">
        <v>1000</v>
      </c>
      <c r="B118" s="71">
        <v>700</v>
      </c>
      <c r="C118" s="71"/>
      <c r="D118" s="71">
        <f t="shared" si="36"/>
        <v>3</v>
      </c>
      <c r="E118" s="72"/>
      <c r="F118" s="73">
        <f t="shared" si="37"/>
        <v>0</v>
      </c>
      <c r="G118" s="72">
        <f t="shared" si="38"/>
        <v>0</v>
      </c>
      <c r="H118" s="73">
        <v>0</v>
      </c>
      <c r="I118" s="73">
        <f t="shared" si="39"/>
        <v>0</v>
      </c>
      <c r="J118" s="73">
        <f t="shared" si="42"/>
        <v>0</v>
      </c>
      <c r="K118" s="73">
        <f t="shared" si="43"/>
        <v>0</v>
      </c>
      <c r="L118" s="74">
        <f>'BUSBAR 2013'!$G$22</f>
        <v>0</v>
      </c>
      <c r="M118" s="73"/>
      <c r="N118" s="73">
        <f t="shared" si="40"/>
        <v>0</v>
      </c>
      <c r="O118" s="73"/>
      <c r="P118" s="73"/>
      <c r="Q118" s="73"/>
      <c r="R118" s="73"/>
      <c r="S118" s="73"/>
      <c r="T118" s="73">
        <f t="shared" si="41"/>
        <v>0</v>
      </c>
      <c r="U118" s="73"/>
      <c r="V118" s="73"/>
      <c r="W118" s="73"/>
      <c r="X118" s="73"/>
      <c r="Y118" s="73"/>
    </row>
    <row r="119" spans="1:25">
      <c r="A119" s="77">
        <f>A118</f>
        <v>1000</v>
      </c>
      <c r="B119" s="71">
        <v>900</v>
      </c>
      <c r="C119" s="71"/>
      <c r="D119" s="71">
        <f t="shared" si="36"/>
        <v>3</v>
      </c>
      <c r="E119" s="72"/>
      <c r="F119" s="73">
        <f t="shared" si="37"/>
        <v>0</v>
      </c>
      <c r="G119" s="72">
        <f t="shared" si="38"/>
        <v>0</v>
      </c>
      <c r="H119" s="73">
        <v>0</v>
      </c>
      <c r="I119" s="73">
        <f t="shared" si="39"/>
        <v>0</v>
      </c>
      <c r="J119" s="73">
        <f t="shared" si="42"/>
        <v>0</v>
      </c>
      <c r="K119" s="73">
        <f t="shared" si="43"/>
        <v>0</v>
      </c>
      <c r="L119" s="74">
        <f>'BUSBAR 2013'!$G$23</f>
        <v>0</v>
      </c>
      <c r="M119" s="73"/>
      <c r="N119" s="73">
        <f t="shared" si="40"/>
        <v>0</v>
      </c>
      <c r="O119" s="73"/>
      <c r="P119" s="73"/>
      <c r="Q119" s="73"/>
      <c r="R119" s="73"/>
      <c r="S119" s="73"/>
      <c r="T119" s="73">
        <f t="shared" si="41"/>
        <v>0</v>
      </c>
      <c r="U119" s="73"/>
      <c r="V119" s="73"/>
      <c r="W119" s="73"/>
      <c r="X119" s="73"/>
      <c r="Y119" s="73"/>
    </row>
    <row r="120" spans="1:25">
      <c r="A120" s="77">
        <f>A118</f>
        <v>1000</v>
      </c>
      <c r="B120" s="71">
        <v>1200</v>
      </c>
      <c r="C120" s="71"/>
      <c r="D120" s="71">
        <f t="shared" si="36"/>
        <v>3</v>
      </c>
      <c r="E120" s="72"/>
      <c r="F120" s="73">
        <f t="shared" si="37"/>
        <v>0</v>
      </c>
      <c r="G120" s="72">
        <f t="shared" si="38"/>
        <v>0</v>
      </c>
      <c r="H120" s="73">
        <v>0</v>
      </c>
      <c r="I120" s="73">
        <f t="shared" si="39"/>
        <v>0</v>
      </c>
      <c r="J120" s="73">
        <f t="shared" si="42"/>
        <v>0</v>
      </c>
      <c r="K120" s="73">
        <f t="shared" si="43"/>
        <v>0</v>
      </c>
      <c r="L120" s="74">
        <f>'BUSBAR 2013'!$G$24</f>
        <v>0</v>
      </c>
      <c r="M120" s="73"/>
      <c r="N120" s="73">
        <f t="shared" si="40"/>
        <v>0</v>
      </c>
      <c r="O120" s="73"/>
      <c r="P120" s="73"/>
      <c r="Q120" s="73"/>
      <c r="R120" s="73"/>
      <c r="S120" s="73"/>
      <c r="T120" s="73">
        <f t="shared" si="41"/>
        <v>0</v>
      </c>
      <c r="U120" s="73"/>
      <c r="V120" s="73"/>
      <c r="W120" s="73"/>
      <c r="X120" s="73"/>
      <c r="Y120" s="73"/>
    </row>
    <row r="121" spans="1:25">
      <c r="A121" s="77">
        <f>A118</f>
        <v>1000</v>
      </c>
      <c r="B121" s="71">
        <v>1350</v>
      </c>
      <c r="C121" s="71"/>
      <c r="D121" s="71">
        <f t="shared" si="36"/>
        <v>3</v>
      </c>
      <c r="E121" s="72"/>
      <c r="F121" s="73">
        <f t="shared" si="37"/>
        <v>0</v>
      </c>
      <c r="G121" s="72">
        <f t="shared" si="38"/>
        <v>0</v>
      </c>
      <c r="H121" s="73">
        <v>0</v>
      </c>
      <c r="I121" s="73">
        <f t="shared" si="39"/>
        <v>0</v>
      </c>
      <c r="J121" s="73">
        <f t="shared" si="42"/>
        <v>0</v>
      </c>
      <c r="K121" s="73">
        <f t="shared" si="43"/>
        <v>0</v>
      </c>
      <c r="L121" s="74">
        <f>'BUSBAR 2013'!$G$25</f>
        <v>0</v>
      </c>
      <c r="M121" s="73"/>
      <c r="N121" s="73">
        <f t="shared" si="40"/>
        <v>0</v>
      </c>
      <c r="O121" s="73"/>
      <c r="P121" s="73"/>
      <c r="Q121" s="73"/>
      <c r="R121" s="73"/>
      <c r="S121" s="73"/>
      <c r="T121" s="73">
        <f t="shared" si="41"/>
        <v>0</v>
      </c>
      <c r="U121" s="73"/>
      <c r="V121" s="73"/>
      <c r="W121" s="73"/>
      <c r="X121" s="73"/>
      <c r="Y121" s="73"/>
    </row>
    <row r="122" spans="1:25">
      <c r="A122" s="71">
        <v>1200</v>
      </c>
      <c r="B122" s="71">
        <v>700</v>
      </c>
      <c r="C122" s="71"/>
      <c r="D122" s="71">
        <f t="shared" si="36"/>
        <v>3</v>
      </c>
      <c r="E122" s="72"/>
      <c r="F122" s="73">
        <f t="shared" si="37"/>
        <v>0</v>
      </c>
      <c r="G122" s="72">
        <f t="shared" si="38"/>
        <v>0</v>
      </c>
      <c r="H122" s="73">
        <v>0</v>
      </c>
      <c r="I122" s="73">
        <f t="shared" si="39"/>
        <v>0</v>
      </c>
      <c r="J122" s="73">
        <f t="shared" si="42"/>
        <v>0</v>
      </c>
      <c r="K122" s="73">
        <f t="shared" si="43"/>
        <v>0</v>
      </c>
      <c r="L122" s="74">
        <f>'BUSBAR 2013'!$H$22</f>
        <v>0</v>
      </c>
      <c r="M122" s="73"/>
      <c r="N122" s="73">
        <f t="shared" si="40"/>
        <v>0</v>
      </c>
      <c r="O122" s="73"/>
      <c r="P122" s="73"/>
      <c r="Q122" s="73"/>
      <c r="R122" s="73"/>
      <c r="S122" s="73"/>
      <c r="T122" s="73">
        <f t="shared" si="41"/>
        <v>0</v>
      </c>
      <c r="U122" s="73"/>
      <c r="V122" s="73"/>
      <c r="W122" s="73"/>
      <c r="X122" s="73"/>
      <c r="Y122" s="73"/>
    </row>
    <row r="123" spans="1:25">
      <c r="A123" s="77">
        <f>A122</f>
        <v>1200</v>
      </c>
      <c r="B123" s="71">
        <v>900</v>
      </c>
      <c r="C123" s="71"/>
      <c r="D123" s="71">
        <f t="shared" si="36"/>
        <v>3</v>
      </c>
      <c r="E123" s="72"/>
      <c r="F123" s="73">
        <f t="shared" si="37"/>
        <v>0</v>
      </c>
      <c r="G123" s="72">
        <f t="shared" si="38"/>
        <v>0</v>
      </c>
      <c r="H123" s="73">
        <v>0</v>
      </c>
      <c r="I123" s="73">
        <f t="shared" si="39"/>
        <v>0</v>
      </c>
      <c r="J123" s="73">
        <f t="shared" si="42"/>
        <v>0</v>
      </c>
      <c r="K123" s="73">
        <f t="shared" si="43"/>
        <v>0</v>
      </c>
      <c r="L123" s="74">
        <f>'BUSBAR 2013'!$H$23</f>
        <v>0</v>
      </c>
      <c r="M123" s="73"/>
      <c r="N123" s="73">
        <f t="shared" si="40"/>
        <v>0</v>
      </c>
      <c r="O123" s="73"/>
      <c r="P123" s="73"/>
      <c r="Q123" s="73"/>
      <c r="R123" s="73"/>
      <c r="S123" s="73"/>
      <c r="T123" s="73">
        <f t="shared" si="41"/>
        <v>0</v>
      </c>
      <c r="U123" s="73"/>
      <c r="V123" s="73"/>
      <c r="W123" s="73"/>
      <c r="X123" s="73"/>
      <c r="Y123" s="73"/>
    </row>
    <row r="124" spans="1:25">
      <c r="A124" s="77">
        <f>A122</f>
        <v>1200</v>
      </c>
      <c r="B124" s="71">
        <v>1200</v>
      </c>
      <c r="C124" s="71"/>
      <c r="D124" s="71">
        <f t="shared" si="36"/>
        <v>3</v>
      </c>
      <c r="E124" s="72"/>
      <c r="F124" s="73">
        <f t="shared" si="37"/>
        <v>0</v>
      </c>
      <c r="G124" s="72">
        <f t="shared" si="38"/>
        <v>0</v>
      </c>
      <c r="H124" s="73">
        <v>0</v>
      </c>
      <c r="I124" s="73">
        <f t="shared" si="39"/>
        <v>0</v>
      </c>
      <c r="J124" s="73">
        <f t="shared" si="42"/>
        <v>0</v>
      </c>
      <c r="K124" s="73">
        <f t="shared" si="43"/>
        <v>0</v>
      </c>
      <c r="L124" s="74">
        <f>'BUSBAR 2013'!$H$24</f>
        <v>0</v>
      </c>
      <c r="M124" s="73"/>
      <c r="N124" s="73">
        <f t="shared" si="40"/>
        <v>0</v>
      </c>
      <c r="O124" s="73"/>
      <c r="P124" s="73"/>
      <c r="Q124" s="73"/>
      <c r="R124" s="73"/>
      <c r="S124" s="73"/>
      <c r="T124" s="73">
        <f t="shared" si="41"/>
        <v>0</v>
      </c>
      <c r="U124" s="73"/>
      <c r="V124" s="73"/>
      <c r="W124" s="73"/>
      <c r="X124" s="73"/>
      <c r="Y124" s="73"/>
    </row>
    <row r="125" spans="1:25">
      <c r="A125" s="77">
        <f>A122</f>
        <v>1200</v>
      </c>
      <c r="B125" s="71">
        <v>1350</v>
      </c>
      <c r="C125" s="71"/>
      <c r="D125" s="71">
        <f t="shared" si="36"/>
        <v>3</v>
      </c>
      <c r="E125" s="72"/>
      <c r="F125" s="73">
        <f t="shared" si="37"/>
        <v>0</v>
      </c>
      <c r="G125" s="72">
        <f t="shared" si="38"/>
        <v>0</v>
      </c>
      <c r="H125" s="73">
        <v>0</v>
      </c>
      <c r="I125" s="73">
        <f t="shared" si="39"/>
        <v>0</v>
      </c>
      <c r="J125" s="73">
        <f t="shared" si="42"/>
        <v>0</v>
      </c>
      <c r="K125" s="73">
        <f t="shared" si="43"/>
        <v>0</v>
      </c>
      <c r="L125" s="74">
        <f>'BUSBAR 2013'!$H$25</f>
        <v>0</v>
      </c>
      <c r="M125" s="73"/>
      <c r="N125" s="73">
        <f t="shared" si="40"/>
        <v>0</v>
      </c>
      <c r="O125" s="73"/>
      <c r="P125" s="73"/>
      <c r="Q125" s="73"/>
      <c r="R125" s="73"/>
      <c r="S125" s="73"/>
      <c r="T125" s="73">
        <f t="shared" si="41"/>
        <v>0</v>
      </c>
      <c r="U125" s="73"/>
      <c r="V125" s="73"/>
      <c r="W125" s="73"/>
      <c r="X125" s="73"/>
      <c r="Y125" s="73"/>
    </row>
    <row r="126" spans="1:25">
      <c r="A126" s="71">
        <v>1250</v>
      </c>
      <c r="B126" s="71">
        <v>700</v>
      </c>
      <c r="C126" s="71"/>
      <c r="D126" s="71">
        <f t="shared" si="36"/>
        <v>3</v>
      </c>
      <c r="E126" s="72"/>
      <c r="F126" s="73">
        <f t="shared" si="37"/>
        <v>0</v>
      </c>
      <c r="G126" s="72">
        <f t="shared" si="38"/>
        <v>0</v>
      </c>
      <c r="H126" s="73">
        <v>0</v>
      </c>
      <c r="I126" s="73">
        <f t="shared" si="39"/>
        <v>0</v>
      </c>
      <c r="J126" s="73">
        <f t="shared" si="42"/>
        <v>0</v>
      </c>
      <c r="K126" s="73">
        <f t="shared" si="43"/>
        <v>0</v>
      </c>
      <c r="L126" s="74">
        <f>'BUSBAR 2013'!$I$22</f>
        <v>0</v>
      </c>
      <c r="M126" s="73"/>
      <c r="N126" s="73">
        <f t="shared" si="40"/>
        <v>0</v>
      </c>
      <c r="O126" s="73"/>
      <c r="P126" s="73"/>
      <c r="Q126" s="73"/>
      <c r="R126" s="73"/>
      <c r="S126" s="73"/>
      <c r="T126" s="73">
        <f t="shared" si="41"/>
        <v>0</v>
      </c>
      <c r="U126" s="73"/>
      <c r="V126" s="73"/>
      <c r="W126" s="73"/>
      <c r="X126" s="73"/>
      <c r="Y126" s="73"/>
    </row>
    <row r="127" spans="1:25">
      <c r="A127" s="77">
        <f>A126</f>
        <v>1250</v>
      </c>
      <c r="B127" s="71">
        <v>900</v>
      </c>
      <c r="C127" s="71"/>
      <c r="D127" s="71">
        <f t="shared" si="36"/>
        <v>3</v>
      </c>
      <c r="E127" s="72"/>
      <c r="F127" s="73">
        <f t="shared" si="37"/>
        <v>81.702000000000012</v>
      </c>
      <c r="G127" s="72">
        <f t="shared" si="38"/>
        <v>2.052</v>
      </c>
      <c r="H127" s="73">
        <v>0</v>
      </c>
      <c r="I127" s="73">
        <f t="shared" si="39"/>
        <v>2138.9028026400001</v>
      </c>
      <c r="J127" s="73">
        <f t="shared" si="42"/>
        <v>61.37454240000001</v>
      </c>
      <c r="K127" s="73">
        <f t="shared" si="43"/>
        <v>718.2</v>
      </c>
      <c r="L127" s="74">
        <f>'BUSBAR 2013'!$I$23</f>
        <v>4</v>
      </c>
      <c r="M127" s="73"/>
      <c r="N127" s="73">
        <f t="shared" si="40"/>
        <v>81.702000000000012</v>
      </c>
      <c r="O127" s="73"/>
      <c r="P127" s="73"/>
      <c r="Q127" s="73"/>
      <c r="R127" s="73"/>
      <c r="S127" s="73"/>
      <c r="T127" s="73">
        <f t="shared" si="41"/>
        <v>2.052</v>
      </c>
      <c r="U127" s="73"/>
      <c r="V127" s="73"/>
      <c r="W127" s="73"/>
      <c r="X127" s="73"/>
      <c r="Y127" s="73"/>
    </row>
    <row r="128" spans="1:25">
      <c r="A128" s="77">
        <f>A126</f>
        <v>1250</v>
      </c>
      <c r="B128" s="71">
        <v>1200</v>
      </c>
      <c r="C128" s="71"/>
      <c r="D128" s="71">
        <f t="shared" si="36"/>
        <v>3</v>
      </c>
      <c r="E128" s="72"/>
      <c r="F128" s="73">
        <f t="shared" si="37"/>
        <v>0</v>
      </c>
      <c r="G128" s="72">
        <f t="shared" si="38"/>
        <v>0</v>
      </c>
      <c r="H128" s="73">
        <v>0</v>
      </c>
      <c r="I128" s="73">
        <f t="shared" si="39"/>
        <v>0</v>
      </c>
      <c r="J128" s="73">
        <f t="shared" si="42"/>
        <v>0</v>
      </c>
      <c r="K128" s="73">
        <f t="shared" si="43"/>
        <v>0</v>
      </c>
      <c r="L128" s="74">
        <f>'BUSBAR 2013'!$I$24</f>
        <v>0</v>
      </c>
      <c r="M128" s="73"/>
      <c r="N128" s="73">
        <f t="shared" si="40"/>
        <v>0</v>
      </c>
      <c r="O128" s="73"/>
      <c r="P128" s="73"/>
      <c r="Q128" s="73"/>
      <c r="R128" s="73"/>
      <c r="S128" s="73"/>
      <c r="T128" s="73">
        <f t="shared" si="41"/>
        <v>0</v>
      </c>
      <c r="U128" s="73"/>
      <c r="V128" s="73"/>
      <c r="W128" s="73"/>
      <c r="X128" s="73"/>
      <c r="Y128" s="73"/>
    </row>
    <row r="129" spans="1:25">
      <c r="A129" s="77">
        <f>A126</f>
        <v>1250</v>
      </c>
      <c r="B129" s="71">
        <v>1350</v>
      </c>
      <c r="C129" s="71"/>
      <c r="D129" s="71">
        <f t="shared" si="36"/>
        <v>3</v>
      </c>
      <c r="E129" s="72"/>
      <c r="F129" s="73">
        <f t="shared" si="37"/>
        <v>0</v>
      </c>
      <c r="G129" s="72">
        <f t="shared" si="38"/>
        <v>0</v>
      </c>
      <c r="H129" s="73">
        <v>0</v>
      </c>
      <c r="I129" s="73">
        <f t="shared" si="39"/>
        <v>0</v>
      </c>
      <c r="J129" s="73">
        <f t="shared" si="42"/>
        <v>0</v>
      </c>
      <c r="K129" s="73">
        <f t="shared" si="43"/>
        <v>0</v>
      </c>
      <c r="L129" s="74">
        <f>'BUSBAR 2013'!$I$25</f>
        <v>0</v>
      </c>
      <c r="M129" s="73"/>
      <c r="N129" s="73">
        <f t="shared" si="40"/>
        <v>0</v>
      </c>
      <c r="O129" s="73"/>
      <c r="P129" s="73"/>
      <c r="Q129" s="73"/>
      <c r="R129" s="73"/>
      <c r="S129" s="73"/>
      <c r="T129" s="73">
        <f t="shared" si="41"/>
        <v>0</v>
      </c>
      <c r="U129" s="73"/>
      <c r="V129" s="73"/>
      <c r="W129" s="73"/>
      <c r="X129" s="73"/>
      <c r="Y129" s="73"/>
    </row>
    <row r="130" spans="1:25">
      <c r="A130" s="71">
        <v>1600</v>
      </c>
      <c r="B130" s="71">
        <v>700</v>
      </c>
      <c r="C130" s="71"/>
      <c r="D130" s="71">
        <f t="shared" si="36"/>
        <v>3</v>
      </c>
      <c r="E130" s="72"/>
      <c r="F130" s="73">
        <f t="shared" si="37"/>
        <v>0</v>
      </c>
      <c r="G130" s="72">
        <f t="shared" si="38"/>
        <v>0</v>
      </c>
      <c r="H130" s="73">
        <v>0</v>
      </c>
      <c r="I130" s="73">
        <f t="shared" si="39"/>
        <v>0</v>
      </c>
      <c r="J130" s="73">
        <f t="shared" si="42"/>
        <v>0</v>
      </c>
      <c r="K130" s="73">
        <f t="shared" si="43"/>
        <v>0</v>
      </c>
      <c r="L130" s="74">
        <f>'BUSBAR 2013'!$J$22</f>
        <v>0</v>
      </c>
      <c r="M130" s="73"/>
      <c r="N130" s="73">
        <f t="shared" si="40"/>
        <v>0</v>
      </c>
      <c r="O130" s="73"/>
      <c r="P130" s="73"/>
      <c r="Q130" s="73"/>
      <c r="R130" s="73"/>
      <c r="S130" s="73"/>
      <c r="T130" s="73">
        <f t="shared" si="41"/>
        <v>0</v>
      </c>
      <c r="U130" s="73"/>
      <c r="V130" s="73"/>
      <c r="W130" s="73"/>
      <c r="X130" s="73"/>
      <c r="Y130" s="73"/>
    </row>
    <row r="131" spans="1:25">
      <c r="A131" s="77">
        <f>A130</f>
        <v>1600</v>
      </c>
      <c r="B131" s="71">
        <v>900</v>
      </c>
      <c r="C131" s="71"/>
      <c r="D131" s="71">
        <f t="shared" si="36"/>
        <v>3</v>
      </c>
      <c r="E131" s="72"/>
      <c r="F131" s="73">
        <f t="shared" si="37"/>
        <v>0</v>
      </c>
      <c r="G131" s="72">
        <f t="shared" si="38"/>
        <v>0</v>
      </c>
      <c r="H131" s="73">
        <v>0</v>
      </c>
      <c r="I131" s="73">
        <f t="shared" si="39"/>
        <v>0</v>
      </c>
      <c r="J131" s="73">
        <f t="shared" si="42"/>
        <v>0</v>
      </c>
      <c r="K131" s="73">
        <f t="shared" si="43"/>
        <v>0</v>
      </c>
      <c r="L131" s="74">
        <f>'BUSBAR 2013'!$J$23</f>
        <v>0</v>
      </c>
      <c r="M131" s="73"/>
      <c r="N131" s="73">
        <f t="shared" si="40"/>
        <v>0</v>
      </c>
      <c r="O131" s="73"/>
      <c r="P131" s="73"/>
      <c r="Q131" s="73"/>
      <c r="R131" s="73"/>
      <c r="S131" s="73"/>
      <c r="T131" s="73">
        <f t="shared" si="41"/>
        <v>0</v>
      </c>
      <c r="U131" s="73"/>
      <c r="V131" s="73"/>
      <c r="W131" s="73"/>
      <c r="X131" s="73"/>
      <c r="Y131" s="73"/>
    </row>
    <row r="132" spans="1:25">
      <c r="A132" s="77">
        <f>A130</f>
        <v>1600</v>
      </c>
      <c r="B132" s="71">
        <v>1200</v>
      </c>
      <c r="C132" s="71"/>
      <c r="D132" s="71">
        <f t="shared" si="36"/>
        <v>3</v>
      </c>
      <c r="E132" s="72"/>
      <c r="F132" s="73">
        <f t="shared" si="37"/>
        <v>0</v>
      </c>
      <c r="G132" s="72">
        <f t="shared" si="38"/>
        <v>0</v>
      </c>
      <c r="H132" s="73">
        <v>0</v>
      </c>
      <c r="I132" s="73">
        <f t="shared" si="39"/>
        <v>0</v>
      </c>
      <c r="J132" s="73">
        <f t="shared" si="42"/>
        <v>0</v>
      </c>
      <c r="K132" s="73">
        <f t="shared" si="43"/>
        <v>0</v>
      </c>
      <c r="L132" s="74">
        <f>'BUSBAR 2013'!$J$24</f>
        <v>0</v>
      </c>
      <c r="M132" s="73"/>
      <c r="N132" s="73">
        <f t="shared" si="40"/>
        <v>0</v>
      </c>
      <c r="O132" s="73"/>
      <c r="P132" s="73"/>
      <c r="Q132" s="73"/>
      <c r="R132" s="73"/>
      <c r="S132" s="73"/>
      <c r="T132" s="73">
        <f t="shared" si="41"/>
        <v>0</v>
      </c>
      <c r="U132" s="73"/>
      <c r="V132" s="73"/>
      <c r="W132" s="73"/>
      <c r="X132" s="73"/>
      <c r="Y132" s="73"/>
    </row>
    <row r="133" spans="1:25">
      <c r="A133" s="77">
        <f>A130</f>
        <v>1600</v>
      </c>
      <c r="B133" s="71">
        <v>1350</v>
      </c>
      <c r="C133" s="71"/>
      <c r="D133" s="71">
        <f t="shared" si="36"/>
        <v>3</v>
      </c>
      <c r="E133" s="72"/>
      <c r="F133" s="73">
        <f t="shared" si="37"/>
        <v>0</v>
      </c>
      <c r="G133" s="72">
        <f t="shared" si="38"/>
        <v>0</v>
      </c>
      <c r="H133" s="73">
        <v>0</v>
      </c>
      <c r="I133" s="73">
        <f t="shared" si="39"/>
        <v>0</v>
      </c>
      <c r="J133" s="73">
        <f t="shared" si="42"/>
        <v>0</v>
      </c>
      <c r="K133" s="73">
        <f t="shared" si="43"/>
        <v>0</v>
      </c>
      <c r="L133" s="74">
        <f>'BUSBAR 2013'!$J$25</f>
        <v>0</v>
      </c>
      <c r="M133" s="73"/>
      <c r="N133" s="73">
        <f t="shared" si="40"/>
        <v>0</v>
      </c>
      <c r="O133" s="73"/>
      <c r="P133" s="73"/>
      <c r="Q133" s="73"/>
      <c r="R133" s="73"/>
      <c r="S133" s="73"/>
      <c r="T133" s="73">
        <f t="shared" si="41"/>
        <v>0</v>
      </c>
      <c r="U133" s="73"/>
      <c r="V133" s="73"/>
      <c r="W133" s="73"/>
      <c r="X133" s="73"/>
      <c r="Y133" s="73"/>
    </row>
    <row r="134" spans="1:25">
      <c r="A134" s="71">
        <v>2000</v>
      </c>
      <c r="B134" s="71">
        <v>700</v>
      </c>
      <c r="C134" s="71"/>
      <c r="D134" s="71">
        <f t="shared" si="36"/>
        <v>3</v>
      </c>
      <c r="E134" s="72"/>
      <c r="F134" s="73">
        <f t="shared" si="37"/>
        <v>0</v>
      </c>
      <c r="G134" s="72">
        <f t="shared" si="38"/>
        <v>0</v>
      </c>
      <c r="H134" s="73">
        <v>0</v>
      </c>
      <c r="I134" s="73">
        <f t="shared" si="39"/>
        <v>0</v>
      </c>
      <c r="J134" s="73">
        <f t="shared" si="42"/>
        <v>0</v>
      </c>
      <c r="K134" s="73">
        <f t="shared" si="43"/>
        <v>0</v>
      </c>
      <c r="L134" s="74">
        <f>'BUSBAR 2013'!$K$22</f>
        <v>0</v>
      </c>
      <c r="M134" s="73"/>
      <c r="N134" s="73">
        <f t="shared" ref="N134:N158" si="44">IF($K$4=1,VLOOKUP(A134,Table_Old,13,0)*$M$4*B134*L134*(8.9/1000000),VLOOKUP(A134,Table_New,13,0)*$M$4*B134*L134*(8.9/1000000))</f>
        <v>0</v>
      </c>
      <c r="O134" s="73"/>
      <c r="P134" s="73"/>
      <c r="Q134" s="73"/>
      <c r="R134" s="73"/>
      <c r="S134" s="73"/>
      <c r="T134" s="73">
        <f t="shared" ref="T134:T158" si="45">IF($K$4=1,VLOOKUP(A134,Table_Old,19,0)*$M$4*B134*L134/1000000,VLOOKUP(A134,Table_New,19,0)*$M$4*B134*L134/1000000)</f>
        <v>0</v>
      </c>
      <c r="U134" s="73"/>
      <c r="V134" s="73"/>
      <c r="W134" s="73"/>
      <c r="X134" s="73"/>
      <c r="Y134" s="73"/>
    </row>
    <row r="135" spans="1:25">
      <c r="A135" s="77">
        <f>A134</f>
        <v>2000</v>
      </c>
      <c r="B135" s="71">
        <v>900</v>
      </c>
      <c r="C135" s="71"/>
      <c r="D135" s="71">
        <f t="shared" si="36"/>
        <v>3</v>
      </c>
      <c r="E135" s="72"/>
      <c r="F135" s="73">
        <f t="shared" si="37"/>
        <v>0</v>
      </c>
      <c r="G135" s="72">
        <f t="shared" si="38"/>
        <v>0</v>
      </c>
      <c r="H135" s="73">
        <v>0</v>
      </c>
      <c r="I135" s="73">
        <f t="shared" si="39"/>
        <v>0</v>
      </c>
      <c r="J135" s="73">
        <f t="shared" si="42"/>
        <v>0</v>
      </c>
      <c r="K135" s="73">
        <f t="shared" si="43"/>
        <v>0</v>
      </c>
      <c r="L135" s="74">
        <f>'BUSBAR 2013'!$K$23</f>
        <v>0</v>
      </c>
      <c r="M135" s="73"/>
      <c r="N135" s="73">
        <f t="shared" si="44"/>
        <v>0</v>
      </c>
      <c r="O135" s="73"/>
      <c r="P135" s="73"/>
      <c r="Q135" s="73"/>
      <c r="R135" s="73"/>
      <c r="S135" s="73"/>
      <c r="T135" s="73">
        <f t="shared" si="45"/>
        <v>0</v>
      </c>
      <c r="U135" s="73"/>
      <c r="V135" s="73"/>
      <c r="W135" s="73"/>
      <c r="X135" s="73"/>
      <c r="Y135" s="73"/>
    </row>
    <row r="136" spans="1:25">
      <c r="A136" s="77">
        <f>A134</f>
        <v>2000</v>
      </c>
      <c r="B136" s="71">
        <v>1200</v>
      </c>
      <c r="C136" s="71"/>
      <c r="D136" s="71">
        <f t="shared" si="36"/>
        <v>3</v>
      </c>
      <c r="E136" s="72"/>
      <c r="F136" s="73">
        <f t="shared" si="37"/>
        <v>0</v>
      </c>
      <c r="G136" s="72">
        <f t="shared" si="38"/>
        <v>0</v>
      </c>
      <c r="H136" s="73">
        <v>0</v>
      </c>
      <c r="I136" s="73">
        <f t="shared" si="39"/>
        <v>0</v>
      </c>
      <c r="J136" s="73">
        <f t="shared" si="42"/>
        <v>0</v>
      </c>
      <c r="K136" s="73">
        <f t="shared" si="43"/>
        <v>0</v>
      </c>
      <c r="L136" s="74">
        <f>'BUSBAR 2013'!$K$24</f>
        <v>0</v>
      </c>
      <c r="M136" s="73"/>
      <c r="N136" s="73">
        <f t="shared" si="44"/>
        <v>0</v>
      </c>
      <c r="O136" s="73"/>
      <c r="P136" s="73"/>
      <c r="Q136" s="73"/>
      <c r="R136" s="73"/>
      <c r="S136" s="73"/>
      <c r="T136" s="73">
        <f t="shared" si="45"/>
        <v>0</v>
      </c>
      <c r="U136" s="73"/>
      <c r="V136" s="73"/>
      <c r="W136" s="73"/>
      <c r="X136" s="73"/>
      <c r="Y136" s="73"/>
    </row>
    <row r="137" spans="1:25">
      <c r="A137" s="77">
        <f>A134</f>
        <v>2000</v>
      </c>
      <c r="B137" s="71">
        <v>1350</v>
      </c>
      <c r="C137" s="71"/>
      <c r="D137" s="71">
        <f t="shared" si="36"/>
        <v>3</v>
      </c>
      <c r="E137" s="72"/>
      <c r="F137" s="73">
        <f t="shared" si="37"/>
        <v>0</v>
      </c>
      <c r="G137" s="72">
        <f t="shared" si="38"/>
        <v>0</v>
      </c>
      <c r="H137" s="73">
        <v>0</v>
      </c>
      <c r="I137" s="73">
        <f t="shared" si="39"/>
        <v>0</v>
      </c>
      <c r="J137" s="73">
        <f t="shared" si="42"/>
        <v>0</v>
      </c>
      <c r="K137" s="73">
        <f t="shared" si="43"/>
        <v>0</v>
      </c>
      <c r="L137" s="74">
        <f>'BUSBAR 2013'!$K$25</f>
        <v>0</v>
      </c>
      <c r="M137" s="73"/>
      <c r="N137" s="73">
        <f t="shared" si="44"/>
        <v>0</v>
      </c>
      <c r="O137" s="73"/>
      <c r="P137" s="73"/>
      <c r="Q137" s="73"/>
      <c r="R137" s="73"/>
      <c r="S137" s="73"/>
      <c r="T137" s="73">
        <f t="shared" si="45"/>
        <v>0</v>
      </c>
      <c r="U137" s="73"/>
      <c r="V137" s="73"/>
      <c r="W137" s="73"/>
      <c r="X137" s="73"/>
      <c r="Y137" s="73"/>
    </row>
    <row r="138" spans="1:25">
      <c r="A138" s="71">
        <v>2500</v>
      </c>
      <c r="B138" s="71">
        <v>900</v>
      </c>
      <c r="C138" s="71"/>
      <c r="D138" s="71">
        <f t="shared" si="36"/>
        <v>3</v>
      </c>
      <c r="E138" s="72"/>
      <c r="F138" s="73">
        <f t="shared" si="37"/>
        <v>0</v>
      </c>
      <c r="G138" s="72">
        <f t="shared" si="38"/>
        <v>0</v>
      </c>
      <c r="H138" s="73">
        <v>0</v>
      </c>
      <c r="I138" s="73">
        <f t="shared" si="39"/>
        <v>0</v>
      </c>
      <c r="J138" s="73">
        <f t="shared" si="42"/>
        <v>0</v>
      </c>
      <c r="K138" s="73">
        <f t="shared" si="43"/>
        <v>0</v>
      </c>
      <c r="L138" s="74">
        <f>'BUSBAR 2013'!$L$22</f>
        <v>0</v>
      </c>
      <c r="M138" s="73"/>
      <c r="N138" s="73">
        <f t="shared" si="44"/>
        <v>0</v>
      </c>
      <c r="O138" s="73"/>
      <c r="P138" s="73"/>
      <c r="Q138" s="73"/>
      <c r="R138" s="73"/>
      <c r="S138" s="73"/>
      <c r="T138" s="73">
        <f t="shared" si="45"/>
        <v>0</v>
      </c>
      <c r="U138" s="73"/>
      <c r="V138" s="73"/>
      <c r="W138" s="73"/>
      <c r="X138" s="73"/>
      <c r="Y138" s="73"/>
    </row>
    <row r="139" spans="1:25">
      <c r="A139" s="77">
        <f>A138</f>
        <v>2500</v>
      </c>
      <c r="B139" s="71">
        <v>1100</v>
      </c>
      <c r="C139" s="71"/>
      <c r="D139" s="71">
        <f t="shared" si="36"/>
        <v>3</v>
      </c>
      <c r="E139" s="72"/>
      <c r="F139" s="73">
        <f t="shared" si="37"/>
        <v>0</v>
      </c>
      <c r="G139" s="72">
        <f t="shared" si="38"/>
        <v>0</v>
      </c>
      <c r="H139" s="73">
        <v>0</v>
      </c>
      <c r="I139" s="73">
        <f t="shared" si="39"/>
        <v>0</v>
      </c>
      <c r="J139" s="73">
        <f t="shared" si="42"/>
        <v>0</v>
      </c>
      <c r="K139" s="73">
        <f t="shared" si="43"/>
        <v>0</v>
      </c>
      <c r="L139" s="74">
        <f>'BUSBAR 2013'!$L$23</f>
        <v>0</v>
      </c>
      <c r="M139" s="73"/>
      <c r="N139" s="73">
        <f t="shared" si="44"/>
        <v>0</v>
      </c>
      <c r="O139" s="73"/>
      <c r="P139" s="73"/>
      <c r="Q139" s="73"/>
      <c r="R139" s="73"/>
      <c r="S139" s="73"/>
      <c r="T139" s="73">
        <f t="shared" si="45"/>
        <v>0</v>
      </c>
      <c r="U139" s="73"/>
      <c r="V139" s="73"/>
      <c r="W139" s="73"/>
      <c r="X139" s="73"/>
      <c r="Y139" s="73"/>
    </row>
    <row r="140" spans="1:25">
      <c r="A140" s="77">
        <f>A138</f>
        <v>2500</v>
      </c>
      <c r="B140" s="71">
        <v>1300</v>
      </c>
      <c r="C140" s="71"/>
      <c r="D140" s="71">
        <f t="shared" si="36"/>
        <v>3</v>
      </c>
      <c r="E140" s="72"/>
      <c r="F140" s="73">
        <f t="shared" si="37"/>
        <v>0</v>
      </c>
      <c r="G140" s="72">
        <f t="shared" si="38"/>
        <v>0</v>
      </c>
      <c r="H140" s="73">
        <v>0</v>
      </c>
      <c r="I140" s="73">
        <f t="shared" si="39"/>
        <v>0</v>
      </c>
      <c r="J140" s="73">
        <f t="shared" si="42"/>
        <v>0</v>
      </c>
      <c r="K140" s="73">
        <f t="shared" si="43"/>
        <v>0</v>
      </c>
      <c r="L140" s="74">
        <f>'BUSBAR 2013'!$L$24</f>
        <v>0</v>
      </c>
      <c r="M140" s="73"/>
      <c r="N140" s="73">
        <f t="shared" si="44"/>
        <v>0</v>
      </c>
      <c r="O140" s="73"/>
      <c r="P140" s="73"/>
      <c r="Q140" s="73"/>
      <c r="R140" s="73"/>
      <c r="S140" s="73"/>
      <c r="T140" s="73">
        <f t="shared" si="45"/>
        <v>0</v>
      </c>
      <c r="U140" s="73"/>
      <c r="V140" s="73"/>
      <c r="W140" s="73"/>
      <c r="X140" s="73"/>
      <c r="Y140" s="73"/>
    </row>
    <row r="141" spans="1:25">
      <c r="A141" s="77">
        <f>A138</f>
        <v>2500</v>
      </c>
      <c r="B141" s="71">
        <v>1450</v>
      </c>
      <c r="C141" s="71"/>
      <c r="D141" s="71">
        <f t="shared" si="36"/>
        <v>3</v>
      </c>
      <c r="E141" s="72"/>
      <c r="F141" s="73">
        <f t="shared" si="37"/>
        <v>0</v>
      </c>
      <c r="G141" s="72">
        <f t="shared" si="38"/>
        <v>0</v>
      </c>
      <c r="H141" s="73">
        <v>0</v>
      </c>
      <c r="I141" s="73">
        <f t="shared" si="39"/>
        <v>0</v>
      </c>
      <c r="J141" s="73">
        <f t="shared" si="42"/>
        <v>0</v>
      </c>
      <c r="K141" s="73">
        <f t="shared" si="43"/>
        <v>0</v>
      </c>
      <c r="L141" s="74">
        <f>'BUSBAR 2013'!$L$25</f>
        <v>0</v>
      </c>
      <c r="M141" s="73"/>
      <c r="N141" s="73">
        <f t="shared" si="44"/>
        <v>0</v>
      </c>
      <c r="O141" s="73"/>
      <c r="P141" s="73"/>
      <c r="Q141" s="73"/>
      <c r="R141" s="73"/>
      <c r="S141" s="73"/>
      <c r="T141" s="73">
        <f t="shared" si="45"/>
        <v>0</v>
      </c>
      <c r="U141" s="73"/>
      <c r="V141" s="73"/>
      <c r="W141" s="73"/>
      <c r="X141" s="73"/>
      <c r="Y141" s="73"/>
    </row>
    <row r="142" spans="1:25">
      <c r="A142" s="71">
        <v>3000</v>
      </c>
      <c r="B142" s="71">
        <v>900</v>
      </c>
      <c r="C142" s="71"/>
      <c r="D142" s="71">
        <f t="shared" si="36"/>
        <v>3</v>
      </c>
      <c r="E142" s="72"/>
      <c r="F142" s="73">
        <f t="shared" si="37"/>
        <v>0</v>
      </c>
      <c r="G142" s="72">
        <f t="shared" si="38"/>
        <v>0</v>
      </c>
      <c r="H142" s="73">
        <v>0</v>
      </c>
      <c r="I142" s="73">
        <f t="shared" si="39"/>
        <v>0</v>
      </c>
      <c r="J142" s="73">
        <f t="shared" si="42"/>
        <v>0</v>
      </c>
      <c r="K142" s="73">
        <f t="shared" si="43"/>
        <v>0</v>
      </c>
      <c r="L142" s="74">
        <f>'BUSBAR 2013'!$M$22</f>
        <v>0</v>
      </c>
      <c r="M142" s="73"/>
      <c r="N142" s="73">
        <f t="shared" si="44"/>
        <v>0</v>
      </c>
      <c r="O142" s="73"/>
      <c r="P142" s="73"/>
      <c r="Q142" s="73"/>
      <c r="R142" s="73"/>
      <c r="S142" s="73"/>
      <c r="T142" s="73">
        <f t="shared" si="45"/>
        <v>0</v>
      </c>
      <c r="U142" s="73"/>
      <c r="V142" s="73"/>
      <c r="W142" s="73"/>
      <c r="X142" s="73"/>
      <c r="Y142" s="73"/>
    </row>
    <row r="143" spans="1:25">
      <c r="A143" s="77">
        <f>A142</f>
        <v>3000</v>
      </c>
      <c r="B143" s="71">
        <v>1100</v>
      </c>
      <c r="C143" s="71"/>
      <c r="D143" s="71">
        <f t="shared" si="36"/>
        <v>3</v>
      </c>
      <c r="E143" s="72"/>
      <c r="F143" s="73">
        <f t="shared" si="37"/>
        <v>0</v>
      </c>
      <c r="G143" s="72">
        <f t="shared" si="38"/>
        <v>0</v>
      </c>
      <c r="H143" s="73">
        <v>0</v>
      </c>
      <c r="I143" s="73">
        <f t="shared" si="39"/>
        <v>0</v>
      </c>
      <c r="J143" s="73">
        <f t="shared" si="42"/>
        <v>0</v>
      </c>
      <c r="K143" s="73">
        <f t="shared" si="43"/>
        <v>0</v>
      </c>
      <c r="L143" s="74">
        <f>'BUSBAR 2013'!$M$23</f>
        <v>0</v>
      </c>
      <c r="M143" s="73"/>
      <c r="N143" s="73">
        <f t="shared" si="44"/>
        <v>0</v>
      </c>
      <c r="O143" s="73"/>
      <c r="P143" s="73"/>
      <c r="Q143" s="73"/>
      <c r="R143" s="73"/>
      <c r="S143" s="73"/>
      <c r="T143" s="73">
        <f t="shared" si="45"/>
        <v>0</v>
      </c>
      <c r="U143" s="73"/>
      <c r="V143" s="73"/>
      <c r="W143" s="73"/>
      <c r="X143" s="73"/>
      <c r="Y143" s="73"/>
    </row>
    <row r="144" spans="1:25">
      <c r="A144" s="77">
        <f>A142</f>
        <v>3000</v>
      </c>
      <c r="B144" s="71">
        <v>1300</v>
      </c>
      <c r="C144" s="71"/>
      <c r="D144" s="71">
        <f t="shared" si="36"/>
        <v>3</v>
      </c>
      <c r="E144" s="72"/>
      <c r="F144" s="73">
        <f t="shared" si="37"/>
        <v>0</v>
      </c>
      <c r="G144" s="72">
        <f t="shared" si="38"/>
        <v>0</v>
      </c>
      <c r="H144" s="73">
        <v>0</v>
      </c>
      <c r="I144" s="73">
        <f t="shared" si="39"/>
        <v>0</v>
      </c>
      <c r="J144" s="73">
        <f t="shared" si="42"/>
        <v>0</v>
      </c>
      <c r="K144" s="73">
        <f t="shared" si="43"/>
        <v>0</v>
      </c>
      <c r="L144" s="74">
        <f>'BUSBAR 2013'!$M$24</f>
        <v>0</v>
      </c>
      <c r="M144" s="73"/>
      <c r="N144" s="73">
        <f t="shared" si="44"/>
        <v>0</v>
      </c>
      <c r="O144" s="73"/>
      <c r="P144" s="73"/>
      <c r="Q144" s="73"/>
      <c r="R144" s="73"/>
      <c r="S144" s="73"/>
      <c r="T144" s="73">
        <f t="shared" si="45"/>
        <v>0</v>
      </c>
      <c r="U144" s="73"/>
      <c r="V144" s="73"/>
      <c r="W144" s="73"/>
      <c r="X144" s="73"/>
      <c r="Y144" s="73"/>
    </row>
    <row r="145" spans="1:25">
      <c r="A145" s="77">
        <f>A142</f>
        <v>3000</v>
      </c>
      <c r="B145" s="71">
        <v>1450</v>
      </c>
      <c r="C145" s="71"/>
      <c r="D145" s="71">
        <f t="shared" si="36"/>
        <v>3</v>
      </c>
      <c r="E145" s="72"/>
      <c r="F145" s="73">
        <f t="shared" si="37"/>
        <v>0</v>
      </c>
      <c r="G145" s="72">
        <f t="shared" si="38"/>
        <v>0</v>
      </c>
      <c r="H145" s="73">
        <v>0</v>
      </c>
      <c r="I145" s="73">
        <f t="shared" si="39"/>
        <v>0</v>
      </c>
      <c r="J145" s="73">
        <f t="shared" si="42"/>
        <v>0</v>
      </c>
      <c r="K145" s="73">
        <f t="shared" si="43"/>
        <v>0</v>
      </c>
      <c r="L145" s="74">
        <f>'BUSBAR 2013'!$M$25</f>
        <v>0</v>
      </c>
      <c r="M145" s="73"/>
      <c r="N145" s="73">
        <f t="shared" si="44"/>
        <v>0</v>
      </c>
      <c r="O145" s="73"/>
      <c r="P145" s="73"/>
      <c r="Q145" s="73"/>
      <c r="R145" s="73"/>
      <c r="S145" s="73"/>
      <c r="T145" s="73">
        <f t="shared" si="45"/>
        <v>0</v>
      </c>
      <c r="U145" s="73"/>
      <c r="V145" s="73"/>
      <c r="W145" s="73"/>
      <c r="X145" s="73"/>
      <c r="Y145" s="73"/>
    </row>
    <row r="146" spans="1:25">
      <c r="A146" s="71">
        <v>3200</v>
      </c>
      <c r="B146" s="71">
        <v>900</v>
      </c>
      <c r="C146" s="71"/>
      <c r="D146" s="71">
        <f t="shared" si="36"/>
        <v>3</v>
      </c>
      <c r="E146" s="72"/>
      <c r="F146" s="73">
        <f t="shared" si="37"/>
        <v>0</v>
      </c>
      <c r="G146" s="72">
        <f t="shared" si="38"/>
        <v>0</v>
      </c>
      <c r="H146" s="73">
        <v>0</v>
      </c>
      <c r="I146" s="73">
        <f t="shared" si="39"/>
        <v>0</v>
      </c>
      <c r="J146" s="73">
        <f t="shared" si="42"/>
        <v>0</v>
      </c>
      <c r="K146" s="73">
        <f t="shared" si="43"/>
        <v>0</v>
      </c>
      <c r="L146" s="74">
        <f>'BUSBAR 2013'!$N$22</f>
        <v>0</v>
      </c>
      <c r="M146" s="73"/>
      <c r="N146" s="73">
        <f t="shared" si="44"/>
        <v>0</v>
      </c>
      <c r="O146" s="73"/>
      <c r="P146" s="73"/>
      <c r="Q146" s="73"/>
      <c r="R146" s="73"/>
      <c r="S146" s="73"/>
      <c r="T146" s="73">
        <f t="shared" si="45"/>
        <v>0</v>
      </c>
      <c r="U146" s="73"/>
      <c r="V146" s="73"/>
      <c r="W146" s="73"/>
      <c r="X146" s="73"/>
      <c r="Y146" s="73"/>
    </row>
    <row r="147" spans="1:25">
      <c r="A147" s="77">
        <f>A146</f>
        <v>3200</v>
      </c>
      <c r="B147" s="71">
        <v>1100</v>
      </c>
      <c r="C147" s="71"/>
      <c r="D147" s="71">
        <f t="shared" si="36"/>
        <v>3</v>
      </c>
      <c r="E147" s="72"/>
      <c r="F147" s="73">
        <f t="shared" si="37"/>
        <v>0</v>
      </c>
      <c r="G147" s="72">
        <f t="shared" si="38"/>
        <v>0</v>
      </c>
      <c r="H147" s="73">
        <v>0</v>
      </c>
      <c r="I147" s="73">
        <f t="shared" si="39"/>
        <v>0</v>
      </c>
      <c r="J147" s="73">
        <f t="shared" si="42"/>
        <v>0</v>
      </c>
      <c r="K147" s="73">
        <f t="shared" si="43"/>
        <v>0</v>
      </c>
      <c r="L147" s="74">
        <f>'BUSBAR 2013'!$N$23</f>
        <v>0</v>
      </c>
      <c r="M147" s="73"/>
      <c r="N147" s="73">
        <f t="shared" si="44"/>
        <v>0</v>
      </c>
      <c r="O147" s="73"/>
      <c r="P147" s="73"/>
      <c r="Q147" s="73"/>
      <c r="R147" s="73"/>
      <c r="S147" s="73"/>
      <c r="T147" s="73">
        <f t="shared" si="45"/>
        <v>0</v>
      </c>
      <c r="U147" s="73"/>
      <c r="V147" s="73"/>
      <c r="W147" s="73"/>
      <c r="X147" s="73"/>
      <c r="Y147" s="73"/>
    </row>
    <row r="148" spans="1:25">
      <c r="A148" s="77">
        <f>A146</f>
        <v>3200</v>
      </c>
      <c r="B148" s="71">
        <v>1300</v>
      </c>
      <c r="C148" s="71"/>
      <c r="D148" s="71">
        <f t="shared" si="36"/>
        <v>3</v>
      </c>
      <c r="E148" s="72"/>
      <c r="F148" s="73">
        <f t="shared" si="37"/>
        <v>0</v>
      </c>
      <c r="G148" s="72">
        <f t="shared" si="38"/>
        <v>0</v>
      </c>
      <c r="H148" s="73">
        <v>0</v>
      </c>
      <c r="I148" s="73">
        <f t="shared" si="39"/>
        <v>0</v>
      </c>
      <c r="J148" s="73">
        <f t="shared" si="42"/>
        <v>0</v>
      </c>
      <c r="K148" s="73">
        <f t="shared" si="43"/>
        <v>0</v>
      </c>
      <c r="L148" s="74">
        <f>'BUSBAR 2013'!$N$24</f>
        <v>0</v>
      </c>
      <c r="M148" s="73"/>
      <c r="N148" s="73">
        <f t="shared" si="44"/>
        <v>0</v>
      </c>
      <c r="O148" s="73"/>
      <c r="P148" s="73"/>
      <c r="Q148" s="73"/>
      <c r="R148" s="73"/>
      <c r="S148" s="73"/>
      <c r="T148" s="73">
        <f t="shared" si="45"/>
        <v>0</v>
      </c>
      <c r="U148" s="73"/>
      <c r="V148" s="73"/>
      <c r="W148" s="73"/>
      <c r="X148" s="73"/>
      <c r="Y148" s="73"/>
    </row>
    <row r="149" spans="1:25">
      <c r="A149" s="77">
        <f>A146</f>
        <v>3200</v>
      </c>
      <c r="B149" s="71">
        <v>1450</v>
      </c>
      <c r="C149" s="71"/>
      <c r="D149" s="71">
        <f t="shared" si="36"/>
        <v>3</v>
      </c>
      <c r="E149" s="72"/>
      <c r="F149" s="73">
        <f t="shared" si="37"/>
        <v>0</v>
      </c>
      <c r="G149" s="72">
        <f t="shared" si="38"/>
        <v>0</v>
      </c>
      <c r="H149" s="73">
        <v>0</v>
      </c>
      <c r="I149" s="73">
        <f t="shared" si="39"/>
        <v>0</v>
      </c>
      <c r="J149" s="73">
        <f t="shared" si="42"/>
        <v>0</v>
      </c>
      <c r="K149" s="73">
        <f t="shared" si="43"/>
        <v>0</v>
      </c>
      <c r="L149" s="74">
        <f>'BUSBAR 2013'!$N$25</f>
        <v>0</v>
      </c>
      <c r="M149" s="73"/>
      <c r="N149" s="73">
        <f t="shared" si="44"/>
        <v>0</v>
      </c>
      <c r="O149" s="73"/>
      <c r="P149" s="73"/>
      <c r="Q149" s="73"/>
      <c r="R149" s="73"/>
      <c r="S149" s="73"/>
      <c r="T149" s="73">
        <f t="shared" si="45"/>
        <v>0</v>
      </c>
      <c r="U149" s="73"/>
      <c r="V149" s="73"/>
      <c r="W149" s="73"/>
      <c r="X149" s="73"/>
      <c r="Y149" s="73"/>
    </row>
    <row r="150" spans="1:25">
      <c r="A150" s="71">
        <v>4000</v>
      </c>
      <c r="B150" s="71">
        <v>1200</v>
      </c>
      <c r="C150" s="71"/>
      <c r="D150" s="71">
        <f t="shared" si="36"/>
        <v>3</v>
      </c>
      <c r="E150" s="72"/>
      <c r="F150" s="73">
        <f t="shared" si="37"/>
        <v>96.120000000000019</v>
      </c>
      <c r="G150" s="72">
        <f t="shared" si="38"/>
        <v>2.3759999999999999</v>
      </c>
      <c r="H150" s="73">
        <v>0</v>
      </c>
      <c r="I150" s="73">
        <f t="shared" si="39"/>
        <v>2516.3562384000002</v>
      </c>
      <c r="J150" s="73">
        <f t="shared" si="42"/>
        <v>72.205344000000011</v>
      </c>
      <c r="K150" s="73">
        <f t="shared" si="43"/>
        <v>831.59999999999991</v>
      </c>
      <c r="L150" s="74">
        <f>'BUSBAR 2013'!$O$23</f>
        <v>1</v>
      </c>
      <c r="M150" s="73"/>
      <c r="N150" s="73">
        <f t="shared" si="44"/>
        <v>96.120000000000019</v>
      </c>
      <c r="O150" s="73"/>
      <c r="P150" s="73"/>
      <c r="Q150" s="73"/>
      <c r="R150" s="73"/>
      <c r="S150" s="73"/>
      <c r="T150" s="73">
        <f t="shared" si="45"/>
        <v>2.3759999999999999</v>
      </c>
      <c r="U150" s="73"/>
      <c r="V150" s="73"/>
      <c r="W150" s="73"/>
      <c r="X150" s="73"/>
      <c r="Y150" s="73"/>
    </row>
    <row r="151" spans="1:25">
      <c r="A151" s="77">
        <f>A150</f>
        <v>4000</v>
      </c>
      <c r="B151" s="71">
        <v>1500</v>
      </c>
      <c r="C151" s="71"/>
      <c r="D151" s="71">
        <f t="shared" si="36"/>
        <v>3</v>
      </c>
      <c r="E151" s="72"/>
      <c r="F151" s="73">
        <f t="shared" si="37"/>
        <v>0</v>
      </c>
      <c r="G151" s="72">
        <f t="shared" si="38"/>
        <v>0</v>
      </c>
      <c r="H151" s="73">
        <v>0</v>
      </c>
      <c r="I151" s="73">
        <f t="shared" si="39"/>
        <v>0</v>
      </c>
      <c r="J151" s="73">
        <f t="shared" si="42"/>
        <v>0</v>
      </c>
      <c r="K151" s="73">
        <f t="shared" si="43"/>
        <v>0</v>
      </c>
      <c r="L151" s="74">
        <f>'BUSBAR 2013'!$O$24</f>
        <v>0</v>
      </c>
      <c r="M151" s="73"/>
      <c r="N151" s="73">
        <f t="shared" si="44"/>
        <v>0</v>
      </c>
      <c r="O151" s="73"/>
      <c r="P151" s="73"/>
      <c r="Q151" s="73"/>
      <c r="R151" s="73"/>
      <c r="S151" s="73"/>
      <c r="T151" s="73">
        <f t="shared" si="45"/>
        <v>0</v>
      </c>
      <c r="U151" s="73"/>
      <c r="V151" s="73"/>
      <c r="W151" s="73"/>
      <c r="X151" s="73"/>
      <c r="Y151" s="73"/>
    </row>
    <row r="152" spans="1:25">
      <c r="A152" s="77">
        <f>A150</f>
        <v>4000</v>
      </c>
      <c r="B152" s="71">
        <v>1650</v>
      </c>
      <c r="C152" s="71"/>
      <c r="D152" s="71">
        <f t="shared" si="36"/>
        <v>3</v>
      </c>
      <c r="E152" s="72"/>
      <c r="F152" s="73">
        <f t="shared" si="37"/>
        <v>0</v>
      </c>
      <c r="G152" s="72">
        <f t="shared" si="38"/>
        <v>0</v>
      </c>
      <c r="H152" s="73">
        <v>0</v>
      </c>
      <c r="I152" s="73">
        <f t="shared" si="39"/>
        <v>0</v>
      </c>
      <c r="J152" s="73">
        <f t="shared" si="42"/>
        <v>0</v>
      </c>
      <c r="K152" s="73">
        <f t="shared" si="43"/>
        <v>0</v>
      </c>
      <c r="L152" s="74">
        <f>'BUSBAR 2013'!$O$25</f>
        <v>0</v>
      </c>
      <c r="M152" s="73"/>
      <c r="N152" s="73">
        <f t="shared" si="44"/>
        <v>0</v>
      </c>
      <c r="O152" s="73"/>
      <c r="P152" s="73"/>
      <c r="Q152" s="73"/>
      <c r="R152" s="73"/>
      <c r="S152" s="73"/>
      <c r="T152" s="73">
        <f t="shared" si="45"/>
        <v>0</v>
      </c>
      <c r="U152" s="73"/>
      <c r="V152" s="73"/>
      <c r="W152" s="73"/>
      <c r="X152" s="73"/>
      <c r="Y152" s="73"/>
    </row>
    <row r="153" spans="1:25">
      <c r="A153" s="71">
        <v>5000</v>
      </c>
      <c r="B153" s="71">
        <v>1200</v>
      </c>
      <c r="C153" s="71"/>
      <c r="D153" s="71">
        <f t="shared" si="36"/>
        <v>3</v>
      </c>
      <c r="E153" s="72"/>
      <c r="F153" s="73">
        <f t="shared" si="37"/>
        <v>0</v>
      </c>
      <c r="G153" s="72">
        <f t="shared" si="38"/>
        <v>0</v>
      </c>
      <c r="H153" s="73">
        <v>0</v>
      </c>
      <c r="I153" s="73">
        <f t="shared" si="39"/>
        <v>0</v>
      </c>
      <c r="J153" s="73">
        <f t="shared" si="42"/>
        <v>0</v>
      </c>
      <c r="K153" s="73">
        <f t="shared" si="43"/>
        <v>0</v>
      </c>
      <c r="L153" s="74">
        <f>'BUSBAR 2013'!$P$23</f>
        <v>0</v>
      </c>
      <c r="M153" s="73"/>
      <c r="N153" s="73">
        <f t="shared" si="44"/>
        <v>0</v>
      </c>
      <c r="O153" s="73"/>
      <c r="P153" s="73"/>
      <c r="Q153" s="73"/>
      <c r="R153" s="73"/>
      <c r="S153" s="73"/>
      <c r="T153" s="73">
        <f t="shared" si="45"/>
        <v>0</v>
      </c>
      <c r="U153" s="73"/>
      <c r="V153" s="73"/>
      <c r="W153" s="73"/>
      <c r="X153" s="73"/>
      <c r="Y153" s="73"/>
    </row>
    <row r="154" spans="1:25">
      <c r="A154" s="77">
        <f>A153</f>
        <v>5000</v>
      </c>
      <c r="B154" s="71">
        <v>1500</v>
      </c>
      <c r="C154" s="71"/>
      <c r="D154" s="71">
        <f t="shared" si="36"/>
        <v>3</v>
      </c>
      <c r="E154" s="72"/>
      <c r="F154" s="73">
        <f t="shared" si="37"/>
        <v>0</v>
      </c>
      <c r="G154" s="72">
        <f t="shared" si="38"/>
        <v>0</v>
      </c>
      <c r="H154" s="73">
        <v>0</v>
      </c>
      <c r="I154" s="73">
        <f t="shared" si="39"/>
        <v>0</v>
      </c>
      <c r="J154" s="73">
        <f t="shared" si="42"/>
        <v>0</v>
      </c>
      <c r="K154" s="73">
        <f t="shared" si="43"/>
        <v>0</v>
      </c>
      <c r="L154" s="74">
        <f>'BUSBAR 2013'!$P$24</f>
        <v>0</v>
      </c>
      <c r="M154" s="73"/>
      <c r="N154" s="73">
        <f t="shared" si="44"/>
        <v>0</v>
      </c>
      <c r="O154" s="73"/>
      <c r="P154" s="73"/>
      <c r="Q154" s="73"/>
      <c r="R154" s="73"/>
      <c r="S154" s="73"/>
      <c r="T154" s="73">
        <f t="shared" si="45"/>
        <v>0</v>
      </c>
      <c r="U154" s="73"/>
      <c r="V154" s="73"/>
      <c r="W154" s="73"/>
      <c r="X154" s="73"/>
      <c r="Y154" s="73"/>
    </row>
    <row r="155" spans="1:25">
      <c r="A155" s="77">
        <f>A153</f>
        <v>5000</v>
      </c>
      <c r="B155" s="71">
        <v>1650</v>
      </c>
      <c r="C155" s="71"/>
      <c r="D155" s="71">
        <f t="shared" si="36"/>
        <v>3</v>
      </c>
      <c r="E155" s="72"/>
      <c r="F155" s="73">
        <f t="shared" si="37"/>
        <v>0</v>
      </c>
      <c r="G155" s="72">
        <f t="shared" si="38"/>
        <v>0</v>
      </c>
      <c r="H155" s="73">
        <v>0</v>
      </c>
      <c r="I155" s="73">
        <f t="shared" si="39"/>
        <v>0</v>
      </c>
      <c r="J155" s="73">
        <f t="shared" si="42"/>
        <v>0</v>
      </c>
      <c r="K155" s="73">
        <f t="shared" si="43"/>
        <v>0</v>
      </c>
      <c r="L155" s="74">
        <f>'BUSBAR 2013'!$P$25</f>
        <v>0</v>
      </c>
      <c r="M155" s="73"/>
      <c r="N155" s="73">
        <f t="shared" si="44"/>
        <v>0</v>
      </c>
      <c r="O155" s="73"/>
      <c r="P155" s="73"/>
      <c r="Q155" s="73"/>
      <c r="R155" s="73"/>
      <c r="S155" s="73"/>
      <c r="T155" s="73">
        <f t="shared" si="45"/>
        <v>0</v>
      </c>
      <c r="U155" s="73"/>
      <c r="V155" s="73"/>
      <c r="W155" s="73"/>
      <c r="X155" s="73"/>
      <c r="Y155" s="73"/>
    </row>
    <row r="156" spans="1:25">
      <c r="A156" s="71">
        <v>6300</v>
      </c>
      <c r="B156" s="71">
        <v>1200</v>
      </c>
      <c r="C156" s="71"/>
      <c r="D156" s="71">
        <f t="shared" si="36"/>
        <v>3</v>
      </c>
      <c r="E156" s="72"/>
      <c r="F156" s="73">
        <f t="shared" si="37"/>
        <v>0</v>
      </c>
      <c r="G156" s="72">
        <f t="shared" si="38"/>
        <v>0</v>
      </c>
      <c r="H156" s="73">
        <v>0</v>
      </c>
      <c r="I156" s="73">
        <f t="shared" si="39"/>
        <v>0</v>
      </c>
      <c r="J156" s="73">
        <f t="shared" si="42"/>
        <v>0</v>
      </c>
      <c r="K156" s="73">
        <f t="shared" si="43"/>
        <v>0</v>
      </c>
      <c r="L156" s="74">
        <f>'BUSBAR 2013'!$Q$23</f>
        <v>0</v>
      </c>
      <c r="M156" s="73"/>
      <c r="N156" s="73">
        <f t="shared" si="44"/>
        <v>0</v>
      </c>
      <c r="O156" s="73"/>
      <c r="P156" s="73"/>
      <c r="Q156" s="73"/>
      <c r="R156" s="73"/>
      <c r="S156" s="73"/>
      <c r="T156" s="73">
        <f t="shared" si="45"/>
        <v>0</v>
      </c>
      <c r="U156" s="73"/>
      <c r="V156" s="73"/>
      <c r="W156" s="73"/>
      <c r="X156" s="73"/>
      <c r="Y156" s="73"/>
    </row>
    <row r="157" spans="1:25">
      <c r="A157" s="77">
        <f>A156</f>
        <v>6300</v>
      </c>
      <c r="B157" s="71">
        <v>1500</v>
      </c>
      <c r="C157" s="71"/>
      <c r="D157" s="71">
        <f t="shared" si="36"/>
        <v>3</v>
      </c>
      <c r="E157" s="72"/>
      <c r="F157" s="73">
        <f t="shared" si="37"/>
        <v>0</v>
      </c>
      <c r="G157" s="72">
        <f t="shared" si="38"/>
        <v>0</v>
      </c>
      <c r="H157" s="73">
        <v>0</v>
      </c>
      <c r="I157" s="73">
        <f t="shared" si="39"/>
        <v>0</v>
      </c>
      <c r="J157" s="73">
        <f t="shared" si="42"/>
        <v>0</v>
      </c>
      <c r="K157" s="73">
        <f t="shared" si="43"/>
        <v>0</v>
      </c>
      <c r="L157" s="74">
        <f>'BUSBAR 2013'!$Q$24</f>
        <v>0</v>
      </c>
      <c r="M157" s="73"/>
      <c r="N157" s="73">
        <f t="shared" si="44"/>
        <v>0</v>
      </c>
      <c r="O157" s="73"/>
      <c r="P157" s="73"/>
      <c r="Q157" s="73"/>
      <c r="R157" s="73"/>
      <c r="S157" s="73"/>
      <c r="T157" s="73">
        <f t="shared" si="45"/>
        <v>0</v>
      </c>
      <c r="U157" s="73"/>
      <c r="V157" s="73"/>
      <c r="W157" s="73"/>
      <c r="X157" s="73"/>
      <c r="Y157" s="73"/>
    </row>
    <row r="158" spans="1:25">
      <c r="A158" s="77">
        <f>A156</f>
        <v>6300</v>
      </c>
      <c r="B158" s="71">
        <v>1650</v>
      </c>
      <c r="C158" s="71"/>
      <c r="D158" s="71">
        <f t="shared" si="36"/>
        <v>3</v>
      </c>
      <c r="E158" s="72"/>
      <c r="F158" s="73">
        <f t="shared" si="37"/>
        <v>0</v>
      </c>
      <c r="G158" s="72">
        <f t="shared" si="38"/>
        <v>0</v>
      </c>
      <c r="H158" s="73">
        <v>0</v>
      </c>
      <c r="I158" s="73">
        <f t="shared" si="39"/>
        <v>0</v>
      </c>
      <c r="J158" s="73">
        <f t="shared" si="42"/>
        <v>0</v>
      </c>
      <c r="K158" s="73">
        <f t="shared" si="43"/>
        <v>0</v>
      </c>
      <c r="L158" s="74">
        <f>'BUSBAR 2013'!$Q$25</f>
        <v>0</v>
      </c>
      <c r="M158" s="73"/>
      <c r="N158" s="73">
        <f t="shared" si="44"/>
        <v>0</v>
      </c>
      <c r="O158" s="73"/>
      <c r="P158" s="73"/>
      <c r="Q158" s="73"/>
      <c r="R158" s="73"/>
      <c r="S158" s="73"/>
      <c r="T158" s="73">
        <f t="shared" si="45"/>
        <v>0</v>
      </c>
      <c r="U158" s="73"/>
      <c r="V158" s="73"/>
      <c r="W158" s="73"/>
      <c r="X158" s="73"/>
      <c r="Y158" s="73"/>
    </row>
    <row r="159" spans="1:25" ht="12.75" thickBot="1">
      <c r="M159" s="73"/>
      <c r="O159" s="75"/>
      <c r="T159" s="103"/>
      <c r="U159" s="103"/>
      <c r="V159" s="103"/>
      <c r="W159" s="103"/>
      <c r="X159" s="103"/>
      <c r="Y159" s="103"/>
    </row>
    <row r="160" spans="1:25" ht="21.75" customHeight="1" thickBot="1">
      <c r="G160" s="108">
        <f>SUM(G98:G159)</f>
        <v>4.59</v>
      </c>
      <c r="H160" s="108">
        <f t="shared" ref="H160:K160" si="46">SUM(H98:H159)</f>
        <v>0</v>
      </c>
      <c r="I160" s="108">
        <f t="shared" si="46"/>
        <v>4781.0768529600009</v>
      </c>
      <c r="J160" s="108">
        <f t="shared" si="46"/>
        <v>137.19015360000003</v>
      </c>
      <c r="K160" s="108">
        <f t="shared" si="46"/>
        <v>1606.5</v>
      </c>
      <c r="L160" s="109"/>
      <c r="M160" s="110"/>
      <c r="O160" s="75"/>
      <c r="T160" s="103"/>
      <c r="U160" s="103"/>
      <c r="V160" s="103"/>
      <c r="W160" s="103"/>
      <c r="X160" s="103"/>
      <c r="Y160" s="103"/>
    </row>
    <row r="161" spans="1:26" ht="12.75" thickBot="1">
      <c r="M161" s="73"/>
      <c r="O161" s="75"/>
      <c r="T161" s="103"/>
      <c r="U161" s="103"/>
      <c r="V161" s="103"/>
      <c r="W161" s="103"/>
      <c r="X161" s="103"/>
      <c r="Y161" s="103"/>
    </row>
    <row r="162" spans="1:26" s="68" customFormat="1" ht="21.75" customHeight="1" thickBot="1">
      <c r="A162" s="502" t="s">
        <v>67</v>
      </c>
      <c r="B162" s="503"/>
      <c r="C162" s="503"/>
      <c r="D162" s="503"/>
      <c r="E162" s="503"/>
      <c r="F162" s="503"/>
      <c r="G162" s="503"/>
      <c r="H162" s="503"/>
      <c r="I162" s="503"/>
      <c r="J162" s="503"/>
      <c r="K162" s="503"/>
      <c r="L162" s="503"/>
      <c r="M162" s="503"/>
      <c r="N162" s="503"/>
      <c r="O162" s="503"/>
      <c r="P162" s="503"/>
      <c r="Q162" s="503"/>
      <c r="R162" s="504"/>
      <c r="T162" s="103"/>
      <c r="U162" s="103"/>
      <c r="V162" s="103"/>
      <c r="W162" s="103"/>
      <c r="X162" s="103"/>
      <c r="Y162" s="103"/>
    </row>
    <row r="163" spans="1:26" ht="22.5" customHeight="1" thickBot="1">
      <c r="A163" s="69" t="s">
        <v>26</v>
      </c>
      <c r="B163" s="69" t="s">
        <v>20</v>
      </c>
      <c r="C163" s="69"/>
      <c r="D163" s="69" t="s">
        <v>64</v>
      </c>
      <c r="E163" s="69"/>
      <c r="F163" s="69" t="s">
        <v>76</v>
      </c>
      <c r="G163" s="69" t="s">
        <v>413</v>
      </c>
      <c r="H163" s="69" t="s">
        <v>410</v>
      </c>
      <c r="I163" s="69" t="s">
        <v>192</v>
      </c>
      <c r="J163" s="69" t="s">
        <v>411</v>
      </c>
      <c r="K163" s="69" t="s">
        <v>412</v>
      </c>
      <c r="L163" s="69" t="s">
        <v>87</v>
      </c>
      <c r="M163" s="69"/>
      <c r="N163" s="113" t="s">
        <v>365</v>
      </c>
      <c r="O163" s="114" t="s">
        <v>366</v>
      </c>
      <c r="P163" s="114" t="s">
        <v>367</v>
      </c>
      <c r="Q163" s="114" t="s">
        <v>368</v>
      </c>
      <c r="R163" s="114" t="s">
        <v>369</v>
      </c>
      <c r="S163" s="114" t="s">
        <v>370</v>
      </c>
      <c r="T163" s="113" t="s">
        <v>371</v>
      </c>
      <c r="U163" s="114" t="s">
        <v>372</v>
      </c>
      <c r="V163" s="114" t="s">
        <v>373</v>
      </c>
      <c r="W163" s="114" t="s">
        <v>374</v>
      </c>
      <c r="X163" s="114" t="s">
        <v>375</v>
      </c>
      <c r="Y163" s="114" t="s">
        <v>376</v>
      </c>
      <c r="Z163" s="113" t="s">
        <v>379</v>
      </c>
    </row>
    <row r="164" spans="1:26">
      <c r="A164" s="71">
        <v>250</v>
      </c>
      <c r="B164" s="71">
        <v>1300</v>
      </c>
      <c r="C164" s="71"/>
      <c r="D164" s="71">
        <f t="shared" ref="D164:D167" si="47">$M$4</f>
        <v>3</v>
      </c>
      <c r="E164" s="72"/>
      <c r="F164" s="73">
        <f t="shared" ref="F164:F167" si="48">SUM(N164:S164)</f>
        <v>0</v>
      </c>
      <c r="G164" s="72">
        <f t="shared" ref="G164:G167" si="49">SUM(T164:Y164)</f>
        <v>0</v>
      </c>
      <c r="H164" s="73">
        <v>0</v>
      </c>
      <c r="I164" s="73">
        <f t="shared" ref="I164" si="50">($A$2*F164)</f>
        <v>0</v>
      </c>
      <c r="J164" s="73">
        <f>(F164*$C$2)</f>
        <v>0</v>
      </c>
      <c r="K164" s="73">
        <f>(G164*$E$2)</f>
        <v>0</v>
      </c>
      <c r="L164" s="74">
        <f>'BUSBAR 2013'!$B$29</f>
        <v>0</v>
      </c>
      <c r="M164" s="73"/>
      <c r="N164" s="73">
        <f t="shared" ref="N164:N167" si="51">IF($K$4=1,VLOOKUP(A164,Table_Old,13,0)*$M$4*B164*L164*(8.9/1000000),VLOOKUP(A164,Table_New,13,0)*$M$4*B164*L164*(8.9/1000000))</f>
        <v>0</v>
      </c>
      <c r="O164" s="119">
        <f t="shared" ref="O164:O167" si="52">IF($K$4=1,VLOOKUP(A164,Table_Old,14,0)*Z164*L164*(8.9/1000000),VLOOKUP(A164,Table_New,14,0)*Z164*L164*(8.9/1000000))</f>
        <v>0</v>
      </c>
      <c r="P164" s="119">
        <f t="shared" ref="P164:P167" si="53">IF($K$4=1,VLOOKUP(A164,Table_Old,15,0)*Z164*L164*(8.9/1000000),VLOOKUP(A164,Table_New,15,0)*Z164*L164*(8.9/1000000))</f>
        <v>0</v>
      </c>
      <c r="Q164" s="119">
        <f t="shared" ref="Q164:Q167" si="54">IF($K$4=1,VLOOKUP(A164,Table_Old,16,0)*Z164*L164*(8.9/1000000),VLOOKUP(A164,Table_New,16,0)*Z164*L164*(8.9/1000000))</f>
        <v>0</v>
      </c>
      <c r="R164" s="119">
        <f t="shared" ref="R164:R167" si="55">IF($K$4=1,VLOOKUP(A164,Table_Old,17,0)*Z164*L164*(8.9/1000000),VLOOKUP(A164,Table_New,17,0)*Z164*L164*(8.9/1000000))</f>
        <v>0</v>
      </c>
      <c r="S164" s="119">
        <f t="shared" ref="S164:S167" si="56">IF($K$4=1,VLOOKUP(A164,Table_Old,18,0)*Z164*L164*(8.9/1000000),VLOOKUP(A164,Table_New,18,0)*Z164*L164*(8.9/1000000))</f>
        <v>0</v>
      </c>
      <c r="T164" s="73">
        <f t="shared" ref="T164:T167" si="57">IF($K$4=1,VLOOKUP(A164,Table_Old,19,0)*$M$4*B164*L164/1000000,VLOOKUP(A164,Table_New,19,0)*$M$4*B164*L164/1000000)</f>
        <v>0</v>
      </c>
      <c r="U164" s="119">
        <f t="shared" ref="U164:U167" si="58">IF($K$4=1,VLOOKUP(A164,Table_Old,20,0)*Z164*L164/1000000,VLOOKUP(A164,Table_New,20,0)*Z164*L164/1000000)</f>
        <v>0</v>
      </c>
      <c r="V164" s="119">
        <f t="shared" ref="V164:V167" si="59">IF($K$4=1,VLOOKUP(A164,Table_Old,21,0)*Z164*L164/1000000,VLOOKUP(A164,Table_New,21,0)*Z164*L164/1000000)</f>
        <v>0</v>
      </c>
      <c r="W164" s="119">
        <f t="shared" ref="W164:W167" si="60">IF($K$4=1,VLOOKUP(A164,Table_Old,22,0)*Z164*L164/1000000,VLOOKUP(A164,Table_New,22,0)*Z164*L164/1000000)</f>
        <v>0</v>
      </c>
      <c r="X164" s="119">
        <f t="shared" ref="X164:X167" si="61">IF($K$4=1,VLOOKUP(A164,Table_Old,23,0)*Z164*L164/1000000,VLOOKUP(A164,Table_New,23,0)*Z164*L164/1000000)</f>
        <v>0</v>
      </c>
      <c r="Y164" s="119">
        <f t="shared" ref="Y164:Y167" si="62">IF($K$4=1,VLOOKUP(A164,Table_Old,24,0)*Z164*L164/1000000,VLOOKUP(A164,Table_New,24,0)*Z164*L164/1000000)</f>
        <v>0</v>
      </c>
      <c r="Z164" s="120">
        <f>IF('ENCL 2013'!$F$43=1,(SUM('ENCL 2013'!$G$42:$G$43)*400+SUM('ENCL 2013'!$H$42:$H$43)*600+SUM('ENCL 2013'!$I$42:$I$43)*800+SUM('ENCL 2013'!$J$42:$J$43)*1000+SUM('ENCL 2013'!$K$42:$K$43)*1200),0)</f>
        <v>0</v>
      </c>
    </row>
    <row r="165" spans="1:26">
      <c r="A165" s="77">
        <f>A164</f>
        <v>250</v>
      </c>
      <c r="B165" s="71">
        <v>1500</v>
      </c>
      <c r="C165" s="71"/>
      <c r="D165" s="71">
        <f t="shared" si="47"/>
        <v>3</v>
      </c>
      <c r="E165" s="72"/>
      <c r="F165" s="73">
        <f t="shared" si="48"/>
        <v>0</v>
      </c>
      <c r="G165" s="72">
        <f t="shared" si="49"/>
        <v>0</v>
      </c>
      <c r="H165" s="73">
        <v>0</v>
      </c>
      <c r="I165" s="73">
        <f>($A$2*F165)</f>
        <v>0</v>
      </c>
      <c r="J165" s="73">
        <f t="shared" ref="J165:J167" si="63">(F165*$C$2)</f>
        <v>0</v>
      </c>
      <c r="K165" s="73">
        <f t="shared" ref="K165:K166" si="64">(G165*$E$2)</f>
        <v>0</v>
      </c>
      <c r="L165" s="74">
        <f>'BUSBAR 2013'!$B$30</f>
        <v>0</v>
      </c>
      <c r="M165" s="73"/>
      <c r="N165" s="73">
        <f t="shared" si="51"/>
        <v>0</v>
      </c>
      <c r="O165" s="119">
        <f t="shared" si="52"/>
        <v>0</v>
      </c>
      <c r="P165" s="119">
        <f t="shared" si="53"/>
        <v>0</v>
      </c>
      <c r="Q165" s="119">
        <f t="shared" si="54"/>
        <v>0</v>
      </c>
      <c r="R165" s="119">
        <f t="shared" si="55"/>
        <v>0</v>
      </c>
      <c r="S165" s="119">
        <f t="shared" si="56"/>
        <v>0</v>
      </c>
      <c r="T165" s="73">
        <f t="shared" si="57"/>
        <v>0</v>
      </c>
      <c r="U165" s="119">
        <f t="shared" si="58"/>
        <v>0</v>
      </c>
      <c r="V165" s="119">
        <f t="shared" si="59"/>
        <v>0</v>
      </c>
      <c r="W165" s="119">
        <f t="shared" si="60"/>
        <v>0</v>
      </c>
      <c r="X165" s="119">
        <f t="shared" si="61"/>
        <v>0</v>
      </c>
      <c r="Y165" s="119">
        <f t="shared" si="62"/>
        <v>0</v>
      </c>
      <c r="Z165" s="120">
        <f>IF('ENCL 2013'!$F$43=1,(SUM('ENCL 2013'!$G$42:$G$43)*400+SUM('ENCL 2013'!$H$42:$H$43)*600+SUM('ENCL 2013'!$I$42:$I$43)*800+SUM('ENCL 2013'!$J$42:$J$43)*1000+SUM('ENCL 2013'!$K$42:$K$43)*1200),0)</f>
        <v>0</v>
      </c>
    </row>
    <row r="166" spans="1:26">
      <c r="A166" s="77">
        <f>A164</f>
        <v>250</v>
      </c>
      <c r="B166" s="71">
        <v>1800</v>
      </c>
      <c r="C166" s="71"/>
      <c r="D166" s="71">
        <f t="shared" si="47"/>
        <v>3</v>
      </c>
      <c r="E166" s="72"/>
      <c r="F166" s="73">
        <f t="shared" si="48"/>
        <v>0</v>
      </c>
      <c r="G166" s="72">
        <f t="shared" si="49"/>
        <v>0</v>
      </c>
      <c r="H166" s="73">
        <v>0</v>
      </c>
      <c r="I166" s="73">
        <f t="shared" ref="I166:I167" si="65">($A$2*F166)</f>
        <v>0</v>
      </c>
      <c r="J166" s="73">
        <f t="shared" si="63"/>
        <v>0</v>
      </c>
      <c r="K166" s="73">
        <f t="shared" si="64"/>
        <v>0</v>
      </c>
      <c r="L166" s="74">
        <f>'BUSBAR 2013'!$B$31</f>
        <v>0</v>
      </c>
      <c r="M166" s="73"/>
      <c r="N166" s="73">
        <f t="shared" si="51"/>
        <v>0</v>
      </c>
      <c r="O166" s="119">
        <f t="shared" si="52"/>
        <v>0</v>
      </c>
      <c r="P166" s="119">
        <f t="shared" si="53"/>
        <v>0</v>
      </c>
      <c r="Q166" s="119">
        <f t="shared" si="54"/>
        <v>0</v>
      </c>
      <c r="R166" s="119">
        <f t="shared" si="55"/>
        <v>0</v>
      </c>
      <c r="S166" s="119">
        <f t="shared" si="56"/>
        <v>0</v>
      </c>
      <c r="T166" s="73">
        <f t="shared" si="57"/>
        <v>0</v>
      </c>
      <c r="U166" s="119">
        <f t="shared" si="58"/>
        <v>0</v>
      </c>
      <c r="V166" s="119">
        <f t="shared" si="59"/>
        <v>0</v>
      </c>
      <c r="W166" s="119">
        <f t="shared" si="60"/>
        <v>0</v>
      </c>
      <c r="X166" s="119">
        <f t="shared" si="61"/>
        <v>0</v>
      </c>
      <c r="Y166" s="119">
        <f t="shared" si="62"/>
        <v>0</v>
      </c>
      <c r="Z166" s="120">
        <f>IF('ENCL 2013'!$F$43=1,(SUM('ENCL 2013'!$G$42:$G$43)*400+SUM('ENCL 2013'!$H$42:$H$43)*600+SUM('ENCL 2013'!$I$42:$I$43)*800+SUM('ENCL 2013'!$J$42:$J$43)*1000+SUM('ENCL 2013'!$K$42:$K$43)*1200),0)</f>
        <v>0</v>
      </c>
    </row>
    <row r="167" spans="1:26">
      <c r="A167" s="77">
        <f>A164</f>
        <v>250</v>
      </c>
      <c r="B167" s="71">
        <v>1950</v>
      </c>
      <c r="C167" s="71"/>
      <c r="D167" s="71">
        <f t="shared" si="47"/>
        <v>3</v>
      </c>
      <c r="E167" s="72"/>
      <c r="F167" s="73">
        <f t="shared" si="48"/>
        <v>0</v>
      </c>
      <c r="G167" s="72">
        <f t="shared" si="49"/>
        <v>0</v>
      </c>
      <c r="H167" s="73">
        <v>0</v>
      </c>
      <c r="I167" s="73">
        <f t="shared" si="65"/>
        <v>0</v>
      </c>
      <c r="J167" s="73">
        <f t="shared" si="63"/>
        <v>0</v>
      </c>
      <c r="K167" s="73">
        <f>(G167*$E$2)</f>
        <v>0</v>
      </c>
      <c r="L167" s="74">
        <f>'BUSBAR 2013'!$B$32</f>
        <v>0</v>
      </c>
      <c r="M167" s="73"/>
      <c r="N167" s="73">
        <f t="shared" si="51"/>
        <v>0</v>
      </c>
      <c r="O167" s="119">
        <f t="shared" si="52"/>
        <v>0</v>
      </c>
      <c r="P167" s="119">
        <f t="shared" si="53"/>
        <v>0</v>
      </c>
      <c r="Q167" s="119">
        <f t="shared" si="54"/>
        <v>0</v>
      </c>
      <c r="R167" s="119">
        <f t="shared" si="55"/>
        <v>0</v>
      </c>
      <c r="S167" s="119">
        <f t="shared" si="56"/>
        <v>0</v>
      </c>
      <c r="T167" s="73">
        <f t="shared" si="57"/>
        <v>0</v>
      </c>
      <c r="U167" s="119">
        <f t="shared" si="58"/>
        <v>0</v>
      </c>
      <c r="V167" s="119">
        <f t="shared" si="59"/>
        <v>0</v>
      </c>
      <c r="W167" s="119">
        <f t="shared" si="60"/>
        <v>0</v>
      </c>
      <c r="X167" s="119">
        <f t="shared" si="61"/>
        <v>0</v>
      </c>
      <c r="Y167" s="119">
        <f t="shared" si="62"/>
        <v>0</v>
      </c>
      <c r="Z167" s="120">
        <f>IF('ENCL 2013'!$F$43=1,(SUM('ENCL 2013'!$G$42:$G$43)*400+SUM('ENCL 2013'!$H$42:$H$43)*600+SUM('ENCL 2013'!$I$42:$I$43)*800+SUM('ENCL 2013'!$J$42:$J$43)*1000+SUM('ENCL 2013'!$K$42:$K$43)*1200),0)</f>
        <v>0</v>
      </c>
    </row>
    <row r="168" spans="1:26">
      <c r="A168" s="71">
        <v>400</v>
      </c>
      <c r="B168" s="71">
        <v>1300</v>
      </c>
      <c r="C168" s="71"/>
      <c r="D168" s="71">
        <f t="shared" ref="D168:D224" si="66">$M$4</f>
        <v>3</v>
      </c>
      <c r="E168" s="72"/>
      <c r="F168" s="73">
        <f t="shared" ref="F168:F224" si="67">SUM(N168:S168)</f>
        <v>0</v>
      </c>
      <c r="G168" s="72">
        <f t="shared" ref="G168:G224" si="68">SUM(T168:Y168)</f>
        <v>0</v>
      </c>
      <c r="H168" s="73">
        <v>0</v>
      </c>
      <c r="I168" s="73">
        <f t="shared" ref="I168:I224" si="69">($A$2*F168)</f>
        <v>0</v>
      </c>
      <c r="J168" s="73">
        <f>(F168*$C$2)</f>
        <v>0</v>
      </c>
      <c r="K168" s="73">
        <f>(G168*$E$2)</f>
        <v>0</v>
      </c>
      <c r="L168" s="74">
        <f>'BUSBAR 2013'!$C$29</f>
        <v>0</v>
      </c>
      <c r="M168" s="73"/>
      <c r="N168" s="73">
        <f t="shared" ref="N168:N199" si="70">IF($K$4=1,VLOOKUP(A168,Table_Old,13,0)*$M$4*B168*L168*(8.9/1000000),VLOOKUP(A168,Table_New,13,0)*$M$4*B168*L168*(8.9/1000000))</f>
        <v>0</v>
      </c>
      <c r="O168" s="119">
        <f t="shared" ref="O168:O199" si="71">IF($K$4=1,VLOOKUP(A168,Table_Old,14,0)*Z168*L168*(8.9/1000000),VLOOKUP(A168,Table_New,14,0)*Z168*L168*(8.9/1000000))</f>
        <v>0</v>
      </c>
      <c r="P168" s="119">
        <f t="shared" ref="P168:P199" si="72">IF($K$4=1,VLOOKUP(A168,Table_Old,15,0)*Z168*L168*(8.9/1000000),VLOOKUP(A168,Table_New,15,0)*Z168*L168*(8.9/1000000))</f>
        <v>0</v>
      </c>
      <c r="Q168" s="119">
        <f t="shared" ref="Q168:Q199" si="73">IF($K$4=1,VLOOKUP(A168,Table_Old,16,0)*Z168*L168*(8.9/1000000),VLOOKUP(A168,Table_New,16,0)*Z168*L168*(8.9/1000000))</f>
        <v>0</v>
      </c>
      <c r="R168" s="119">
        <f t="shared" ref="R168:R199" si="74">IF($K$4=1,VLOOKUP(A168,Table_Old,17,0)*Z168*L168*(8.9/1000000),VLOOKUP(A168,Table_New,17,0)*Z168*L168*(8.9/1000000))</f>
        <v>0</v>
      </c>
      <c r="S168" s="119">
        <f t="shared" ref="S168:S199" si="75">IF($K$4=1,VLOOKUP(A168,Table_Old,18,0)*Z168*L168*(8.9/1000000),VLOOKUP(A168,Table_New,18,0)*Z168*L168*(8.9/1000000))</f>
        <v>0</v>
      </c>
      <c r="T168" s="73">
        <f t="shared" ref="T168:T199" si="76">IF($K$4=1,VLOOKUP(A168,Table_Old,19,0)*$M$4*B168*L168/1000000,VLOOKUP(A168,Table_New,19,0)*$M$4*B168*L168/1000000)</f>
        <v>0</v>
      </c>
      <c r="U168" s="119">
        <f t="shared" ref="U168:U199" si="77">IF($K$4=1,VLOOKUP(A168,Table_Old,20,0)*Z168*L168/1000000,VLOOKUP(A168,Table_New,20,0)*Z168*L168/1000000)</f>
        <v>0</v>
      </c>
      <c r="V168" s="119">
        <f t="shared" ref="V168:V199" si="78">IF($K$4=1,VLOOKUP(A168,Table_Old,21,0)*Z168*L168/1000000,VLOOKUP(A168,Table_New,21,0)*Z168*L168/1000000)</f>
        <v>0</v>
      </c>
      <c r="W168" s="119">
        <f t="shared" ref="W168:W199" si="79">IF($K$4=1,VLOOKUP(A168,Table_Old,22,0)*Z168*L168/1000000,VLOOKUP(A168,Table_New,22,0)*Z168*L168/1000000)</f>
        <v>0</v>
      </c>
      <c r="X168" s="119">
        <f t="shared" ref="X168:X199" si="80">IF($K$4=1,VLOOKUP(A168,Table_Old,23,0)*Z168*L168/1000000,VLOOKUP(A168,Table_New,23,0)*Z168*L168/1000000)</f>
        <v>0</v>
      </c>
      <c r="Y168" s="119">
        <f t="shared" ref="Y168:Y199" si="81">IF($K$4=1,VLOOKUP(A168,Table_Old,24,0)*Z168*L168/1000000,VLOOKUP(A168,Table_New,24,0)*Z168*L168/1000000)</f>
        <v>0</v>
      </c>
      <c r="Z168" s="120">
        <f>IF('ENCL 2013'!$F$43=1,(SUM('ENCL 2013'!$G$42:$G$43)*400+SUM('ENCL 2013'!$H$42:$H$43)*600+SUM('ENCL 2013'!$I$42:$I$43)*800+SUM('ENCL 2013'!$J$42:$J$43)*1000+SUM('ENCL 2013'!$K$42:$K$43)*1200),0)</f>
        <v>0</v>
      </c>
    </row>
    <row r="169" spans="1:26">
      <c r="A169" s="77">
        <f>A168</f>
        <v>400</v>
      </c>
      <c r="B169" s="71">
        <v>1500</v>
      </c>
      <c r="C169" s="71"/>
      <c r="D169" s="71">
        <f t="shared" si="66"/>
        <v>3</v>
      </c>
      <c r="E169" s="72"/>
      <c r="F169" s="73">
        <f t="shared" si="67"/>
        <v>0</v>
      </c>
      <c r="G169" s="72">
        <f t="shared" si="68"/>
        <v>0</v>
      </c>
      <c r="H169" s="73">
        <v>0</v>
      </c>
      <c r="I169" s="73">
        <f>($A$2*F169)</f>
        <v>0</v>
      </c>
      <c r="J169" s="73">
        <f t="shared" ref="J169:J224" si="82">(F169*$C$2)</f>
        <v>0</v>
      </c>
      <c r="K169" s="73">
        <f t="shared" ref="K169:K224" si="83">(G169*$E$2)</f>
        <v>0</v>
      </c>
      <c r="L169" s="74">
        <f>'BUSBAR 2013'!$C$30</f>
        <v>0</v>
      </c>
      <c r="M169" s="73"/>
      <c r="N169" s="73">
        <f t="shared" si="70"/>
        <v>0</v>
      </c>
      <c r="O169" s="119">
        <f t="shared" si="71"/>
        <v>0</v>
      </c>
      <c r="P169" s="119">
        <f t="shared" si="72"/>
        <v>0</v>
      </c>
      <c r="Q169" s="119">
        <f t="shared" si="73"/>
        <v>0</v>
      </c>
      <c r="R169" s="119">
        <f t="shared" si="74"/>
        <v>0</v>
      </c>
      <c r="S169" s="119">
        <f t="shared" si="75"/>
        <v>0</v>
      </c>
      <c r="T169" s="73">
        <f t="shared" si="76"/>
        <v>0</v>
      </c>
      <c r="U169" s="119">
        <f t="shared" si="77"/>
        <v>0</v>
      </c>
      <c r="V169" s="119">
        <f t="shared" si="78"/>
        <v>0</v>
      </c>
      <c r="W169" s="119">
        <f t="shared" si="79"/>
        <v>0</v>
      </c>
      <c r="X169" s="119">
        <f t="shared" si="80"/>
        <v>0</v>
      </c>
      <c r="Y169" s="119">
        <f t="shared" si="81"/>
        <v>0</v>
      </c>
      <c r="Z169" s="120">
        <f>IF('ENCL 2013'!$F$43=1,(SUM('ENCL 2013'!$G$42:$G$43)*400+SUM('ENCL 2013'!$H$42:$H$43)*600+SUM('ENCL 2013'!$I$42:$I$43)*800+SUM('ENCL 2013'!$J$42:$J$43)*1000+SUM('ENCL 2013'!$K$42:$K$43)*1200),0)</f>
        <v>0</v>
      </c>
    </row>
    <row r="170" spans="1:26">
      <c r="A170" s="77">
        <f>A168</f>
        <v>400</v>
      </c>
      <c r="B170" s="71">
        <v>1800</v>
      </c>
      <c r="C170" s="71"/>
      <c r="D170" s="71">
        <f t="shared" si="66"/>
        <v>3</v>
      </c>
      <c r="E170" s="72"/>
      <c r="F170" s="73">
        <f t="shared" si="67"/>
        <v>0</v>
      </c>
      <c r="G170" s="72">
        <f t="shared" si="68"/>
        <v>0</v>
      </c>
      <c r="H170" s="73">
        <v>0</v>
      </c>
      <c r="I170" s="73">
        <f t="shared" si="69"/>
        <v>0</v>
      </c>
      <c r="J170" s="73">
        <f t="shared" si="82"/>
        <v>0</v>
      </c>
      <c r="K170" s="73">
        <f t="shared" si="83"/>
        <v>0</v>
      </c>
      <c r="L170" s="74">
        <f>'BUSBAR 2013'!$C$31</f>
        <v>0</v>
      </c>
      <c r="M170" s="73"/>
      <c r="N170" s="73">
        <f t="shared" si="70"/>
        <v>0</v>
      </c>
      <c r="O170" s="119">
        <f t="shared" si="71"/>
        <v>0</v>
      </c>
      <c r="P170" s="119">
        <f t="shared" si="72"/>
        <v>0</v>
      </c>
      <c r="Q170" s="119">
        <f t="shared" si="73"/>
        <v>0</v>
      </c>
      <c r="R170" s="119">
        <f t="shared" si="74"/>
        <v>0</v>
      </c>
      <c r="S170" s="119">
        <f t="shared" si="75"/>
        <v>0</v>
      </c>
      <c r="T170" s="73">
        <f t="shared" si="76"/>
        <v>0</v>
      </c>
      <c r="U170" s="119">
        <f t="shared" si="77"/>
        <v>0</v>
      </c>
      <c r="V170" s="119">
        <f t="shared" si="78"/>
        <v>0</v>
      </c>
      <c r="W170" s="119">
        <f t="shared" si="79"/>
        <v>0</v>
      </c>
      <c r="X170" s="119">
        <f t="shared" si="80"/>
        <v>0</v>
      </c>
      <c r="Y170" s="119">
        <f t="shared" si="81"/>
        <v>0</v>
      </c>
      <c r="Z170" s="120">
        <f>IF('ENCL 2013'!$F$43=1,(SUM('ENCL 2013'!$G$42:$G$43)*400+SUM('ENCL 2013'!$H$42:$H$43)*600+SUM('ENCL 2013'!$I$42:$I$43)*800+SUM('ENCL 2013'!$J$42:$J$43)*1000+SUM('ENCL 2013'!$K$42:$K$43)*1200),0)</f>
        <v>0</v>
      </c>
    </row>
    <row r="171" spans="1:26">
      <c r="A171" s="77">
        <f>A168</f>
        <v>400</v>
      </c>
      <c r="B171" s="71">
        <v>1950</v>
      </c>
      <c r="C171" s="71"/>
      <c r="D171" s="71">
        <f t="shared" si="66"/>
        <v>3</v>
      </c>
      <c r="E171" s="72"/>
      <c r="F171" s="73">
        <f t="shared" si="67"/>
        <v>0</v>
      </c>
      <c r="G171" s="72">
        <f t="shared" si="68"/>
        <v>0</v>
      </c>
      <c r="H171" s="73">
        <v>0</v>
      </c>
      <c r="I171" s="73">
        <f t="shared" si="69"/>
        <v>0</v>
      </c>
      <c r="J171" s="73">
        <f t="shared" si="82"/>
        <v>0</v>
      </c>
      <c r="K171" s="73">
        <f>(G171*$E$2)</f>
        <v>0</v>
      </c>
      <c r="L171" s="74">
        <f>'BUSBAR 2013'!$C$32</f>
        <v>0</v>
      </c>
      <c r="M171" s="73"/>
      <c r="N171" s="73">
        <f t="shared" si="70"/>
        <v>0</v>
      </c>
      <c r="O171" s="119">
        <f t="shared" si="71"/>
        <v>0</v>
      </c>
      <c r="P171" s="119">
        <f t="shared" si="72"/>
        <v>0</v>
      </c>
      <c r="Q171" s="119">
        <f t="shared" si="73"/>
        <v>0</v>
      </c>
      <c r="R171" s="119">
        <f t="shared" si="74"/>
        <v>0</v>
      </c>
      <c r="S171" s="119">
        <f t="shared" si="75"/>
        <v>0</v>
      </c>
      <c r="T171" s="73">
        <f t="shared" si="76"/>
        <v>0</v>
      </c>
      <c r="U171" s="119">
        <f t="shared" si="77"/>
        <v>0</v>
      </c>
      <c r="V171" s="119">
        <f t="shared" si="78"/>
        <v>0</v>
      </c>
      <c r="W171" s="119">
        <f t="shared" si="79"/>
        <v>0</v>
      </c>
      <c r="X171" s="119">
        <f t="shared" si="80"/>
        <v>0</v>
      </c>
      <c r="Y171" s="119">
        <f t="shared" si="81"/>
        <v>0</v>
      </c>
      <c r="Z171" s="120">
        <f>IF('ENCL 2013'!$F$43=1,(SUM('ENCL 2013'!$G$42:$G$43)*400+SUM('ENCL 2013'!$H$42:$H$43)*600+SUM('ENCL 2013'!$I$42:$I$43)*800+SUM('ENCL 2013'!$J$42:$J$43)*1000+SUM('ENCL 2013'!$K$42:$K$43)*1200),0)</f>
        <v>0</v>
      </c>
    </row>
    <row r="172" spans="1:26">
      <c r="A172" s="71">
        <v>600</v>
      </c>
      <c r="B172" s="71">
        <v>1300</v>
      </c>
      <c r="C172" s="71"/>
      <c r="D172" s="71">
        <f t="shared" si="66"/>
        <v>3</v>
      </c>
      <c r="E172" s="72"/>
      <c r="F172" s="73">
        <f t="shared" si="67"/>
        <v>0</v>
      </c>
      <c r="G172" s="72">
        <f t="shared" si="68"/>
        <v>0</v>
      </c>
      <c r="H172" s="73">
        <v>0</v>
      </c>
      <c r="I172" s="73">
        <f t="shared" si="69"/>
        <v>0</v>
      </c>
      <c r="J172" s="73">
        <f t="shared" si="82"/>
        <v>0</v>
      </c>
      <c r="K172" s="73">
        <f t="shared" si="83"/>
        <v>0</v>
      </c>
      <c r="L172" s="74">
        <f>'BUSBAR 2013'!$D$29</f>
        <v>0</v>
      </c>
      <c r="M172" s="73"/>
      <c r="N172" s="73">
        <f t="shared" si="70"/>
        <v>0</v>
      </c>
      <c r="O172" s="119">
        <f t="shared" si="71"/>
        <v>0</v>
      </c>
      <c r="P172" s="119">
        <f t="shared" si="72"/>
        <v>0</v>
      </c>
      <c r="Q172" s="119">
        <f t="shared" si="73"/>
        <v>0</v>
      </c>
      <c r="R172" s="119">
        <f t="shared" si="74"/>
        <v>0</v>
      </c>
      <c r="S172" s="119">
        <f t="shared" si="75"/>
        <v>0</v>
      </c>
      <c r="T172" s="73">
        <f t="shared" si="76"/>
        <v>0</v>
      </c>
      <c r="U172" s="119">
        <f t="shared" si="77"/>
        <v>0</v>
      </c>
      <c r="V172" s="119">
        <f t="shared" si="78"/>
        <v>0</v>
      </c>
      <c r="W172" s="119">
        <f t="shared" si="79"/>
        <v>0</v>
      </c>
      <c r="X172" s="119">
        <f t="shared" si="80"/>
        <v>0</v>
      </c>
      <c r="Y172" s="119">
        <f t="shared" si="81"/>
        <v>0</v>
      </c>
      <c r="Z172" s="120">
        <f>IF('ENCL 2013'!$F$43=1,(SUM('ENCL 2013'!$G$42:$G$43)*400+SUM('ENCL 2013'!$H$42:$H$43)*600+SUM('ENCL 2013'!$I$42:$I$43)*800+SUM('ENCL 2013'!$J$42:$J$43)*1000+SUM('ENCL 2013'!$K$42:$K$43)*1200),0)</f>
        <v>0</v>
      </c>
    </row>
    <row r="173" spans="1:26">
      <c r="A173" s="77">
        <f>A172</f>
        <v>600</v>
      </c>
      <c r="B173" s="71">
        <v>1500</v>
      </c>
      <c r="C173" s="71"/>
      <c r="D173" s="71">
        <f t="shared" si="66"/>
        <v>3</v>
      </c>
      <c r="E173" s="72"/>
      <c r="F173" s="73">
        <f t="shared" si="67"/>
        <v>0</v>
      </c>
      <c r="G173" s="72">
        <f t="shared" si="68"/>
        <v>0</v>
      </c>
      <c r="H173" s="73">
        <v>0</v>
      </c>
      <c r="I173" s="73">
        <f t="shared" si="69"/>
        <v>0</v>
      </c>
      <c r="J173" s="73">
        <f t="shared" si="82"/>
        <v>0</v>
      </c>
      <c r="K173" s="73">
        <f t="shared" si="83"/>
        <v>0</v>
      </c>
      <c r="L173" s="74">
        <f>'BUSBAR 2013'!$D$30</f>
        <v>0</v>
      </c>
      <c r="M173" s="73"/>
      <c r="N173" s="73">
        <f t="shared" si="70"/>
        <v>0</v>
      </c>
      <c r="O173" s="119">
        <f t="shared" si="71"/>
        <v>0</v>
      </c>
      <c r="P173" s="119">
        <f t="shared" si="72"/>
        <v>0</v>
      </c>
      <c r="Q173" s="119">
        <f t="shared" si="73"/>
        <v>0</v>
      </c>
      <c r="R173" s="119">
        <f t="shared" si="74"/>
        <v>0</v>
      </c>
      <c r="S173" s="119">
        <f t="shared" si="75"/>
        <v>0</v>
      </c>
      <c r="T173" s="73">
        <f t="shared" si="76"/>
        <v>0</v>
      </c>
      <c r="U173" s="119">
        <f t="shared" si="77"/>
        <v>0</v>
      </c>
      <c r="V173" s="119">
        <f t="shared" si="78"/>
        <v>0</v>
      </c>
      <c r="W173" s="119">
        <f t="shared" si="79"/>
        <v>0</v>
      </c>
      <c r="X173" s="119">
        <f t="shared" si="80"/>
        <v>0</v>
      </c>
      <c r="Y173" s="119">
        <f t="shared" si="81"/>
        <v>0</v>
      </c>
      <c r="Z173" s="120">
        <f>IF('ENCL 2013'!$F$43=1,(SUM('ENCL 2013'!$G$42:$G$43)*400+SUM('ENCL 2013'!$H$42:$H$43)*600+SUM('ENCL 2013'!$I$42:$I$43)*800+SUM('ENCL 2013'!$J$42:$J$43)*1000+SUM('ENCL 2013'!$K$42:$K$43)*1200),0)</f>
        <v>0</v>
      </c>
    </row>
    <row r="174" spans="1:26">
      <c r="A174" s="77">
        <f>A172</f>
        <v>600</v>
      </c>
      <c r="B174" s="71">
        <v>1800</v>
      </c>
      <c r="C174" s="71"/>
      <c r="D174" s="71">
        <f t="shared" si="66"/>
        <v>3</v>
      </c>
      <c r="E174" s="72"/>
      <c r="F174" s="73">
        <f t="shared" si="67"/>
        <v>0</v>
      </c>
      <c r="G174" s="72">
        <f t="shared" si="68"/>
        <v>0</v>
      </c>
      <c r="H174" s="73">
        <v>0</v>
      </c>
      <c r="I174" s="73">
        <f t="shared" si="69"/>
        <v>0</v>
      </c>
      <c r="J174" s="73">
        <f t="shared" si="82"/>
        <v>0</v>
      </c>
      <c r="K174" s="73">
        <f t="shared" si="83"/>
        <v>0</v>
      </c>
      <c r="L174" s="74">
        <f>'BUSBAR 2013'!$D$31</f>
        <v>0</v>
      </c>
      <c r="M174" s="73"/>
      <c r="N174" s="73">
        <f t="shared" si="70"/>
        <v>0</v>
      </c>
      <c r="O174" s="119">
        <f t="shared" si="71"/>
        <v>0</v>
      </c>
      <c r="P174" s="119">
        <f t="shared" si="72"/>
        <v>0</v>
      </c>
      <c r="Q174" s="119">
        <f t="shared" si="73"/>
        <v>0</v>
      </c>
      <c r="R174" s="119">
        <f t="shared" si="74"/>
        <v>0</v>
      </c>
      <c r="S174" s="119">
        <f t="shared" si="75"/>
        <v>0</v>
      </c>
      <c r="T174" s="73">
        <f t="shared" si="76"/>
        <v>0</v>
      </c>
      <c r="U174" s="119">
        <f t="shared" si="77"/>
        <v>0</v>
      </c>
      <c r="V174" s="119">
        <f t="shared" si="78"/>
        <v>0</v>
      </c>
      <c r="W174" s="119">
        <f t="shared" si="79"/>
        <v>0</v>
      </c>
      <c r="X174" s="119">
        <f t="shared" si="80"/>
        <v>0</v>
      </c>
      <c r="Y174" s="119">
        <f t="shared" si="81"/>
        <v>0</v>
      </c>
      <c r="Z174" s="120">
        <f>IF('ENCL 2013'!$F$43=1,(SUM('ENCL 2013'!$G$42:$G$43)*400+SUM('ENCL 2013'!$H$42:$H$43)*600+SUM('ENCL 2013'!$I$42:$I$43)*800+SUM('ENCL 2013'!$J$42:$J$43)*1000+SUM('ENCL 2013'!$K$42:$K$43)*1200),0)</f>
        <v>0</v>
      </c>
    </row>
    <row r="175" spans="1:26">
      <c r="A175" s="77">
        <f>A172</f>
        <v>600</v>
      </c>
      <c r="B175" s="71">
        <v>1950</v>
      </c>
      <c r="C175" s="71"/>
      <c r="D175" s="71">
        <f t="shared" si="66"/>
        <v>3</v>
      </c>
      <c r="E175" s="72"/>
      <c r="F175" s="73">
        <f t="shared" si="67"/>
        <v>0</v>
      </c>
      <c r="G175" s="72">
        <f t="shared" si="68"/>
        <v>0</v>
      </c>
      <c r="H175" s="73">
        <v>0</v>
      </c>
      <c r="I175" s="73">
        <f t="shared" si="69"/>
        <v>0</v>
      </c>
      <c r="J175" s="73">
        <f t="shared" si="82"/>
        <v>0</v>
      </c>
      <c r="K175" s="73">
        <f t="shared" si="83"/>
        <v>0</v>
      </c>
      <c r="L175" s="74">
        <f>'BUSBAR 2013'!$D$32</f>
        <v>0</v>
      </c>
      <c r="M175" s="73"/>
      <c r="N175" s="73">
        <f t="shared" si="70"/>
        <v>0</v>
      </c>
      <c r="O175" s="119">
        <f t="shared" si="71"/>
        <v>0</v>
      </c>
      <c r="P175" s="119">
        <f t="shared" si="72"/>
        <v>0</v>
      </c>
      <c r="Q175" s="119">
        <f t="shared" si="73"/>
        <v>0</v>
      </c>
      <c r="R175" s="119">
        <f t="shared" si="74"/>
        <v>0</v>
      </c>
      <c r="S175" s="119">
        <f t="shared" si="75"/>
        <v>0</v>
      </c>
      <c r="T175" s="73">
        <f t="shared" si="76"/>
        <v>0</v>
      </c>
      <c r="U175" s="119">
        <f t="shared" si="77"/>
        <v>0</v>
      </c>
      <c r="V175" s="119">
        <f t="shared" si="78"/>
        <v>0</v>
      </c>
      <c r="W175" s="119">
        <f t="shared" si="79"/>
        <v>0</v>
      </c>
      <c r="X175" s="119">
        <f t="shared" si="80"/>
        <v>0</v>
      </c>
      <c r="Y175" s="119">
        <f t="shared" si="81"/>
        <v>0</v>
      </c>
      <c r="Z175" s="120">
        <f>IF('ENCL 2013'!$F$43=1,(SUM('ENCL 2013'!$G$42:$G$43)*400+SUM('ENCL 2013'!$H$42:$H$43)*600+SUM('ENCL 2013'!$I$42:$I$43)*800+SUM('ENCL 2013'!$J$42:$J$43)*1000+SUM('ENCL 2013'!$K$42:$K$43)*1200),0)</f>
        <v>0</v>
      </c>
    </row>
    <row r="176" spans="1:26">
      <c r="A176" s="71">
        <v>630</v>
      </c>
      <c r="B176" s="71">
        <v>1300</v>
      </c>
      <c r="C176" s="71"/>
      <c r="D176" s="71">
        <f t="shared" si="66"/>
        <v>3</v>
      </c>
      <c r="E176" s="72"/>
      <c r="F176" s="73">
        <f t="shared" si="67"/>
        <v>0</v>
      </c>
      <c r="G176" s="72">
        <f t="shared" si="68"/>
        <v>0</v>
      </c>
      <c r="H176" s="73">
        <v>0</v>
      </c>
      <c r="I176" s="73">
        <f t="shared" si="69"/>
        <v>0</v>
      </c>
      <c r="J176" s="73">
        <f t="shared" si="82"/>
        <v>0</v>
      </c>
      <c r="K176" s="73">
        <f t="shared" si="83"/>
        <v>0</v>
      </c>
      <c r="L176" s="74">
        <f>'BUSBAR 2013'!$E$29</f>
        <v>0</v>
      </c>
      <c r="M176" s="73"/>
      <c r="N176" s="73">
        <f t="shared" si="70"/>
        <v>0</v>
      </c>
      <c r="O176" s="119">
        <f t="shared" si="71"/>
        <v>0</v>
      </c>
      <c r="P176" s="119">
        <f t="shared" si="72"/>
        <v>0</v>
      </c>
      <c r="Q176" s="119">
        <f t="shared" si="73"/>
        <v>0</v>
      </c>
      <c r="R176" s="119">
        <f t="shared" si="74"/>
        <v>0</v>
      </c>
      <c r="S176" s="119">
        <f t="shared" si="75"/>
        <v>0</v>
      </c>
      <c r="T176" s="73">
        <f t="shared" si="76"/>
        <v>0</v>
      </c>
      <c r="U176" s="119">
        <f t="shared" si="77"/>
        <v>0</v>
      </c>
      <c r="V176" s="119">
        <f t="shared" si="78"/>
        <v>0</v>
      </c>
      <c r="W176" s="119">
        <f t="shared" si="79"/>
        <v>0</v>
      </c>
      <c r="X176" s="119">
        <f t="shared" si="80"/>
        <v>0</v>
      </c>
      <c r="Y176" s="119">
        <f t="shared" si="81"/>
        <v>0</v>
      </c>
      <c r="Z176" s="120">
        <f>IF('ENCL 2013'!$F$43=1,(SUM('ENCL 2013'!$G$42:$G$43)*400+SUM('ENCL 2013'!$H$42:$H$43)*600+SUM('ENCL 2013'!$I$42:$I$43)*800+SUM('ENCL 2013'!$J$42:$J$43)*1000+SUM('ENCL 2013'!$K$42:$K$43)*1200),0)</f>
        <v>0</v>
      </c>
    </row>
    <row r="177" spans="1:26">
      <c r="A177" s="77">
        <f>A176</f>
        <v>630</v>
      </c>
      <c r="B177" s="71">
        <v>1500</v>
      </c>
      <c r="C177" s="71"/>
      <c r="D177" s="71">
        <f t="shared" si="66"/>
        <v>3</v>
      </c>
      <c r="E177" s="72"/>
      <c r="F177" s="73">
        <f t="shared" si="67"/>
        <v>0</v>
      </c>
      <c r="G177" s="72">
        <f t="shared" si="68"/>
        <v>0</v>
      </c>
      <c r="H177" s="73">
        <v>0</v>
      </c>
      <c r="I177" s="73">
        <f t="shared" si="69"/>
        <v>0</v>
      </c>
      <c r="J177" s="73">
        <f t="shared" si="82"/>
        <v>0</v>
      </c>
      <c r="K177" s="73">
        <f t="shared" si="83"/>
        <v>0</v>
      </c>
      <c r="L177" s="74">
        <f>'BUSBAR 2013'!$E$30</f>
        <v>0</v>
      </c>
      <c r="M177" s="73"/>
      <c r="N177" s="73">
        <f t="shared" si="70"/>
        <v>0</v>
      </c>
      <c r="O177" s="119">
        <f t="shared" si="71"/>
        <v>0</v>
      </c>
      <c r="P177" s="119">
        <f t="shared" si="72"/>
        <v>0</v>
      </c>
      <c r="Q177" s="119">
        <f t="shared" si="73"/>
        <v>0</v>
      </c>
      <c r="R177" s="119">
        <f t="shared" si="74"/>
        <v>0</v>
      </c>
      <c r="S177" s="119">
        <f t="shared" si="75"/>
        <v>0</v>
      </c>
      <c r="T177" s="73">
        <f t="shared" si="76"/>
        <v>0</v>
      </c>
      <c r="U177" s="119">
        <f t="shared" si="77"/>
        <v>0</v>
      </c>
      <c r="V177" s="119">
        <f t="shared" si="78"/>
        <v>0</v>
      </c>
      <c r="W177" s="119">
        <f t="shared" si="79"/>
        <v>0</v>
      </c>
      <c r="X177" s="119">
        <f t="shared" si="80"/>
        <v>0</v>
      </c>
      <c r="Y177" s="119">
        <f t="shared" si="81"/>
        <v>0</v>
      </c>
      <c r="Z177" s="120">
        <f>IF('ENCL 2013'!$F$43=1,(SUM('ENCL 2013'!$G$42:$G$43)*400+SUM('ENCL 2013'!$H$42:$H$43)*600+SUM('ENCL 2013'!$I$42:$I$43)*800+SUM('ENCL 2013'!$J$42:$J$43)*1000+SUM('ENCL 2013'!$K$42:$K$43)*1200),0)</f>
        <v>0</v>
      </c>
    </row>
    <row r="178" spans="1:26">
      <c r="A178" s="77">
        <f>A176</f>
        <v>630</v>
      </c>
      <c r="B178" s="71">
        <v>1800</v>
      </c>
      <c r="C178" s="71"/>
      <c r="D178" s="71">
        <f t="shared" si="66"/>
        <v>3</v>
      </c>
      <c r="E178" s="72"/>
      <c r="F178" s="73">
        <f t="shared" si="67"/>
        <v>0</v>
      </c>
      <c r="G178" s="72">
        <f t="shared" si="68"/>
        <v>0</v>
      </c>
      <c r="H178" s="73">
        <v>0</v>
      </c>
      <c r="I178" s="73">
        <f t="shared" si="69"/>
        <v>0</v>
      </c>
      <c r="J178" s="73">
        <f t="shared" si="82"/>
        <v>0</v>
      </c>
      <c r="K178" s="73">
        <f t="shared" si="83"/>
        <v>0</v>
      </c>
      <c r="L178" s="74">
        <f>'BUSBAR 2013'!$E$31</f>
        <v>0</v>
      </c>
      <c r="M178" s="73"/>
      <c r="N178" s="73">
        <f t="shared" si="70"/>
        <v>0</v>
      </c>
      <c r="O178" s="119">
        <f t="shared" si="71"/>
        <v>0</v>
      </c>
      <c r="P178" s="119">
        <f t="shared" si="72"/>
        <v>0</v>
      </c>
      <c r="Q178" s="119">
        <f t="shared" si="73"/>
        <v>0</v>
      </c>
      <c r="R178" s="119">
        <f t="shared" si="74"/>
        <v>0</v>
      </c>
      <c r="S178" s="119">
        <f t="shared" si="75"/>
        <v>0</v>
      </c>
      <c r="T178" s="73">
        <f t="shared" si="76"/>
        <v>0</v>
      </c>
      <c r="U178" s="119">
        <f t="shared" si="77"/>
        <v>0</v>
      </c>
      <c r="V178" s="119">
        <f t="shared" si="78"/>
        <v>0</v>
      </c>
      <c r="W178" s="119">
        <f t="shared" si="79"/>
        <v>0</v>
      </c>
      <c r="X178" s="119">
        <f t="shared" si="80"/>
        <v>0</v>
      </c>
      <c r="Y178" s="119">
        <f t="shared" si="81"/>
        <v>0</v>
      </c>
      <c r="Z178" s="120">
        <f>IF('ENCL 2013'!$F$43=1,(SUM('ENCL 2013'!$G$42:$G$43)*400+SUM('ENCL 2013'!$H$42:$H$43)*600+SUM('ENCL 2013'!$I$42:$I$43)*800+SUM('ENCL 2013'!$J$42:$J$43)*1000+SUM('ENCL 2013'!$K$42:$K$43)*1200),0)</f>
        <v>0</v>
      </c>
    </row>
    <row r="179" spans="1:26">
      <c r="A179" s="77">
        <f>A176</f>
        <v>630</v>
      </c>
      <c r="B179" s="71">
        <v>1950</v>
      </c>
      <c r="C179" s="71"/>
      <c r="D179" s="71">
        <f t="shared" si="66"/>
        <v>3</v>
      </c>
      <c r="E179" s="72"/>
      <c r="F179" s="73">
        <f t="shared" si="67"/>
        <v>0</v>
      </c>
      <c r="G179" s="72">
        <f t="shared" si="68"/>
        <v>0</v>
      </c>
      <c r="H179" s="73">
        <v>0</v>
      </c>
      <c r="I179" s="73">
        <f t="shared" si="69"/>
        <v>0</v>
      </c>
      <c r="J179" s="73">
        <f t="shared" si="82"/>
        <v>0</v>
      </c>
      <c r="K179" s="73">
        <f t="shared" si="83"/>
        <v>0</v>
      </c>
      <c r="L179" s="74">
        <f>'BUSBAR 2013'!$E$32</f>
        <v>0</v>
      </c>
      <c r="M179" s="73"/>
      <c r="N179" s="73">
        <f t="shared" si="70"/>
        <v>0</v>
      </c>
      <c r="O179" s="119">
        <f t="shared" si="71"/>
        <v>0</v>
      </c>
      <c r="P179" s="119">
        <f t="shared" si="72"/>
        <v>0</v>
      </c>
      <c r="Q179" s="119">
        <f t="shared" si="73"/>
        <v>0</v>
      </c>
      <c r="R179" s="119">
        <f t="shared" si="74"/>
        <v>0</v>
      </c>
      <c r="S179" s="119">
        <f t="shared" si="75"/>
        <v>0</v>
      </c>
      <c r="T179" s="73">
        <f t="shared" si="76"/>
        <v>0</v>
      </c>
      <c r="U179" s="119">
        <f t="shared" si="77"/>
        <v>0</v>
      </c>
      <c r="V179" s="119">
        <f t="shared" si="78"/>
        <v>0</v>
      </c>
      <c r="W179" s="119">
        <f t="shared" si="79"/>
        <v>0</v>
      </c>
      <c r="X179" s="119">
        <f t="shared" si="80"/>
        <v>0</v>
      </c>
      <c r="Y179" s="119">
        <f t="shared" si="81"/>
        <v>0</v>
      </c>
      <c r="Z179" s="120">
        <f>IF('ENCL 2013'!$F$43=1,(SUM('ENCL 2013'!$G$42:$G$43)*400+SUM('ENCL 2013'!$H$42:$H$43)*600+SUM('ENCL 2013'!$I$42:$I$43)*800+SUM('ENCL 2013'!$J$42:$J$43)*1000+SUM('ENCL 2013'!$K$42:$K$43)*1200),0)</f>
        <v>0</v>
      </c>
    </row>
    <row r="180" spans="1:26">
      <c r="A180" s="71">
        <v>800</v>
      </c>
      <c r="B180" s="71">
        <v>1300</v>
      </c>
      <c r="C180" s="71"/>
      <c r="D180" s="71">
        <f t="shared" si="66"/>
        <v>3</v>
      </c>
      <c r="E180" s="72"/>
      <c r="F180" s="73">
        <f t="shared" si="67"/>
        <v>0</v>
      </c>
      <c r="G180" s="72">
        <f t="shared" si="68"/>
        <v>0</v>
      </c>
      <c r="H180" s="73">
        <v>0</v>
      </c>
      <c r="I180" s="73">
        <f t="shared" si="69"/>
        <v>0</v>
      </c>
      <c r="J180" s="73">
        <f t="shared" si="82"/>
        <v>0</v>
      </c>
      <c r="K180" s="73">
        <f t="shared" si="83"/>
        <v>0</v>
      </c>
      <c r="L180" s="74">
        <f>'BUSBAR 2013'!$F$29</f>
        <v>0</v>
      </c>
      <c r="M180" s="73"/>
      <c r="N180" s="73">
        <f t="shared" si="70"/>
        <v>0</v>
      </c>
      <c r="O180" s="119">
        <f t="shared" si="71"/>
        <v>0</v>
      </c>
      <c r="P180" s="119">
        <f t="shared" si="72"/>
        <v>0</v>
      </c>
      <c r="Q180" s="119">
        <f t="shared" si="73"/>
        <v>0</v>
      </c>
      <c r="R180" s="119">
        <f t="shared" si="74"/>
        <v>0</v>
      </c>
      <c r="S180" s="119">
        <f t="shared" si="75"/>
        <v>0</v>
      </c>
      <c r="T180" s="73">
        <f t="shared" si="76"/>
        <v>0</v>
      </c>
      <c r="U180" s="119">
        <f t="shared" si="77"/>
        <v>0</v>
      </c>
      <c r="V180" s="119">
        <f t="shared" si="78"/>
        <v>0</v>
      </c>
      <c r="W180" s="119">
        <f t="shared" si="79"/>
        <v>0</v>
      </c>
      <c r="X180" s="119">
        <f t="shared" si="80"/>
        <v>0</v>
      </c>
      <c r="Y180" s="119">
        <f t="shared" si="81"/>
        <v>0</v>
      </c>
      <c r="Z180" s="120">
        <f>IF('ENCL 2013'!$F$43=1,(SUM('ENCL 2013'!$G$42:$G$43)*400+SUM('ENCL 2013'!$H$42:$H$43)*600+SUM('ENCL 2013'!$I$42:$I$43)*800+SUM('ENCL 2013'!$J$42:$J$43)*1000+SUM('ENCL 2013'!$K$42:$K$43)*1200),0)</f>
        <v>0</v>
      </c>
    </row>
    <row r="181" spans="1:26">
      <c r="A181" s="77">
        <f>A180</f>
        <v>800</v>
      </c>
      <c r="B181" s="71">
        <v>1500</v>
      </c>
      <c r="C181" s="71"/>
      <c r="D181" s="71">
        <f t="shared" si="66"/>
        <v>3</v>
      </c>
      <c r="E181" s="72"/>
      <c r="F181" s="73">
        <f t="shared" si="67"/>
        <v>0</v>
      </c>
      <c r="G181" s="72">
        <f t="shared" si="68"/>
        <v>0</v>
      </c>
      <c r="H181" s="73">
        <v>0</v>
      </c>
      <c r="I181" s="73">
        <f t="shared" si="69"/>
        <v>0</v>
      </c>
      <c r="J181" s="73">
        <f t="shared" si="82"/>
        <v>0</v>
      </c>
      <c r="K181" s="73">
        <f t="shared" si="83"/>
        <v>0</v>
      </c>
      <c r="L181" s="74">
        <f>'BUSBAR 2013'!$F$30</f>
        <v>0</v>
      </c>
      <c r="M181" s="73"/>
      <c r="N181" s="73">
        <f t="shared" si="70"/>
        <v>0</v>
      </c>
      <c r="O181" s="119">
        <f t="shared" si="71"/>
        <v>0</v>
      </c>
      <c r="P181" s="119">
        <f t="shared" si="72"/>
        <v>0</v>
      </c>
      <c r="Q181" s="119">
        <f t="shared" si="73"/>
        <v>0</v>
      </c>
      <c r="R181" s="119">
        <f t="shared" si="74"/>
        <v>0</v>
      </c>
      <c r="S181" s="119">
        <f t="shared" si="75"/>
        <v>0</v>
      </c>
      <c r="T181" s="73">
        <f t="shared" si="76"/>
        <v>0</v>
      </c>
      <c r="U181" s="119">
        <f t="shared" si="77"/>
        <v>0</v>
      </c>
      <c r="V181" s="119">
        <f t="shared" si="78"/>
        <v>0</v>
      </c>
      <c r="W181" s="119">
        <f t="shared" si="79"/>
        <v>0</v>
      </c>
      <c r="X181" s="119">
        <f t="shared" si="80"/>
        <v>0</v>
      </c>
      <c r="Y181" s="119">
        <f t="shared" si="81"/>
        <v>0</v>
      </c>
      <c r="Z181" s="120">
        <f>IF('ENCL 2013'!$F$43=1,(SUM('ENCL 2013'!$G$42:$G$43)*400+SUM('ENCL 2013'!$H$42:$H$43)*600+SUM('ENCL 2013'!$I$42:$I$43)*800+SUM('ENCL 2013'!$J$42:$J$43)*1000+SUM('ENCL 2013'!$K$42:$K$43)*1200),0)</f>
        <v>0</v>
      </c>
    </row>
    <row r="182" spans="1:26">
      <c r="A182" s="77">
        <f>A180</f>
        <v>800</v>
      </c>
      <c r="B182" s="71">
        <v>1800</v>
      </c>
      <c r="C182" s="71"/>
      <c r="D182" s="71">
        <f t="shared" si="66"/>
        <v>3</v>
      </c>
      <c r="E182" s="72"/>
      <c r="F182" s="73">
        <f t="shared" si="67"/>
        <v>0</v>
      </c>
      <c r="G182" s="72">
        <f t="shared" si="68"/>
        <v>0</v>
      </c>
      <c r="H182" s="73">
        <v>0</v>
      </c>
      <c r="I182" s="73">
        <f t="shared" si="69"/>
        <v>0</v>
      </c>
      <c r="J182" s="73">
        <f t="shared" si="82"/>
        <v>0</v>
      </c>
      <c r="K182" s="73">
        <f t="shared" si="83"/>
        <v>0</v>
      </c>
      <c r="L182" s="74">
        <f>'BUSBAR 2013'!$F$31</f>
        <v>0</v>
      </c>
      <c r="M182" s="73"/>
      <c r="N182" s="73">
        <f t="shared" si="70"/>
        <v>0</v>
      </c>
      <c r="O182" s="119">
        <f t="shared" si="71"/>
        <v>0</v>
      </c>
      <c r="P182" s="119">
        <f t="shared" si="72"/>
        <v>0</v>
      </c>
      <c r="Q182" s="119">
        <f t="shared" si="73"/>
        <v>0</v>
      </c>
      <c r="R182" s="119">
        <f t="shared" si="74"/>
        <v>0</v>
      </c>
      <c r="S182" s="119">
        <f t="shared" si="75"/>
        <v>0</v>
      </c>
      <c r="T182" s="73">
        <f t="shared" si="76"/>
        <v>0</v>
      </c>
      <c r="U182" s="119">
        <f t="shared" si="77"/>
        <v>0</v>
      </c>
      <c r="V182" s="119">
        <f t="shared" si="78"/>
        <v>0</v>
      </c>
      <c r="W182" s="119">
        <f t="shared" si="79"/>
        <v>0</v>
      </c>
      <c r="X182" s="119">
        <f t="shared" si="80"/>
        <v>0</v>
      </c>
      <c r="Y182" s="119">
        <f t="shared" si="81"/>
        <v>0</v>
      </c>
      <c r="Z182" s="120">
        <f>IF('ENCL 2013'!$F$43=1,(SUM('ENCL 2013'!$G$42:$G$43)*400+SUM('ENCL 2013'!$H$42:$H$43)*600+SUM('ENCL 2013'!$I$42:$I$43)*800+SUM('ENCL 2013'!$J$42:$J$43)*1000+SUM('ENCL 2013'!$K$42:$K$43)*1200),0)</f>
        <v>0</v>
      </c>
    </row>
    <row r="183" spans="1:26">
      <c r="A183" s="77">
        <f>A180</f>
        <v>800</v>
      </c>
      <c r="B183" s="71">
        <v>1950</v>
      </c>
      <c r="C183" s="71"/>
      <c r="D183" s="71">
        <f t="shared" si="66"/>
        <v>3</v>
      </c>
      <c r="E183" s="72"/>
      <c r="F183" s="73">
        <f t="shared" si="67"/>
        <v>0</v>
      </c>
      <c r="G183" s="72">
        <f t="shared" si="68"/>
        <v>0</v>
      </c>
      <c r="H183" s="73">
        <v>0</v>
      </c>
      <c r="I183" s="73">
        <f t="shared" si="69"/>
        <v>0</v>
      </c>
      <c r="J183" s="73">
        <f t="shared" si="82"/>
        <v>0</v>
      </c>
      <c r="K183" s="73">
        <f t="shared" si="83"/>
        <v>0</v>
      </c>
      <c r="L183" s="74">
        <f>'BUSBAR 2013'!$F$32</f>
        <v>0</v>
      </c>
      <c r="M183" s="73"/>
      <c r="N183" s="73">
        <f t="shared" si="70"/>
        <v>0</v>
      </c>
      <c r="O183" s="119">
        <f t="shared" si="71"/>
        <v>0</v>
      </c>
      <c r="P183" s="119">
        <f t="shared" si="72"/>
        <v>0</v>
      </c>
      <c r="Q183" s="119">
        <f t="shared" si="73"/>
        <v>0</v>
      </c>
      <c r="R183" s="119">
        <f t="shared" si="74"/>
        <v>0</v>
      </c>
      <c r="S183" s="119">
        <f t="shared" si="75"/>
        <v>0</v>
      </c>
      <c r="T183" s="73">
        <f t="shared" si="76"/>
        <v>0</v>
      </c>
      <c r="U183" s="119">
        <f t="shared" si="77"/>
        <v>0</v>
      </c>
      <c r="V183" s="119">
        <f t="shared" si="78"/>
        <v>0</v>
      </c>
      <c r="W183" s="119">
        <f t="shared" si="79"/>
        <v>0</v>
      </c>
      <c r="X183" s="119">
        <f t="shared" si="80"/>
        <v>0</v>
      </c>
      <c r="Y183" s="119">
        <f t="shared" si="81"/>
        <v>0</v>
      </c>
      <c r="Z183" s="120">
        <f>IF('ENCL 2013'!$F$43=1,(SUM('ENCL 2013'!$G$42:$G$43)*400+SUM('ENCL 2013'!$H$42:$H$43)*600+SUM('ENCL 2013'!$I$42:$I$43)*800+SUM('ENCL 2013'!$J$42:$J$43)*1000+SUM('ENCL 2013'!$K$42:$K$43)*1200),0)</f>
        <v>0</v>
      </c>
    </row>
    <row r="184" spans="1:26">
      <c r="A184" s="71">
        <v>1000</v>
      </c>
      <c r="B184" s="71">
        <v>1300</v>
      </c>
      <c r="C184" s="71"/>
      <c r="D184" s="71">
        <f t="shared" si="66"/>
        <v>3</v>
      </c>
      <c r="E184" s="72"/>
      <c r="F184" s="73">
        <f t="shared" si="67"/>
        <v>0</v>
      </c>
      <c r="G184" s="72">
        <f t="shared" si="68"/>
        <v>0</v>
      </c>
      <c r="H184" s="73">
        <v>0</v>
      </c>
      <c r="I184" s="73">
        <f t="shared" si="69"/>
        <v>0</v>
      </c>
      <c r="J184" s="73">
        <f t="shared" si="82"/>
        <v>0</v>
      </c>
      <c r="K184" s="73">
        <f t="shared" si="83"/>
        <v>0</v>
      </c>
      <c r="L184" s="74">
        <f>'BUSBAR 2013'!$G$29</f>
        <v>0</v>
      </c>
      <c r="M184" s="73"/>
      <c r="N184" s="73">
        <f t="shared" si="70"/>
        <v>0</v>
      </c>
      <c r="O184" s="119">
        <f t="shared" si="71"/>
        <v>0</v>
      </c>
      <c r="P184" s="119">
        <f t="shared" si="72"/>
        <v>0</v>
      </c>
      <c r="Q184" s="119">
        <f t="shared" si="73"/>
        <v>0</v>
      </c>
      <c r="R184" s="119">
        <f t="shared" si="74"/>
        <v>0</v>
      </c>
      <c r="S184" s="119">
        <f t="shared" si="75"/>
        <v>0</v>
      </c>
      <c r="T184" s="73">
        <f t="shared" si="76"/>
        <v>0</v>
      </c>
      <c r="U184" s="119">
        <f t="shared" si="77"/>
        <v>0</v>
      </c>
      <c r="V184" s="119">
        <f t="shared" si="78"/>
        <v>0</v>
      </c>
      <c r="W184" s="119">
        <f t="shared" si="79"/>
        <v>0</v>
      </c>
      <c r="X184" s="119">
        <f t="shared" si="80"/>
        <v>0</v>
      </c>
      <c r="Y184" s="119">
        <f t="shared" si="81"/>
        <v>0</v>
      </c>
      <c r="Z184" s="120">
        <f>IF('ENCL 2013'!$F$43=1,(SUM('ENCL 2013'!$G$42:$G$43)*400+SUM('ENCL 2013'!$H$42:$H$43)*600+SUM('ENCL 2013'!$I$42:$I$43)*800+SUM('ENCL 2013'!$J$42:$J$43)*1000+SUM('ENCL 2013'!$K$42:$K$43)*1200),0)</f>
        <v>0</v>
      </c>
    </row>
    <row r="185" spans="1:26">
      <c r="A185" s="77">
        <f>A184</f>
        <v>1000</v>
      </c>
      <c r="B185" s="71">
        <v>1500</v>
      </c>
      <c r="C185" s="71"/>
      <c r="D185" s="71">
        <f t="shared" si="66"/>
        <v>3</v>
      </c>
      <c r="E185" s="72"/>
      <c r="F185" s="73">
        <f t="shared" si="67"/>
        <v>0</v>
      </c>
      <c r="G185" s="72">
        <f t="shared" si="68"/>
        <v>0</v>
      </c>
      <c r="H185" s="73">
        <v>0</v>
      </c>
      <c r="I185" s="73">
        <f t="shared" si="69"/>
        <v>0</v>
      </c>
      <c r="J185" s="73">
        <f t="shared" si="82"/>
        <v>0</v>
      </c>
      <c r="K185" s="73">
        <f t="shared" si="83"/>
        <v>0</v>
      </c>
      <c r="L185" s="74">
        <f>'BUSBAR 2013'!$G$30</f>
        <v>0</v>
      </c>
      <c r="M185" s="73"/>
      <c r="N185" s="73">
        <f t="shared" si="70"/>
        <v>0</v>
      </c>
      <c r="O185" s="119">
        <f t="shared" si="71"/>
        <v>0</v>
      </c>
      <c r="P185" s="119">
        <f t="shared" si="72"/>
        <v>0</v>
      </c>
      <c r="Q185" s="119">
        <f t="shared" si="73"/>
        <v>0</v>
      </c>
      <c r="R185" s="119">
        <f t="shared" si="74"/>
        <v>0</v>
      </c>
      <c r="S185" s="119">
        <f t="shared" si="75"/>
        <v>0</v>
      </c>
      <c r="T185" s="73">
        <f t="shared" si="76"/>
        <v>0</v>
      </c>
      <c r="U185" s="119">
        <f t="shared" si="77"/>
        <v>0</v>
      </c>
      <c r="V185" s="119">
        <f t="shared" si="78"/>
        <v>0</v>
      </c>
      <c r="W185" s="119">
        <f t="shared" si="79"/>
        <v>0</v>
      </c>
      <c r="X185" s="119">
        <f t="shared" si="80"/>
        <v>0</v>
      </c>
      <c r="Y185" s="119">
        <f t="shared" si="81"/>
        <v>0</v>
      </c>
      <c r="Z185" s="120">
        <f>IF('ENCL 2013'!$F$43=1,(SUM('ENCL 2013'!$G$42:$G$43)*400+SUM('ENCL 2013'!$H$42:$H$43)*600+SUM('ENCL 2013'!$I$42:$I$43)*800+SUM('ENCL 2013'!$J$42:$J$43)*1000+SUM('ENCL 2013'!$K$42:$K$43)*1200),0)</f>
        <v>0</v>
      </c>
    </row>
    <row r="186" spans="1:26">
      <c r="A186" s="77">
        <f>A184</f>
        <v>1000</v>
      </c>
      <c r="B186" s="71">
        <v>1800</v>
      </c>
      <c r="C186" s="71"/>
      <c r="D186" s="71">
        <f t="shared" si="66"/>
        <v>3</v>
      </c>
      <c r="E186" s="72"/>
      <c r="F186" s="73">
        <f t="shared" si="67"/>
        <v>0</v>
      </c>
      <c r="G186" s="72">
        <f t="shared" si="68"/>
        <v>0</v>
      </c>
      <c r="H186" s="73">
        <v>0</v>
      </c>
      <c r="I186" s="73">
        <f t="shared" si="69"/>
        <v>0</v>
      </c>
      <c r="J186" s="73">
        <f t="shared" si="82"/>
        <v>0</v>
      </c>
      <c r="K186" s="73">
        <f t="shared" si="83"/>
        <v>0</v>
      </c>
      <c r="L186" s="74">
        <f>'BUSBAR 2013'!$G$31</f>
        <v>0</v>
      </c>
      <c r="M186" s="73"/>
      <c r="N186" s="73">
        <f t="shared" si="70"/>
        <v>0</v>
      </c>
      <c r="O186" s="119">
        <f t="shared" si="71"/>
        <v>0</v>
      </c>
      <c r="P186" s="119">
        <f t="shared" si="72"/>
        <v>0</v>
      </c>
      <c r="Q186" s="119">
        <f t="shared" si="73"/>
        <v>0</v>
      </c>
      <c r="R186" s="119">
        <f t="shared" si="74"/>
        <v>0</v>
      </c>
      <c r="S186" s="119">
        <f t="shared" si="75"/>
        <v>0</v>
      </c>
      <c r="T186" s="73">
        <f t="shared" si="76"/>
        <v>0</v>
      </c>
      <c r="U186" s="119">
        <f t="shared" si="77"/>
        <v>0</v>
      </c>
      <c r="V186" s="119">
        <f t="shared" si="78"/>
        <v>0</v>
      </c>
      <c r="W186" s="119">
        <f t="shared" si="79"/>
        <v>0</v>
      </c>
      <c r="X186" s="119">
        <f t="shared" si="80"/>
        <v>0</v>
      </c>
      <c r="Y186" s="119">
        <f t="shared" si="81"/>
        <v>0</v>
      </c>
      <c r="Z186" s="120">
        <f>IF('ENCL 2013'!$F$43=1,(SUM('ENCL 2013'!$G$42:$G$43)*400+SUM('ENCL 2013'!$H$42:$H$43)*600+SUM('ENCL 2013'!$I$42:$I$43)*800+SUM('ENCL 2013'!$J$42:$J$43)*1000+SUM('ENCL 2013'!$K$42:$K$43)*1200),0)</f>
        <v>0</v>
      </c>
    </row>
    <row r="187" spans="1:26">
      <c r="A187" s="77">
        <f>A184</f>
        <v>1000</v>
      </c>
      <c r="B187" s="71">
        <v>1950</v>
      </c>
      <c r="C187" s="71"/>
      <c r="D187" s="71">
        <f t="shared" si="66"/>
        <v>3</v>
      </c>
      <c r="E187" s="72"/>
      <c r="F187" s="73">
        <f t="shared" si="67"/>
        <v>0</v>
      </c>
      <c r="G187" s="72">
        <f t="shared" si="68"/>
        <v>0</v>
      </c>
      <c r="H187" s="73">
        <v>0</v>
      </c>
      <c r="I187" s="73">
        <f t="shared" si="69"/>
        <v>0</v>
      </c>
      <c r="J187" s="73">
        <f t="shared" si="82"/>
        <v>0</v>
      </c>
      <c r="K187" s="73">
        <f t="shared" si="83"/>
        <v>0</v>
      </c>
      <c r="L187" s="74">
        <f>'BUSBAR 2013'!$G$32</f>
        <v>0</v>
      </c>
      <c r="M187" s="73"/>
      <c r="N187" s="73">
        <f t="shared" si="70"/>
        <v>0</v>
      </c>
      <c r="O187" s="119">
        <f t="shared" si="71"/>
        <v>0</v>
      </c>
      <c r="P187" s="119">
        <f t="shared" si="72"/>
        <v>0</v>
      </c>
      <c r="Q187" s="119">
        <f t="shared" si="73"/>
        <v>0</v>
      </c>
      <c r="R187" s="119">
        <f t="shared" si="74"/>
        <v>0</v>
      </c>
      <c r="S187" s="119">
        <f t="shared" si="75"/>
        <v>0</v>
      </c>
      <c r="T187" s="73">
        <f t="shared" si="76"/>
        <v>0</v>
      </c>
      <c r="U187" s="119">
        <f t="shared" si="77"/>
        <v>0</v>
      </c>
      <c r="V187" s="119">
        <f t="shared" si="78"/>
        <v>0</v>
      </c>
      <c r="W187" s="119">
        <f t="shared" si="79"/>
        <v>0</v>
      </c>
      <c r="X187" s="119">
        <f t="shared" si="80"/>
        <v>0</v>
      </c>
      <c r="Y187" s="119">
        <f t="shared" si="81"/>
        <v>0</v>
      </c>
      <c r="Z187" s="120">
        <f>IF('ENCL 2013'!$F$43=1,(SUM('ENCL 2013'!$G$42:$G$43)*400+SUM('ENCL 2013'!$H$42:$H$43)*600+SUM('ENCL 2013'!$I$42:$I$43)*800+SUM('ENCL 2013'!$J$42:$J$43)*1000+SUM('ENCL 2013'!$K$42:$K$43)*1200),0)</f>
        <v>0</v>
      </c>
    </row>
    <row r="188" spans="1:26">
      <c r="A188" s="71">
        <v>1200</v>
      </c>
      <c r="B188" s="71">
        <v>1300</v>
      </c>
      <c r="C188" s="71"/>
      <c r="D188" s="71">
        <f t="shared" si="66"/>
        <v>3</v>
      </c>
      <c r="E188" s="72"/>
      <c r="F188" s="73">
        <f t="shared" si="67"/>
        <v>0</v>
      </c>
      <c r="G188" s="72">
        <f t="shared" si="68"/>
        <v>0</v>
      </c>
      <c r="H188" s="73">
        <v>0</v>
      </c>
      <c r="I188" s="73">
        <f t="shared" si="69"/>
        <v>0</v>
      </c>
      <c r="J188" s="73">
        <f t="shared" si="82"/>
        <v>0</v>
      </c>
      <c r="K188" s="73">
        <f t="shared" si="83"/>
        <v>0</v>
      </c>
      <c r="L188" s="74">
        <f>'BUSBAR 2013'!$H$29</f>
        <v>0</v>
      </c>
      <c r="M188" s="73"/>
      <c r="N188" s="73">
        <f t="shared" si="70"/>
        <v>0</v>
      </c>
      <c r="O188" s="119">
        <f t="shared" si="71"/>
        <v>0</v>
      </c>
      <c r="P188" s="119">
        <f t="shared" si="72"/>
        <v>0</v>
      </c>
      <c r="Q188" s="119">
        <f t="shared" si="73"/>
        <v>0</v>
      </c>
      <c r="R188" s="119">
        <f t="shared" si="74"/>
        <v>0</v>
      </c>
      <c r="S188" s="119">
        <f t="shared" si="75"/>
        <v>0</v>
      </c>
      <c r="T188" s="73">
        <f t="shared" si="76"/>
        <v>0</v>
      </c>
      <c r="U188" s="119">
        <f t="shared" si="77"/>
        <v>0</v>
      </c>
      <c r="V188" s="119">
        <f t="shared" si="78"/>
        <v>0</v>
      </c>
      <c r="W188" s="119">
        <f t="shared" si="79"/>
        <v>0</v>
      </c>
      <c r="X188" s="119">
        <f t="shared" si="80"/>
        <v>0</v>
      </c>
      <c r="Y188" s="119">
        <f t="shared" si="81"/>
        <v>0</v>
      </c>
      <c r="Z188" s="120">
        <f>IF('ENCL 2013'!$F$43=1,(SUM('ENCL 2013'!$G$42:$G$43)*400+SUM('ENCL 2013'!$H$42:$H$43)*600+SUM('ENCL 2013'!$I$42:$I$43)*800+SUM('ENCL 2013'!$J$42:$J$43)*1000+SUM('ENCL 2013'!$K$42:$K$43)*1200),0)</f>
        <v>0</v>
      </c>
    </row>
    <row r="189" spans="1:26">
      <c r="A189" s="77">
        <f>A188</f>
        <v>1200</v>
      </c>
      <c r="B189" s="71">
        <v>1500</v>
      </c>
      <c r="C189" s="71"/>
      <c r="D189" s="71">
        <f t="shared" si="66"/>
        <v>3</v>
      </c>
      <c r="E189" s="72"/>
      <c r="F189" s="73">
        <f t="shared" si="67"/>
        <v>0</v>
      </c>
      <c r="G189" s="72">
        <f t="shared" si="68"/>
        <v>0</v>
      </c>
      <c r="H189" s="73">
        <v>0</v>
      </c>
      <c r="I189" s="73">
        <f t="shared" si="69"/>
        <v>0</v>
      </c>
      <c r="J189" s="73">
        <f t="shared" si="82"/>
        <v>0</v>
      </c>
      <c r="K189" s="73">
        <f t="shared" si="83"/>
        <v>0</v>
      </c>
      <c r="L189" s="74">
        <f>'BUSBAR 2013'!$H$30</f>
        <v>0</v>
      </c>
      <c r="M189" s="73"/>
      <c r="N189" s="73">
        <f t="shared" si="70"/>
        <v>0</v>
      </c>
      <c r="O189" s="119">
        <f t="shared" si="71"/>
        <v>0</v>
      </c>
      <c r="P189" s="119">
        <f t="shared" si="72"/>
        <v>0</v>
      </c>
      <c r="Q189" s="119">
        <f t="shared" si="73"/>
        <v>0</v>
      </c>
      <c r="R189" s="119">
        <f t="shared" si="74"/>
        <v>0</v>
      </c>
      <c r="S189" s="119">
        <f t="shared" si="75"/>
        <v>0</v>
      </c>
      <c r="T189" s="73">
        <f t="shared" si="76"/>
        <v>0</v>
      </c>
      <c r="U189" s="119">
        <f t="shared" si="77"/>
        <v>0</v>
      </c>
      <c r="V189" s="119">
        <f t="shared" si="78"/>
        <v>0</v>
      </c>
      <c r="W189" s="119">
        <f t="shared" si="79"/>
        <v>0</v>
      </c>
      <c r="X189" s="119">
        <f t="shared" si="80"/>
        <v>0</v>
      </c>
      <c r="Y189" s="119">
        <f t="shared" si="81"/>
        <v>0</v>
      </c>
      <c r="Z189" s="120">
        <f>IF('ENCL 2013'!$F$43=1,(SUM('ENCL 2013'!$G$42:$G$43)*400+SUM('ENCL 2013'!$H$42:$H$43)*600+SUM('ENCL 2013'!$I$42:$I$43)*800+SUM('ENCL 2013'!$J$42:$J$43)*1000+SUM('ENCL 2013'!$K$42:$K$43)*1200),0)</f>
        <v>0</v>
      </c>
    </row>
    <row r="190" spans="1:26">
      <c r="A190" s="77">
        <f>A188</f>
        <v>1200</v>
      </c>
      <c r="B190" s="71">
        <v>1800</v>
      </c>
      <c r="C190" s="71"/>
      <c r="D190" s="71">
        <f t="shared" si="66"/>
        <v>3</v>
      </c>
      <c r="E190" s="72"/>
      <c r="F190" s="73">
        <f t="shared" si="67"/>
        <v>0</v>
      </c>
      <c r="G190" s="72">
        <f t="shared" si="68"/>
        <v>0</v>
      </c>
      <c r="H190" s="73">
        <v>0</v>
      </c>
      <c r="I190" s="73">
        <f t="shared" si="69"/>
        <v>0</v>
      </c>
      <c r="J190" s="73">
        <f t="shared" si="82"/>
        <v>0</v>
      </c>
      <c r="K190" s="73">
        <f t="shared" si="83"/>
        <v>0</v>
      </c>
      <c r="L190" s="74">
        <f>'BUSBAR 2013'!$H$31</f>
        <v>0</v>
      </c>
      <c r="M190" s="73"/>
      <c r="N190" s="73">
        <f t="shared" si="70"/>
        <v>0</v>
      </c>
      <c r="O190" s="119">
        <f t="shared" si="71"/>
        <v>0</v>
      </c>
      <c r="P190" s="119">
        <f t="shared" si="72"/>
        <v>0</v>
      </c>
      <c r="Q190" s="119">
        <f t="shared" si="73"/>
        <v>0</v>
      </c>
      <c r="R190" s="119">
        <f t="shared" si="74"/>
        <v>0</v>
      </c>
      <c r="S190" s="119">
        <f t="shared" si="75"/>
        <v>0</v>
      </c>
      <c r="T190" s="73">
        <f t="shared" si="76"/>
        <v>0</v>
      </c>
      <c r="U190" s="119">
        <f t="shared" si="77"/>
        <v>0</v>
      </c>
      <c r="V190" s="119">
        <f t="shared" si="78"/>
        <v>0</v>
      </c>
      <c r="W190" s="119">
        <f t="shared" si="79"/>
        <v>0</v>
      </c>
      <c r="X190" s="119">
        <f t="shared" si="80"/>
        <v>0</v>
      </c>
      <c r="Y190" s="119">
        <f t="shared" si="81"/>
        <v>0</v>
      </c>
      <c r="Z190" s="120">
        <f>IF('ENCL 2013'!$F$43=1,(SUM('ENCL 2013'!$G$42:$G$43)*400+SUM('ENCL 2013'!$H$42:$H$43)*600+SUM('ENCL 2013'!$I$42:$I$43)*800+SUM('ENCL 2013'!$J$42:$J$43)*1000+SUM('ENCL 2013'!$K$42:$K$43)*1200),0)</f>
        <v>0</v>
      </c>
    </row>
    <row r="191" spans="1:26">
      <c r="A191" s="77">
        <f>A188</f>
        <v>1200</v>
      </c>
      <c r="B191" s="71">
        <v>1950</v>
      </c>
      <c r="C191" s="71"/>
      <c r="D191" s="71">
        <f t="shared" si="66"/>
        <v>3</v>
      </c>
      <c r="E191" s="72"/>
      <c r="F191" s="73">
        <f t="shared" si="67"/>
        <v>0</v>
      </c>
      <c r="G191" s="72">
        <f t="shared" si="68"/>
        <v>0</v>
      </c>
      <c r="H191" s="73">
        <v>0</v>
      </c>
      <c r="I191" s="73">
        <f t="shared" si="69"/>
        <v>0</v>
      </c>
      <c r="J191" s="73">
        <f t="shared" si="82"/>
        <v>0</v>
      </c>
      <c r="K191" s="73">
        <f t="shared" si="83"/>
        <v>0</v>
      </c>
      <c r="L191" s="74">
        <f>'BUSBAR 2013'!$H$32</f>
        <v>0</v>
      </c>
      <c r="M191" s="73"/>
      <c r="N191" s="73">
        <f t="shared" si="70"/>
        <v>0</v>
      </c>
      <c r="O191" s="119">
        <f t="shared" si="71"/>
        <v>0</v>
      </c>
      <c r="P191" s="119">
        <f t="shared" si="72"/>
        <v>0</v>
      </c>
      <c r="Q191" s="119">
        <f t="shared" si="73"/>
        <v>0</v>
      </c>
      <c r="R191" s="119">
        <f t="shared" si="74"/>
        <v>0</v>
      </c>
      <c r="S191" s="119">
        <f t="shared" si="75"/>
        <v>0</v>
      </c>
      <c r="T191" s="73">
        <f t="shared" si="76"/>
        <v>0</v>
      </c>
      <c r="U191" s="119">
        <f t="shared" si="77"/>
        <v>0</v>
      </c>
      <c r="V191" s="119">
        <f t="shared" si="78"/>
        <v>0</v>
      </c>
      <c r="W191" s="119">
        <f t="shared" si="79"/>
        <v>0</v>
      </c>
      <c r="X191" s="119">
        <f t="shared" si="80"/>
        <v>0</v>
      </c>
      <c r="Y191" s="119">
        <f t="shared" si="81"/>
        <v>0</v>
      </c>
      <c r="Z191" s="120">
        <f>IF('ENCL 2013'!$F$43=1,(SUM('ENCL 2013'!$G$42:$G$43)*400+SUM('ENCL 2013'!$H$42:$H$43)*600+SUM('ENCL 2013'!$I$42:$I$43)*800+SUM('ENCL 2013'!$J$42:$J$43)*1000+SUM('ENCL 2013'!$K$42:$K$43)*1200),0)</f>
        <v>0</v>
      </c>
    </row>
    <row r="192" spans="1:26">
      <c r="A192" s="71">
        <v>1250</v>
      </c>
      <c r="B192" s="71">
        <v>1300</v>
      </c>
      <c r="C192" s="71"/>
      <c r="D192" s="71">
        <f t="shared" si="66"/>
        <v>3</v>
      </c>
      <c r="E192" s="72"/>
      <c r="F192" s="73">
        <f t="shared" si="67"/>
        <v>0</v>
      </c>
      <c r="G192" s="72">
        <f t="shared" si="68"/>
        <v>0</v>
      </c>
      <c r="H192" s="73">
        <v>0</v>
      </c>
      <c r="I192" s="73">
        <f t="shared" si="69"/>
        <v>0</v>
      </c>
      <c r="J192" s="73">
        <f t="shared" si="82"/>
        <v>0</v>
      </c>
      <c r="K192" s="73">
        <f t="shared" si="83"/>
        <v>0</v>
      </c>
      <c r="L192" s="74">
        <f>'BUSBAR 2013'!$I$29</f>
        <v>0</v>
      </c>
      <c r="M192" s="73"/>
      <c r="N192" s="73">
        <f t="shared" si="70"/>
        <v>0</v>
      </c>
      <c r="O192" s="119">
        <f t="shared" si="71"/>
        <v>0</v>
      </c>
      <c r="P192" s="119">
        <f t="shared" si="72"/>
        <v>0</v>
      </c>
      <c r="Q192" s="119">
        <f t="shared" si="73"/>
        <v>0</v>
      </c>
      <c r="R192" s="119">
        <f t="shared" si="74"/>
        <v>0</v>
      </c>
      <c r="S192" s="119">
        <f t="shared" si="75"/>
        <v>0</v>
      </c>
      <c r="T192" s="73">
        <f t="shared" si="76"/>
        <v>0</v>
      </c>
      <c r="U192" s="119">
        <f t="shared" si="77"/>
        <v>0</v>
      </c>
      <c r="V192" s="119">
        <f t="shared" si="78"/>
        <v>0</v>
      </c>
      <c r="W192" s="119">
        <f t="shared" si="79"/>
        <v>0</v>
      </c>
      <c r="X192" s="119">
        <f t="shared" si="80"/>
        <v>0</v>
      </c>
      <c r="Y192" s="119">
        <f t="shared" si="81"/>
        <v>0</v>
      </c>
      <c r="Z192" s="120">
        <f>IF('ENCL 2013'!$F$43=1,(SUM('ENCL 2013'!$G$42:$G$43)*400+SUM('ENCL 2013'!$H$42:$H$43)*600+SUM('ENCL 2013'!$I$42:$I$43)*800+SUM('ENCL 2013'!$J$42:$J$43)*1000+SUM('ENCL 2013'!$K$42:$K$43)*1200),0)</f>
        <v>0</v>
      </c>
    </row>
    <row r="193" spans="1:26">
      <c r="A193" s="77">
        <f>A192</f>
        <v>1250</v>
      </c>
      <c r="B193" s="71">
        <v>1500</v>
      </c>
      <c r="C193" s="71"/>
      <c r="D193" s="71">
        <f t="shared" si="66"/>
        <v>3</v>
      </c>
      <c r="E193" s="72"/>
      <c r="F193" s="73">
        <f t="shared" si="67"/>
        <v>0</v>
      </c>
      <c r="G193" s="72">
        <f t="shared" si="68"/>
        <v>0</v>
      </c>
      <c r="H193" s="73">
        <v>0</v>
      </c>
      <c r="I193" s="73">
        <f t="shared" si="69"/>
        <v>0</v>
      </c>
      <c r="J193" s="73">
        <f t="shared" si="82"/>
        <v>0</v>
      </c>
      <c r="K193" s="73">
        <f t="shared" si="83"/>
        <v>0</v>
      </c>
      <c r="L193" s="74">
        <f>'BUSBAR 2013'!$I$30</f>
        <v>0</v>
      </c>
      <c r="M193" s="73"/>
      <c r="N193" s="73">
        <f t="shared" si="70"/>
        <v>0</v>
      </c>
      <c r="O193" s="119">
        <f t="shared" si="71"/>
        <v>0</v>
      </c>
      <c r="P193" s="119">
        <f t="shared" si="72"/>
        <v>0</v>
      </c>
      <c r="Q193" s="119">
        <f t="shared" si="73"/>
        <v>0</v>
      </c>
      <c r="R193" s="119">
        <f t="shared" si="74"/>
        <v>0</v>
      </c>
      <c r="S193" s="119">
        <f t="shared" si="75"/>
        <v>0</v>
      </c>
      <c r="T193" s="73">
        <f t="shared" si="76"/>
        <v>0</v>
      </c>
      <c r="U193" s="119">
        <f t="shared" si="77"/>
        <v>0</v>
      </c>
      <c r="V193" s="119">
        <f t="shared" si="78"/>
        <v>0</v>
      </c>
      <c r="W193" s="119">
        <f t="shared" si="79"/>
        <v>0</v>
      </c>
      <c r="X193" s="119">
        <f t="shared" si="80"/>
        <v>0</v>
      </c>
      <c r="Y193" s="119">
        <f t="shared" si="81"/>
        <v>0</v>
      </c>
      <c r="Z193" s="120">
        <f>IF('ENCL 2013'!$F$43=1,(SUM('ENCL 2013'!$G$42:$G$43)*400+SUM('ENCL 2013'!$H$42:$H$43)*600+SUM('ENCL 2013'!$I$42:$I$43)*800+SUM('ENCL 2013'!$J$42:$J$43)*1000+SUM('ENCL 2013'!$K$42:$K$43)*1200),0)</f>
        <v>0</v>
      </c>
    </row>
    <row r="194" spans="1:26">
      <c r="A194" s="77">
        <f>A192</f>
        <v>1250</v>
      </c>
      <c r="B194" s="71">
        <v>1800</v>
      </c>
      <c r="C194" s="71"/>
      <c r="D194" s="71">
        <f t="shared" si="66"/>
        <v>3</v>
      </c>
      <c r="E194" s="72"/>
      <c r="F194" s="73">
        <f t="shared" si="67"/>
        <v>0</v>
      </c>
      <c r="G194" s="72">
        <f t="shared" si="68"/>
        <v>0</v>
      </c>
      <c r="H194" s="73">
        <v>0</v>
      </c>
      <c r="I194" s="73">
        <f t="shared" si="69"/>
        <v>0</v>
      </c>
      <c r="J194" s="73">
        <f t="shared" si="82"/>
        <v>0</v>
      </c>
      <c r="K194" s="73">
        <f t="shared" si="83"/>
        <v>0</v>
      </c>
      <c r="L194" s="74">
        <f>'BUSBAR 2013'!$I$31</f>
        <v>0</v>
      </c>
      <c r="M194" s="73"/>
      <c r="N194" s="73">
        <f t="shared" si="70"/>
        <v>0</v>
      </c>
      <c r="O194" s="119">
        <f t="shared" si="71"/>
        <v>0</v>
      </c>
      <c r="P194" s="119">
        <f t="shared" si="72"/>
        <v>0</v>
      </c>
      <c r="Q194" s="119">
        <f t="shared" si="73"/>
        <v>0</v>
      </c>
      <c r="R194" s="119">
        <f t="shared" si="74"/>
        <v>0</v>
      </c>
      <c r="S194" s="119">
        <f t="shared" si="75"/>
        <v>0</v>
      </c>
      <c r="T194" s="73">
        <f t="shared" si="76"/>
        <v>0</v>
      </c>
      <c r="U194" s="119">
        <f t="shared" si="77"/>
        <v>0</v>
      </c>
      <c r="V194" s="119">
        <f t="shared" si="78"/>
        <v>0</v>
      </c>
      <c r="W194" s="119">
        <f t="shared" si="79"/>
        <v>0</v>
      </c>
      <c r="X194" s="119">
        <f t="shared" si="80"/>
        <v>0</v>
      </c>
      <c r="Y194" s="119">
        <f t="shared" si="81"/>
        <v>0</v>
      </c>
      <c r="Z194" s="120">
        <f>IF('ENCL 2013'!$F$43=1,(SUM('ENCL 2013'!$G$42:$G$43)*400+SUM('ENCL 2013'!$H$42:$H$43)*600+SUM('ENCL 2013'!$I$42:$I$43)*800+SUM('ENCL 2013'!$J$42:$J$43)*1000+SUM('ENCL 2013'!$K$42:$K$43)*1200),0)</f>
        <v>0</v>
      </c>
    </row>
    <row r="195" spans="1:26">
      <c r="A195" s="77">
        <f>A192</f>
        <v>1250</v>
      </c>
      <c r="B195" s="71">
        <v>1950</v>
      </c>
      <c r="C195" s="71"/>
      <c r="D195" s="71">
        <f t="shared" si="66"/>
        <v>3</v>
      </c>
      <c r="E195" s="72"/>
      <c r="F195" s="73">
        <f t="shared" si="67"/>
        <v>0</v>
      </c>
      <c r="G195" s="72">
        <f t="shared" si="68"/>
        <v>0</v>
      </c>
      <c r="H195" s="73">
        <v>0</v>
      </c>
      <c r="I195" s="73">
        <f t="shared" si="69"/>
        <v>0</v>
      </c>
      <c r="J195" s="73">
        <f t="shared" si="82"/>
        <v>0</v>
      </c>
      <c r="K195" s="73">
        <f t="shared" si="83"/>
        <v>0</v>
      </c>
      <c r="L195" s="74">
        <f>'BUSBAR 2013'!$I$32</f>
        <v>0</v>
      </c>
      <c r="M195" s="73"/>
      <c r="N195" s="73">
        <f t="shared" si="70"/>
        <v>0</v>
      </c>
      <c r="O195" s="119">
        <f t="shared" si="71"/>
        <v>0</v>
      </c>
      <c r="P195" s="119">
        <f t="shared" si="72"/>
        <v>0</v>
      </c>
      <c r="Q195" s="119">
        <f t="shared" si="73"/>
        <v>0</v>
      </c>
      <c r="R195" s="119">
        <f t="shared" si="74"/>
        <v>0</v>
      </c>
      <c r="S195" s="119">
        <f t="shared" si="75"/>
        <v>0</v>
      </c>
      <c r="T195" s="73">
        <f t="shared" si="76"/>
        <v>0</v>
      </c>
      <c r="U195" s="119">
        <f t="shared" si="77"/>
        <v>0</v>
      </c>
      <c r="V195" s="119">
        <f t="shared" si="78"/>
        <v>0</v>
      </c>
      <c r="W195" s="119">
        <f t="shared" si="79"/>
        <v>0</v>
      </c>
      <c r="X195" s="119">
        <f t="shared" si="80"/>
        <v>0</v>
      </c>
      <c r="Y195" s="119">
        <f t="shared" si="81"/>
        <v>0</v>
      </c>
      <c r="Z195" s="120">
        <f>IF('ENCL 2013'!$F$43=1,(SUM('ENCL 2013'!$G$42:$G$43)*400+SUM('ENCL 2013'!$H$42:$H$43)*600+SUM('ENCL 2013'!$I$42:$I$43)*800+SUM('ENCL 2013'!$J$42:$J$43)*1000+SUM('ENCL 2013'!$K$42:$K$43)*1200),0)</f>
        <v>0</v>
      </c>
    </row>
    <row r="196" spans="1:26">
      <c r="A196" s="71">
        <v>1600</v>
      </c>
      <c r="B196" s="71">
        <v>1300</v>
      </c>
      <c r="C196" s="71"/>
      <c r="D196" s="71">
        <f t="shared" si="66"/>
        <v>3</v>
      </c>
      <c r="E196" s="72"/>
      <c r="F196" s="73">
        <f t="shared" si="67"/>
        <v>0</v>
      </c>
      <c r="G196" s="72">
        <f t="shared" si="68"/>
        <v>0</v>
      </c>
      <c r="H196" s="73">
        <v>0</v>
      </c>
      <c r="I196" s="73">
        <f t="shared" si="69"/>
        <v>0</v>
      </c>
      <c r="J196" s="73">
        <f t="shared" si="82"/>
        <v>0</v>
      </c>
      <c r="K196" s="73">
        <f t="shared" si="83"/>
        <v>0</v>
      </c>
      <c r="L196" s="74">
        <f>'BUSBAR 2013'!$J$29</f>
        <v>0</v>
      </c>
      <c r="M196" s="73"/>
      <c r="N196" s="73">
        <f t="shared" si="70"/>
        <v>0</v>
      </c>
      <c r="O196" s="119">
        <f t="shared" si="71"/>
        <v>0</v>
      </c>
      <c r="P196" s="119">
        <f t="shared" si="72"/>
        <v>0</v>
      </c>
      <c r="Q196" s="119">
        <f t="shared" si="73"/>
        <v>0</v>
      </c>
      <c r="R196" s="119">
        <f t="shared" si="74"/>
        <v>0</v>
      </c>
      <c r="S196" s="119">
        <f t="shared" si="75"/>
        <v>0</v>
      </c>
      <c r="T196" s="73">
        <f t="shared" si="76"/>
        <v>0</v>
      </c>
      <c r="U196" s="119">
        <f t="shared" si="77"/>
        <v>0</v>
      </c>
      <c r="V196" s="119">
        <f t="shared" si="78"/>
        <v>0</v>
      </c>
      <c r="W196" s="119">
        <f t="shared" si="79"/>
        <v>0</v>
      </c>
      <c r="X196" s="119">
        <f t="shared" si="80"/>
        <v>0</v>
      </c>
      <c r="Y196" s="119">
        <f t="shared" si="81"/>
        <v>0</v>
      </c>
      <c r="Z196" s="120">
        <f>IF('ENCL 2013'!$F$43=1,(SUM('ENCL 2013'!$G$42:$G$43)*400+SUM('ENCL 2013'!$H$42:$H$43)*600+SUM('ENCL 2013'!$I$42:$I$43)*800+SUM('ENCL 2013'!$J$42:$J$43)*1000+SUM('ENCL 2013'!$K$42:$K$43)*1200),0)</f>
        <v>0</v>
      </c>
    </row>
    <row r="197" spans="1:26">
      <c r="A197" s="77">
        <f>A196</f>
        <v>1600</v>
      </c>
      <c r="B197" s="71">
        <v>1500</v>
      </c>
      <c r="C197" s="71"/>
      <c r="D197" s="71">
        <f t="shared" si="66"/>
        <v>3</v>
      </c>
      <c r="E197" s="72"/>
      <c r="F197" s="73">
        <f t="shared" si="67"/>
        <v>0</v>
      </c>
      <c r="G197" s="72">
        <f t="shared" si="68"/>
        <v>0</v>
      </c>
      <c r="H197" s="73">
        <v>0</v>
      </c>
      <c r="I197" s="73">
        <f t="shared" si="69"/>
        <v>0</v>
      </c>
      <c r="J197" s="73">
        <f t="shared" si="82"/>
        <v>0</v>
      </c>
      <c r="K197" s="73">
        <f t="shared" si="83"/>
        <v>0</v>
      </c>
      <c r="L197" s="74">
        <f>'BUSBAR 2013'!$J$30</f>
        <v>0</v>
      </c>
      <c r="M197" s="73"/>
      <c r="N197" s="73">
        <f t="shared" si="70"/>
        <v>0</v>
      </c>
      <c r="O197" s="119">
        <f t="shared" si="71"/>
        <v>0</v>
      </c>
      <c r="P197" s="119">
        <f t="shared" si="72"/>
        <v>0</v>
      </c>
      <c r="Q197" s="119">
        <f t="shared" si="73"/>
        <v>0</v>
      </c>
      <c r="R197" s="119">
        <f t="shared" si="74"/>
        <v>0</v>
      </c>
      <c r="S197" s="119">
        <f t="shared" si="75"/>
        <v>0</v>
      </c>
      <c r="T197" s="73">
        <f t="shared" si="76"/>
        <v>0</v>
      </c>
      <c r="U197" s="119">
        <f t="shared" si="77"/>
        <v>0</v>
      </c>
      <c r="V197" s="119">
        <f t="shared" si="78"/>
        <v>0</v>
      </c>
      <c r="W197" s="119">
        <f t="shared" si="79"/>
        <v>0</v>
      </c>
      <c r="X197" s="119">
        <f t="shared" si="80"/>
        <v>0</v>
      </c>
      <c r="Y197" s="119">
        <f t="shared" si="81"/>
        <v>0</v>
      </c>
      <c r="Z197" s="120">
        <f>IF('ENCL 2013'!$F$43=1,(SUM('ENCL 2013'!$G$42:$G$43)*400+SUM('ENCL 2013'!$H$42:$H$43)*600+SUM('ENCL 2013'!$I$42:$I$43)*800+SUM('ENCL 2013'!$J$42:$J$43)*1000+SUM('ENCL 2013'!$K$42:$K$43)*1200),0)</f>
        <v>0</v>
      </c>
    </row>
    <row r="198" spans="1:26">
      <c r="A198" s="77">
        <f>A196</f>
        <v>1600</v>
      </c>
      <c r="B198" s="71">
        <v>1800</v>
      </c>
      <c r="C198" s="71"/>
      <c r="D198" s="71">
        <f t="shared" si="66"/>
        <v>3</v>
      </c>
      <c r="E198" s="72"/>
      <c r="F198" s="73">
        <f t="shared" si="67"/>
        <v>0</v>
      </c>
      <c r="G198" s="72">
        <f t="shared" si="68"/>
        <v>0</v>
      </c>
      <c r="H198" s="73">
        <v>0</v>
      </c>
      <c r="I198" s="73">
        <f t="shared" si="69"/>
        <v>0</v>
      </c>
      <c r="J198" s="73">
        <f t="shared" si="82"/>
        <v>0</v>
      </c>
      <c r="K198" s="73">
        <f t="shared" si="83"/>
        <v>0</v>
      </c>
      <c r="L198" s="74">
        <f>'BUSBAR 2013'!$J$31</f>
        <v>0</v>
      </c>
      <c r="M198" s="73"/>
      <c r="N198" s="73">
        <f t="shared" si="70"/>
        <v>0</v>
      </c>
      <c r="O198" s="119">
        <f t="shared" si="71"/>
        <v>0</v>
      </c>
      <c r="P198" s="119">
        <f t="shared" si="72"/>
        <v>0</v>
      </c>
      <c r="Q198" s="119">
        <f t="shared" si="73"/>
        <v>0</v>
      </c>
      <c r="R198" s="119">
        <f t="shared" si="74"/>
        <v>0</v>
      </c>
      <c r="S198" s="119">
        <f t="shared" si="75"/>
        <v>0</v>
      </c>
      <c r="T198" s="73">
        <f t="shared" si="76"/>
        <v>0</v>
      </c>
      <c r="U198" s="119">
        <f t="shared" si="77"/>
        <v>0</v>
      </c>
      <c r="V198" s="119">
        <f t="shared" si="78"/>
        <v>0</v>
      </c>
      <c r="W198" s="119">
        <f t="shared" si="79"/>
        <v>0</v>
      </c>
      <c r="X198" s="119">
        <f t="shared" si="80"/>
        <v>0</v>
      </c>
      <c r="Y198" s="119">
        <f t="shared" si="81"/>
        <v>0</v>
      </c>
      <c r="Z198" s="120">
        <f>IF('ENCL 2013'!$F$43=1,(SUM('ENCL 2013'!$G$42:$G$43)*400+SUM('ENCL 2013'!$H$42:$H$43)*600+SUM('ENCL 2013'!$I$42:$I$43)*800+SUM('ENCL 2013'!$J$42:$J$43)*1000+SUM('ENCL 2013'!$K$42:$K$43)*1200),0)</f>
        <v>0</v>
      </c>
    </row>
    <row r="199" spans="1:26">
      <c r="A199" s="77">
        <f>A196</f>
        <v>1600</v>
      </c>
      <c r="B199" s="71">
        <v>1950</v>
      </c>
      <c r="C199" s="71"/>
      <c r="D199" s="71">
        <f t="shared" si="66"/>
        <v>3</v>
      </c>
      <c r="E199" s="72"/>
      <c r="F199" s="73">
        <f t="shared" si="67"/>
        <v>0</v>
      </c>
      <c r="G199" s="72">
        <f t="shared" si="68"/>
        <v>0</v>
      </c>
      <c r="H199" s="73">
        <v>0</v>
      </c>
      <c r="I199" s="73">
        <f t="shared" si="69"/>
        <v>0</v>
      </c>
      <c r="J199" s="73">
        <f t="shared" si="82"/>
        <v>0</v>
      </c>
      <c r="K199" s="73">
        <f t="shared" si="83"/>
        <v>0</v>
      </c>
      <c r="L199" s="74">
        <f>'BUSBAR 2013'!$J$32</f>
        <v>0</v>
      </c>
      <c r="M199" s="73"/>
      <c r="N199" s="73">
        <f t="shared" si="70"/>
        <v>0</v>
      </c>
      <c r="O199" s="119">
        <f t="shared" si="71"/>
        <v>0</v>
      </c>
      <c r="P199" s="119">
        <f t="shared" si="72"/>
        <v>0</v>
      </c>
      <c r="Q199" s="119">
        <f t="shared" si="73"/>
        <v>0</v>
      </c>
      <c r="R199" s="119">
        <f t="shared" si="74"/>
        <v>0</v>
      </c>
      <c r="S199" s="119">
        <f t="shared" si="75"/>
        <v>0</v>
      </c>
      <c r="T199" s="73">
        <f t="shared" si="76"/>
        <v>0</v>
      </c>
      <c r="U199" s="119">
        <f t="shared" si="77"/>
        <v>0</v>
      </c>
      <c r="V199" s="119">
        <f t="shared" si="78"/>
        <v>0</v>
      </c>
      <c r="W199" s="119">
        <f t="shared" si="79"/>
        <v>0</v>
      </c>
      <c r="X199" s="119">
        <f t="shared" si="80"/>
        <v>0</v>
      </c>
      <c r="Y199" s="119">
        <f t="shared" si="81"/>
        <v>0</v>
      </c>
      <c r="Z199" s="120">
        <f>IF('ENCL 2013'!$F$43=1,(SUM('ENCL 2013'!$G$42:$G$43)*400+SUM('ENCL 2013'!$H$42:$H$43)*600+SUM('ENCL 2013'!$I$42:$I$43)*800+SUM('ENCL 2013'!$J$42:$J$43)*1000+SUM('ENCL 2013'!$K$42:$K$43)*1200),0)</f>
        <v>0</v>
      </c>
    </row>
    <row r="200" spans="1:26">
      <c r="A200" s="71">
        <v>2000</v>
      </c>
      <c r="B200" s="71">
        <v>1300</v>
      </c>
      <c r="C200" s="71"/>
      <c r="D200" s="71">
        <f t="shared" si="66"/>
        <v>3</v>
      </c>
      <c r="E200" s="72"/>
      <c r="F200" s="73">
        <f t="shared" si="67"/>
        <v>0</v>
      </c>
      <c r="G200" s="72">
        <f t="shared" si="68"/>
        <v>0</v>
      </c>
      <c r="H200" s="73">
        <v>0</v>
      </c>
      <c r="I200" s="73">
        <f t="shared" si="69"/>
        <v>0</v>
      </c>
      <c r="J200" s="73">
        <f t="shared" si="82"/>
        <v>0</v>
      </c>
      <c r="K200" s="73">
        <f t="shared" si="83"/>
        <v>0</v>
      </c>
      <c r="L200" s="74">
        <f>'BUSBAR 2013'!$K$29</f>
        <v>0</v>
      </c>
      <c r="M200" s="73"/>
      <c r="N200" s="73">
        <f t="shared" ref="N200:N224" si="84">IF($K$4=1,VLOOKUP(A200,Table_Old,13,0)*$M$4*B200*L200*(8.9/1000000),VLOOKUP(A200,Table_New,13,0)*$M$4*B200*L200*(8.9/1000000))</f>
        <v>0</v>
      </c>
      <c r="O200" s="119">
        <f t="shared" ref="O200:O224" si="85">IF($K$4=1,VLOOKUP(A200,Table_Old,14,0)*Z200*L200*(8.9/1000000),VLOOKUP(A200,Table_New,14,0)*Z200*L200*(8.9/1000000))</f>
        <v>0</v>
      </c>
      <c r="P200" s="119">
        <f t="shared" ref="P200:P224" si="86">IF($K$4=1,VLOOKUP(A200,Table_Old,15,0)*Z200*L200*(8.9/1000000),VLOOKUP(A200,Table_New,15,0)*Z200*L200*(8.9/1000000))</f>
        <v>0</v>
      </c>
      <c r="Q200" s="119">
        <f t="shared" ref="Q200:Q224" si="87">IF($K$4=1,VLOOKUP(A200,Table_Old,16,0)*Z200*L200*(8.9/1000000),VLOOKUP(A200,Table_New,16,0)*Z200*L200*(8.9/1000000))</f>
        <v>0</v>
      </c>
      <c r="R200" s="119">
        <f t="shared" ref="R200:R224" si="88">IF($K$4=1,VLOOKUP(A200,Table_Old,17,0)*Z200*L200*(8.9/1000000),VLOOKUP(A200,Table_New,17,0)*Z200*L200*(8.9/1000000))</f>
        <v>0</v>
      </c>
      <c r="S200" s="119">
        <f t="shared" ref="S200:S224" si="89">IF($K$4=1,VLOOKUP(A200,Table_Old,18,0)*Z200*L200*(8.9/1000000),VLOOKUP(A200,Table_New,18,0)*Z200*L200*(8.9/1000000))</f>
        <v>0</v>
      </c>
      <c r="T200" s="73">
        <f t="shared" ref="T200:T224" si="90">IF($K$4=1,VLOOKUP(A200,Table_Old,19,0)*$M$4*B200*L200/1000000,VLOOKUP(A200,Table_New,19,0)*$M$4*B200*L200/1000000)</f>
        <v>0</v>
      </c>
      <c r="U200" s="119">
        <f t="shared" ref="U200:U224" si="91">IF($K$4=1,VLOOKUP(A200,Table_Old,20,0)*Z200*L200/1000000,VLOOKUP(A200,Table_New,20,0)*Z200*L200/1000000)</f>
        <v>0</v>
      </c>
      <c r="V200" s="119">
        <f t="shared" ref="V200:V224" si="92">IF($K$4=1,VLOOKUP(A200,Table_Old,21,0)*Z200*L200/1000000,VLOOKUP(A200,Table_New,21,0)*Z200*L200/1000000)</f>
        <v>0</v>
      </c>
      <c r="W200" s="119">
        <f t="shared" ref="W200:W224" si="93">IF($K$4=1,VLOOKUP(A200,Table_Old,22,0)*Z200*L200/1000000,VLOOKUP(A200,Table_New,22,0)*Z200*L200/1000000)</f>
        <v>0</v>
      </c>
      <c r="X200" s="119">
        <f t="shared" ref="X200:X224" si="94">IF($K$4=1,VLOOKUP(A200,Table_Old,23,0)*Z200*L200/1000000,VLOOKUP(A200,Table_New,23,0)*Z200*L200/1000000)</f>
        <v>0</v>
      </c>
      <c r="Y200" s="119">
        <f t="shared" ref="Y200:Y224" si="95">IF($K$4=1,VLOOKUP(A200,Table_Old,24,0)*Z200*L200/1000000,VLOOKUP(A200,Table_New,24,0)*Z200*L200/1000000)</f>
        <v>0</v>
      </c>
      <c r="Z200" s="120">
        <f>IF('ENCL 2013'!$F$43=1,(SUM('ENCL 2013'!$G$42:$G$43)*400+SUM('ENCL 2013'!$H$42:$H$43)*600+SUM('ENCL 2013'!$I$42:$I$43)*800+SUM('ENCL 2013'!$J$42:$J$43)*1000+SUM('ENCL 2013'!$K$42:$K$43)*1200),0)</f>
        <v>0</v>
      </c>
    </row>
    <row r="201" spans="1:26">
      <c r="A201" s="77">
        <f>A200</f>
        <v>2000</v>
      </c>
      <c r="B201" s="71">
        <v>1500</v>
      </c>
      <c r="C201" s="71"/>
      <c r="D201" s="71">
        <f t="shared" si="66"/>
        <v>3</v>
      </c>
      <c r="E201" s="72"/>
      <c r="F201" s="73">
        <f t="shared" si="67"/>
        <v>0</v>
      </c>
      <c r="G201" s="72">
        <f t="shared" si="68"/>
        <v>0</v>
      </c>
      <c r="H201" s="73">
        <v>0</v>
      </c>
      <c r="I201" s="73">
        <f t="shared" si="69"/>
        <v>0</v>
      </c>
      <c r="J201" s="73">
        <f t="shared" si="82"/>
        <v>0</v>
      </c>
      <c r="K201" s="73">
        <f t="shared" si="83"/>
        <v>0</v>
      </c>
      <c r="L201" s="74">
        <f>'BUSBAR 2013'!$K$30</f>
        <v>0</v>
      </c>
      <c r="M201" s="73"/>
      <c r="N201" s="73">
        <f t="shared" si="84"/>
        <v>0</v>
      </c>
      <c r="O201" s="119">
        <f t="shared" si="85"/>
        <v>0</v>
      </c>
      <c r="P201" s="119">
        <f t="shared" si="86"/>
        <v>0</v>
      </c>
      <c r="Q201" s="119">
        <f t="shared" si="87"/>
        <v>0</v>
      </c>
      <c r="R201" s="119">
        <f t="shared" si="88"/>
        <v>0</v>
      </c>
      <c r="S201" s="119">
        <f t="shared" si="89"/>
        <v>0</v>
      </c>
      <c r="T201" s="73">
        <f t="shared" si="90"/>
        <v>0</v>
      </c>
      <c r="U201" s="119">
        <f t="shared" si="91"/>
        <v>0</v>
      </c>
      <c r="V201" s="119">
        <f t="shared" si="92"/>
        <v>0</v>
      </c>
      <c r="W201" s="119">
        <f t="shared" si="93"/>
        <v>0</v>
      </c>
      <c r="X201" s="119">
        <f t="shared" si="94"/>
        <v>0</v>
      </c>
      <c r="Y201" s="119">
        <f t="shared" si="95"/>
        <v>0</v>
      </c>
      <c r="Z201" s="120">
        <f>IF('ENCL 2013'!$F$43=1,(SUM('ENCL 2013'!$G$42:$G$43)*400+SUM('ENCL 2013'!$H$42:$H$43)*600+SUM('ENCL 2013'!$I$42:$I$43)*800+SUM('ENCL 2013'!$J$42:$J$43)*1000+SUM('ENCL 2013'!$K$42:$K$43)*1200),0)</f>
        <v>0</v>
      </c>
    </row>
    <row r="202" spans="1:26">
      <c r="A202" s="77">
        <f>A200</f>
        <v>2000</v>
      </c>
      <c r="B202" s="71">
        <v>1800</v>
      </c>
      <c r="C202" s="71"/>
      <c r="D202" s="71">
        <f t="shared" si="66"/>
        <v>3</v>
      </c>
      <c r="E202" s="72"/>
      <c r="F202" s="73">
        <f t="shared" si="67"/>
        <v>0</v>
      </c>
      <c r="G202" s="72">
        <f t="shared" si="68"/>
        <v>0</v>
      </c>
      <c r="H202" s="73">
        <v>0</v>
      </c>
      <c r="I202" s="73">
        <f t="shared" si="69"/>
        <v>0</v>
      </c>
      <c r="J202" s="73">
        <f t="shared" si="82"/>
        <v>0</v>
      </c>
      <c r="K202" s="73">
        <f t="shared" si="83"/>
        <v>0</v>
      </c>
      <c r="L202" s="74">
        <f>'BUSBAR 2013'!$K$31</f>
        <v>0</v>
      </c>
      <c r="M202" s="73"/>
      <c r="N202" s="73">
        <f t="shared" si="84"/>
        <v>0</v>
      </c>
      <c r="O202" s="119">
        <f t="shared" si="85"/>
        <v>0</v>
      </c>
      <c r="P202" s="119">
        <f t="shared" si="86"/>
        <v>0</v>
      </c>
      <c r="Q202" s="119">
        <f t="shared" si="87"/>
        <v>0</v>
      </c>
      <c r="R202" s="119">
        <f t="shared" si="88"/>
        <v>0</v>
      </c>
      <c r="S202" s="119">
        <f t="shared" si="89"/>
        <v>0</v>
      </c>
      <c r="T202" s="73">
        <f t="shared" si="90"/>
        <v>0</v>
      </c>
      <c r="U202" s="119">
        <f t="shared" si="91"/>
        <v>0</v>
      </c>
      <c r="V202" s="119">
        <f t="shared" si="92"/>
        <v>0</v>
      </c>
      <c r="W202" s="119">
        <f t="shared" si="93"/>
        <v>0</v>
      </c>
      <c r="X202" s="119">
        <f t="shared" si="94"/>
        <v>0</v>
      </c>
      <c r="Y202" s="119">
        <f t="shared" si="95"/>
        <v>0</v>
      </c>
      <c r="Z202" s="120">
        <f>IF('ENCL 2013'!$F$43=1,(SUM('ENCL 2013'!$G$42:$G$43)*400+SUM('ENCL 2013'!$H$42:$H$43)*600+SUM('ENCL 2013'!$I$42:$I$43)*800+SUM('ENCL 2013'!$J$42:$J$43)*1000+SUM('ENCL 2013'!$K$42:$K$43)*1200),0)</f>
        <v>0</v>
      </c>
    </row>
    <row r="203" spans="1:26">
      <c r="A203" s="77">
        <f>A200</f>
        <v>2000</v>
      </c>
      <c r="B203" s="71">
        <v>1950</v>
      </c>
      <c r="C203" s="71"/>
      <c r="D203" s="71">
        <f t="shared" si="66"/>
        <v>3</v>
      </c>
      <c r="E203" s="72"/>
      <c r="F203" s="73">
        <f t="shared" si="67"/>
        <v>0</v>
      </c>
      <c r="G203" s="72">
        <f t="shared" si="68"/>
        <v>0</v>
      </c>
      <c r="H203" s="73">
        <v>0</v>
      </c>
      <c r="I203" s="73">
        <f t="shared" si="69"/>
        <v>0</v>
      </c>
      <c r="J203" s="73">
        <f t="shared" si="82"/>
        <v>0</v>
      </c>
      <c r="K203" s="73">
        <f t="shared" si="83"/>
        <v>0</v>
      </c>
      <c r="L203" s="74">
        <f>'BUSBAR 2013'!$K$32</f>
        <v>0</v>
      </c>
      <c r="M203" s="73"/>
      <c r="N203" s="73">
        <f t="shared" si="84"/>
        <v>0</v>
      </c>
      <c r="O203" s="119">
        <f t="shared" si="85"/>
        <v>0</v>
      </c>
      <c r="P203" s="119">
        <f t="shared" si="86"/>
        <v>0</v>
      </c>
      <c r="Q203" s="119">
        <f t="shared" si="87"/>
        <v>0</v>
      </c>
      <c r="R203" s="119">
        <f t="shared" si="88"/>
        <v>0</v>
      </c>
      <c r="S203" s="119">
        <f t="shared" si="89"/>
        <v>0</v>
      </c>
      <c r="T203" s="73">
        <f t="shared" si="90"/>
        <v>0</v>
      </c>
      <c r="U203" s="119">
        <f t="shared" si="91"/>
        <v>0</v>
      </c>
      <c r="V203" s="119">
        <f t="shared" si="92"/>
        <v>0</v>
      </c>
      <c r="W203" s="119">
        <f t="shared" si="93"/>
        <v>0</v>
      </c>
      <c r="X203" s="119">
        <f t="shared" si="94"/>
        <v>0</v>
      </c>
      <c r="Y203" s="119">
        <f t="shared" si="95"/>
        <v>0</v>
      </c>
      <c r="Z203" s="120">
        <f>IF('ENCL 2013'!$F$43=1,(SUM('ENCL 2013'!$G$42:$G$43)*400+SUM('ENCL 2013'!$H$42:$H$43)*600+SUM('ENCL 2013'!$I$42:$I$43)*800+SUM('ENCL 2013'!$J$42:$J$43)*1000+SUM('ENCL 2013'!$K$42:$K$43)*1200),0)</f>
        <v>0</v>
      </c>
    </row>
    <row r="204" spans="1:26">
      <c r="A204" s="71">
        <v>2500</v>
      </c>
      <c r="B204" s="71">
        <v>1300</v>
      </c>
      <c r="C204" s="71"/>
      <c r="D204" s="71">
        <f t="shared" si="66"/>
        <v>3</v>
      </c>
      <c r="E204" s="72"/>
      <c r="F204" s="73">
        <f t="shared" si="67"/>
        <v>0</v>
      </c>
      <c r="G204" s="72">
        <f t="shared" si="68"/>
        <v>0</v>
      </c>
      <c r="H204" s="73">
        <v>0</v>
      </c>
      <c r="I204" s="73">
        <f t="shared" si="69"/>
        <v>0</v>
      </c>
      <c r="J204" s="73">
        <f t="shared" si="82"/>
        <v>0</v>
      </c>
      <c r="K204" s="73">
        <f t="shared" si="83"/>
        <v>0</v>
      </c>
      <c r="L204" s="74">
        <f>'BUSBAR 2013'!$L$29</f>
        <v>0</v>
      </c>
      <c r="M204" s="73"/>
      <c r="N204" s="73">
        <f t="shared" si="84"/>
        <v>0</v>
      </c>
      <c r="O204" s="119">
        <f t="shared" si="85"/>
        <v>0</v>
      </c>
      <c r="P204" s="119">
        <f t="shared" si="86"/>
        <v>0</v>
      </c>
      <c r="Q204" s="119">
        <f t="shared" si="87"/>
        <v>0</v>
      </c>
      <c r="R204" s="119">
        <f t="shared" si="88"/>
        <v>0</v>
      </c>
      <c r="S204" s="119">
        <f t="shared" si="89"/>
        <v>0</v>
      </c>
      <c r="T204" s="73">
        <f t="shared" si="90"/>
        <v>0</v>
      </c>
      <c r="U204" s="119">
        <f t="shared" si="91"/>
        <v>0</v>
      </c>
      <c r="V204" s="119">
        <f t="shared" si="92"/>
        <v>0</v>
      </c>
      <c r="W204" s="119">
        <f t="shared" si="93"/>
        <v>0</v>
      </c>
      <c r="X204" s="119">
        <f t="shared" si="94"/>
        <v>0</v>
      </c>
      <c r="Y204" s="119">
        <f t="shared" si="95"/>
        <v>0</v>
      </c>
      <c r="Z204" s="120">
        <f>IF('ENCL 2013'!$F$43=1,(SUM('ENCL 2013'!$G$42:$G$43)*400+SUM('ENCL 2013'!$H$42:$H$43)*600+SUM('ENCL 2013'!$I$42:$I$43)*800+SUM('ENCL 2013'!$J$42:$J$43)*1000+SUM('ENCL 2013'!$K$42:$K$43)*1200),0)</f>
        <v>0</v>
      </c>
    </row>
    <row r="205" spans="1:26">
      <c r="A205" s="77">
        <f>A204</f>
        <v>2500</v>
      </c>
      <c r="B205" s="71">
        <v>1500</v>
      </c>
      <c r="C205" s="71"/>
      <c r="D205" s="71">
        <f t="shared" si="66"/>
        <v>3</v>
      </c>
      <c r="E205" s="72"/>
      <c r="F205" s="73">
        <f t="shared" si="67"/>
        <v>0</v>
      </c>
      <c r="G205" s="72">
        <f t="shared" si="68"/>
        <v>0</v>
      </c>
      <c r="H205" s="73">
        <v>0</v>
      </c>
      <c r="I205" s="73">
        <f t="shared" si="69"/>
        <v>0</v>
      </c>
      <c r="J205" s="73">
        <f t="shared" si="82"/>
        <v>0</v>
      </c>
      <c r="K205" s="73">
        <f t="shared" si="83"/>
        <v>0</v>
      </c>
      <c r="L205" s="74">
        <f>'BUSBAR 2013'!$L$30</f>
        <v>0</v>
      </c>
      <c r="M205" s="73"/>
      <c r="N205" s="73">
        <f t="shared" si="84"/>
        <v>0</v>
      </c>
      <c r="O205" s="119">
        <f t="shared" si="85"/>
        <v>0</v>
      </c>
      <c r="P205" s="119">
        <f t="shared" si="86"/>
        <v>0</v>
      </c>
      <c r="Q205" s="119">
        <f t="shared" si="87"/>
        <v>0</v>
      </c>
      <c r="R205" s="119">
        <f t="shared" si="88"/>
        <v>0</v>
      </c>
      <c r="S205" s="119">
        <f t="shared" si="89"/>
        <v>0</v>
      </c>
      <c r="T205" s="73">
        <f t="shared" si="90"/>
        <v>0</v>
      </c>
      <c r="U205" s="119">
        <f t="shared" si="91"/>
        <v>0</v>
      </c>
      <c r="V205" s="119">
        <f t="shared" si="92"/>
        <v>0</v>
      </c>
      <c r="W205" s="119">
        <f t="shared" si="93"/>
        <v>0</v>
      </c>
      <c r="X205" s="119">
        <f t="shared" si="94"/>
        <v>0</v>
      </c>
      <c r="Y205" s="119">
        <f t="shared" si="95"/>
        <v>0</v>
      </c>
      <c r="Z205" s="120">
        <f>IF('ENCL 2013'!$F$43=1,(SUM('ENCL 2013'!$G$42:$G$43)*400+SUM('ENCL 2013'!$H$42:$H$43)*600+SUM('ENCL 2013'!$I$42:$I$43)*800+SUM('ENCL 2013'!$J$42:$J$43)*1000+SUM('ENCL 2013'!$K$42:$K$43)*1200),0)</f>
        <v>0</v>
      </c>
    </row>
    <row r="206" spans="1:26">
      <c r="A206" s="77">
        <f>A204</f>
        <v>2500</v>
      </c>
      <c r="B206" s="71">
        <v>1800</v>
      </c>
      <c r="C206" s="71"/>
      <c r="D206" s="71">
        <f t="shared" si="66"/>
        <v>3</v>
      </c>
      <c r="E206" s="72"/>
      <c r="F206" s="73">
        <f t="shared" si="67"/>
        <v>0</v>
      </c>
      <c r="G206" s="72">
        <f t="shared" si="68"/>
        <v>0</v>
      </c>
      <c r="H206" s="73">
        <v>0</v>
      </c>
      <c r="I206" s="73">
        <f t="shared" si="69"/>
        <v>0</v>
      </c>
      <c r="J206" s="73">
        <f t="shared" si="82"/>
        <v>0</v>
      </c>
      <c r="K206" s="73">
        <f t="shared" si="83"/>
        <v>0</v>
      </c>
      <c r="L206" s="74">
        <f>'BUSBAR 2013'!$L$31</f>
        <v>0</v>
      </c>
      <c r="M206" s="73"/>
      <c r="N206" s="73">
        <f t="shared" si="84"/>
        <v>0</v>
      </c>
      <c r="O206" s="119">
        <f t="shared" si="85"/>
        <v>0</v>
      </c>
      <c r="P206" s="119">
        <f t="shared" si="86"/>
        <v>0</v>
      </c>
      <c r="Q206" s="119">
        <f t="shared" si="87"/>
        <v>0</v>
      </c>
      <c r="R206" s="119">
        <f t="shared" si="88"/>
        <v>0</v>
      </c>
      <c r="S206" s="119">
        <f t="shared" si="89"/>
        <v>0</v>
      </c>
      <c r="T206" s="73">
        <f t="shared" si="90"/>
        <v>0</v>
      </c>
      <c r="U206" s="119">
        <f t="shared" si="91"/>
        <v>0</v>
      </c>
      <c r="V206" s="119">
        <f t="shared" si="92"/>
        <v>0</v>
      </c>
      <c r="W206" s="119">
        <f t="shared" si="93"/>
        <v>0</v>
      </c>
      <c r="X206" s="119">
        <f t="shared" si="94"/>
        <v>0</v>
      </c>
      <c r="Y206" s="119">
        <f t="shared" si="95"/>
        <v>0</v>
      </c>
      <c r="Z206" s="120">
        <f>IF('ENCL 2013'!$F$43=1,(SUM('ENCL 2013'!$G$42:$G$43)*400+SUM('ENCL 2013'!$H$42:$H$43)*600+SUM('ENCL 2013'!$I$42:$I$43)*800+SUM('ENCL 2013'!$J$42:$J$43)*1000+SUM('ENCL 2013'!$K$42:$K$43)*1200),0)</f>
        <v>0</v>
      </c>
    </row>
    <row r="207" spans="1:26">
      <c r="A207" s="77">
        <f>A204</f>
        <v>2500</v>
      </c>
      <c r="B207" s="71">
        <v>1950</v>
      </c>
      <c r="C207" s="71"/>
      <c r="D207" s="71">
        <f t="shared" si="66"/>
        <v>3</v>
      </c>
      <c r="E207" s="72"/>
      <c r="F207" s="73">
        <f t="shared" si="67"/>
        <v>0</v>
      </c>
      <c r="G207" s="72">
        <f t="shared" si="68"/>
        <v>0</v>
      </c>
      <c r="H207" s="73">
        <v>0</v>
      </c>
      <c r="I207" s="73">
        <f t="shared" si="69"/>
        <v>0</v>
      </c>
      <c r="J207" s="73">
        <f t="shared" si="82"/>
        <v>0</v>
      </c>
      <c r="K207" s="73">
        <f t="shared" si="83"/>
        <v>0</v>
      </c>
      <c r="L207" s="74">
        <f>'BUSBAR 2013'!$L$32</f>
        <v>0</v>
      </c>
      <c r="M207" s="73"/>
      <c r="N207" s="73">
        <f t="shared" si="84"/>
        <v>0</v>
      </c>
      <c r="O207" s="119">
        <f t="shared" si="85"/>
        <v>0</v>
      </c>
      <c r="P207" s="119">
        <f t="shared" si="86"/>
        <v>0</v>
      </c>
      <c r="Q207" s="119">
        <f t="shared" si="87"/>
        <v>0</v>
      </c>
      <c r="R207" s="119">
        <f t="shared" si="88"/>
        <v>0</v>
      </c>
      <c r="S207" s="119">
        <f t="shared" si="89"/>
        <v>0</v>
      </c>
      <c r="T207" s="73">
        <f t="shared" si="90"/>
        <v>0</v>
      </c>
      <c r="U207" s="119">
        <f t="shared" si="91"/>
        <v>0</v>
      </c>
      <c r="V207" s="119">
        <f t="shared" si="92"/>
        <v>0</v>
      </c>
      <c r="W207" s="119">
        <f t="shared" si="93"/>
        <v>0</v>
      </c>
      <c r="X207" s="119">
        <f t="shared" si="94"/>
        <v>0</v>
      </c>
      <c r="Y207" s="119">
        <f t="shared" si="95"/>
        <v>0</v>
      </c>
      <c r="Z207" s="120">
        <f>IF('ENCL 2013'!$F$43=1,(SUM('ENCL 2013'!$G$42:$G$43)*400+SUM('ENCL 2013'!$H$42:$H$43)*600+SUM('ENCL 2013'!$I$42:$I$43)*800+SUM('ENCL 2013'!$J$42:$J$43)*1000+SUM('ENCL 2013'!$K$42:$K$43)*1200),0)</f>
        <v>0</v>
      </c>
    </row>
    <row r="208" spans="1:26">
      <c r="A208" s="71">
        <v>3000</v>
      </c>
      <c r="B208" s="71">
        <v>1300</v>
      </c>
      <c r="C208" s="71"/>
      <c r="D208" s="71">
        <f t="shared" si="66"/>
        <v>3</v>
      </c>
      <c r="E208" s="72"/>
      <c r="F208" s="73">
        <f t="shared" si="67"/>
        <v>0</v>
      </c>
      <c r="G208" s="72">
        <f t="shared" si="68"/>
        <v>0</v>
      </c>
      <c r="H208" s="73">
        <v>0</v>
      </c>
      <c r="I208" s="73">
        <f t="shared" si="69"/>
        <v>0</v>
      </c>
      <c r="J208" s="73">
        <f t="shared" si="82"/>
        <v>0</v>
      </c>
      <c r="K208" s="73">
        <f t="shared" si="83"/>
        <v>0</v>
      </c>
      <c r="L208" s="74">
        <f>'BUSBAR 2013'!$M$29</f>
        <v>0</v>
      </c>
      <c r="M208" s="73"/>
      <c r="N208" s="73">
        <f t="shared" si="84"/>
        <v>0</v>
      </c>
      <c r="O208" s="119">
        <f t="shared" si="85"/>
        <v>0</v>
      </c>
      <c r="P208" s="119">
        <f t="shared" si="86"/>
        <v>0</v>
      </c>
      <c r="Q208" s="119">
        <f t="shared" si="87"/>
        <v>0</v>
      </c>
      <c r="R208" s="119">
        <f t="shared" si="88"/>
        <v>0</v>
      </c>
      <c r="S208" s="119">
        <f t="shared" si="89"/>
        <v>0</v>
      </c>
      <c r="T208" s="73">
        <f t="shared" si="90"/>
        <v>0</v>
      </c>
      <c r="U208" s="119">
        <f t="shared" si="91"/>
        <v>0</v>
      </c>
      <c r="V208" s="119">
        <f t="shared" si="92"/>
        <v>0</v>
      </c>
      <c r="W208" s="119">
        <f t="shared" si="93"/>
        <v>0</v>
      </c>
      <c r="X208" s="119">
        <f t="shared" si="94"/>
        <v>0</v>
      </c>
      <c r="Y208" s="119">
        <f t="shared" si="95"/>
        <v>0</v>
      </c>
      <c r="Z208" s="120">
        <f>IF('ENCL 2013'!$F$43=1,(SUM('ENCL 2013'!$G$42:$G$43)*400+SUM('ENCL 2013'!$H$42:$H$43)*600+SUM('ENCL 2013'!$I$42:$I$43)*800+SUM('ENCL 2013'!$J$42:$J$43)*1000+SUM('ENCL 2013'!$K$42:$K$43)*1200),0)</f>
        <v>0</v>
      </c>
    </row>
    <row r="209" spans="1:26">
      <c r="A209" s="77">
        <f>A208</f>
        <v>3000</v>
      </c>
      <c r="B209" s="71">
        <v>1500</v>
      </c>
      <c r="C209" s="71"/>
      <c r="D209" s="71">
        <f t="shared" si="66"/>
        <v>3</v>
      </c>
      <c r="E209" s="72"/>
      <c r="F209" s="73">
        <f t="shared" si="67"/>
        <v>0</v>
      </c>
      <c r="G209" s="72">
        <f t="shared" si="68"/>
        <v>0</v>
      </c>
      <c r="H209" s="73">
        <v>0</v>
      </c>
      <c r="I209" s="73">
        <f t="shared" si="69"/>
        <v>0</v>
      </c>
      <c r="J209" s="73">
        <f t="shared" si="82"/>
        <v>0</v>
      </c>
      <c r="K209" s="73">
        <f t="shared" si="83"/>
        <v>0</v>
      </c>
      <c r="L209" s="74">
        <f>'BUSBAR 2013'!$M$30</f>
        <v>0</v>
      </c>
      <c r="M209" s="73"/>
      <c r="N209" s="73">
        <f t="shared" si="84"/>
        <v>0</v>
      </c>
      <c r="O209" s="119">
        <f t="shared" si="85"/>
        <v>0</v>
      </c>
      <c r="P209" s="119">
        <f t="shared" si="86"/>
        <v>0</v>
      </c>
      <c r="Q209" s="119">
        <f t="shared" si="87"/>
        <v>0</v>
      </c>
      <c r="R209" s="119">
        <f t="shared" si="88"/>
        <v>0</v>
      </c>
      <c r="S209" s="119">
        <f t="shared" si="89"/>
        <v>0</v>
      </c>
      <c r="T209" s="73">
        <f t="shared" si="90"/>
        <v>0</v>
      </c>
      <c r="U209" s="119">
        <f t="shared" si="91"/>
        <v>0</v>
      </c>
      <c r="V209" s="119">
        <f t="shared" si="92"/>
        <v>0</v>
      </c>
      <c r="W209" s="119">
        <f t="shared" si="93"/>
        <v>0</v>
      </c>
      <c r="X209" s="119">
        <f t="shared" si="94"/>
        <v>0</v>
      </c>
      <c r="Y209" s="119">
        <f t="shared" si="95"/>
        <v>0</v>
      </c>
      <c r="Z209" s="120">
        <f>IF('ENCL 2013'!$F$43=1,(SUM('ENCL 2013'!$G$42:$G$43)*400+SUM('ENCL 2013'!$H$42:$H$43)*600+SUM('ENCL 2013'!$I$42:$I$43)*800+SUM('ENCL 2013'!$J$42:$J$43)*1000+SUM('ENCL 2013'!$K$42:$K$43)*1200),0)</f>
        <v>0</v>
      </c>
    </row>
    <row r="210" spans="1:26">
      <c r="A210" s="77">
        <f>A208</f>
        <v>3000</v>
      </c>
      <c r="B210" s="71">
        <v>1800</v>
      </c>
      <c r="C210" s="71"/>
      <c r="D210" s="71">
        <f t="shared" si="66"/>
        <v>3</v>
      </c>
      <c r="E210" s="72"/>
      <c r="F210" s="73">
        <f t="shared" si="67"/>
        <v>0</v>
      </c>
      <c r="G210" s="72">
        <f t="shared" si="68"/>
        <v>0</v>
      </c>
      <c r="H210" s="73">
        <v>0</v>
      </c>
      <c r="I210" s="73">
        <f t="shared" si="69"/>
        <v>0</v>
      </c>
      <c r="J210" s="73">
        <f t="shared" si="82"/>
        <v>0</v>
      </c>
      <c r="K210" s="73">
        <f t="shared" si="83"/>
        <v>0</v>
      </c>
      <c r="L210" s="74">
        <f>'BUSBAR 2013'!$M$31</f>
        <v>0</v>
      </c>
      <c r="M210" s="73"/>
      <c r="N210" s="73">
        <f t="shared" si="84"/>
        <v>0</v>
      </c>
      <c r="O210" s="119">
        <f t="shared" si="85"/>
        <v>0</v>
      </c>
      <c r="P210" s="119">
        <f t="shared" si="86"/>
        <v>0</v>
      </c>
      <c r="Q210" s="119">
        <f t="shared" si="87"/>
        <v>0</v>
      </c>
      <c r="R210" s="119">
        <f t="shared" si="88"/>
        <v>0</v>
      </c>
      <c r="S210" s="119">
        <f t="shared" si="89"/>
        <v>0</v>
      </c>
      <c r="T210" s="73">
        <f t="shared" si="90"/>
        <v>0</v>
      </c>
      <c r="U210" s="119">
        <f t="shared" si="91"/>
        <v>0</v>
      </c>
      <c r="V210" s="119">
        <f t="shared" si="92"/>
        <v>0</v>
      </c>
      <c r="W210" s="119">
        <f t="shared" si="93"/>
        <v>0</v>
      </c>
      <c r="X210" s="119">
        <f t="shared" si="94"/>
        <v>0</v>
      </c>
      <c r="Y210" s="119">
        <f t="shared" si="95"/>
        <v>0</v>
      </c>
      <c r="Z210" s="120">
        <f>IF('ENCL 2013'!$F$43=1,(SUM('ENCL 2013'!$G$42:$G$43)*400+SUM('ENCL 2013'!$H$42:$H$43)*600+SUM('ENCL 2013'!$I$42:$I$43)*800+SUM('ENCL 2013'!$J$42:$J$43)*1000+SUM('ENCL 2013'!$K$42:$K$43)*1200),0)</f>
        <v>0</v>
      </c>
    </row>
    <row r="211" spans="1:26">
      <c r="A211" s="77">
        <f>A208</f>
        <v>3000</v>
      </c>
      <c r="B211" s="71">
        <v>1950</v>
      </c>
      <c r="C211" s="71"/>
      <c r="D211" s="71">
        <f t="shared" si="66"/>
        <v>3</v>
      </c>
      <c r="E211" s="72"/>
      <c r="F211" s="73">
        <f t="shared" si="67"/>
        <v>0</v>
      </c>
      <c r="G211" s="72">
        <f t="shared" si="68"/>
        <v>0</v>
      </c>
      <c r="H211" s="73">
        <v>0</v>
      </c>
      <c r="I211" s="73">
        <f t="shared" si="69"/>
        <v>0</v>
      </c>
      <c r="J211" s="73">
        <f t="shared" si="82"/>
        <v>0</v>
      </c>
      <c r="K211" s="73">
        <f t="shared" si="83"/>
        <v>0</v>
      </c>
      <c r="L211" s="74">
        <f>'BUSBAR 2013'!$M$32</f>
        <v>0</v>
      </c>
      <c r="M211" s="73"/>
      <c r="N211" s="73">
        <f t="shared" si="84"/>
        <v>0</v>
      </c>
      <c r="O211" s="119">
        <f t="shared" si="85"/>
        <v>0</v>
      </c>
      <c r="P211" s="119">
        <f t="shared" si="86"/>
        <v>0</v>
      </c>
      <c r="Q211" s="119">
        <f t="shared" si="87"/>
        <v>0</v>
      </c>
      <c r="R211" s="119">
        <f t="shared" si="88"/>
        <v>0</v>
      </c>
      <c r="S211" s="119">
        <f t="shared" si="89"/>
        <v>0</v>
      </c>
      <c r="T211" s="73">
        <f t="shared" si="90"/>
        <v>0</v>
      </c>
      <c r="U211" s="119">
        <f t="shared" si="91"/>
        <v>0</v>
      </c>
      <c r="V211" s="119">
        <f t="shared" si="92"/>
        <v>0</v>
      </c>
      <c r="W211" s="119">
        <f t="shared" si="93"/>
        <v>0</v>
      </c>
      <c r="X211" s="119">
        <f t="shared" si="94"/>
        <v>0</v>
      </c>
      <c r="Y211" s="119">
        <f t="shared" si="95"/>
        <v>0</v>
      </c>
      <c r="Z211" s="120">
        <f>IF('ENCL 2013'!$F$43=1,(SUM('ENCL 2013'!$G$42:$G$43)*400+SUM('ENCL 2013'!$H$42:$H$43)*600+SUM('ENCL 2013'!$I$42:$I$43)*800+SUM('ENCL 2013'!$J$42:$J$43)*1000+SUM('ENCL 2013'!$K$42:$K$43)*1200),0)</f>
        <v>0</v>
      </c>
    </row>
    <row r="212" spans="1:26">
      <c r="A212" s="71">
        <v>3200</v>
      </c>
      <c r="B212" s="71">
        <v>1300</v>
      </c>
      <c r="C212" s="71"/>
      <c r="D212" s="71">
        <f t="shared" si="66"/>
        <v>3</v>
      </c>
      <c r="E212" s="72"/>
      <c r="F212" s="73">
        <f t="shared" si="67"/>
        <v>0</v>
      </c>
      <c r="G212" s="72">
        <f t="shared" si="68"/>
        <v>0</v>
      </c>
      <c r="H212" s="73">
        <v>0</v>
      </c>
      <c r="I212" s="73">
        <f t="shared" si="69"/>
        <v>0</v>
      </c>
      <c r="J212" s="73">
        <f t="shared" si="82"/>
        <v>0</v>
      </c>
      <c r="K212" s="73">
        <f t="shared" si="83"/>
        <v>0</v>
      </c>
      <c r="L212" s="74">
        <f>'BUSBAR 2013'!$N$29</f>
        <v>0</v>
      </c>
      <c r="M212" s="73"/>
      <c r="N212" s="73">
        <f t="shared" si="84"/>
        <v>0</v>
      </c>
      <c r="O212" s="119">
        <f t="shared" si="85"/>
        <v>0</v>
      </c>
      <c r="P212" s="119">
        <f t="shared" si="86"/>
        <v>0</v>
      </c>
      <c r="Q212" s="119">
        <f t="shared" si="87"/>
        <v>0</v>
      </c>
      <c r="R212" s="119">
        <f t="shared" si="88"/>
        <v>0</v>
      </c>
      <c r="S212" s="119">
        <f t="shared" si="89"/>
        <v>0</v>
      </c>
      <c r="T212" s="73">
        <f t="shared" si="90"/>
        <v>0</v>
      </c>
      <c r="U212" s="119">
        <f t="shared" si="91"/>
        <v>0</v>
      </c>
      <c r="V212" s="119">
        <f t="shared" si="92"/>
        <v>0</v>
      </c>
      <c r="W212" s="119">
        <f t="shared" si="93"/>
        <v>0</v>
      </c>
      <c r="X212" s="119">
        <f t="shared" si="94"/>
        <v>0</v>
      </c>
      <c r="Y212" s="119">
        <f t="shared" si="95"/>
        <v>0</v>
      </c>
      <c r="Z212" s="120">
        <f>IF('ENCL 2013'!$F$43=1,(SUM('ENCL 2013'!$G$42:$G$43)*400+SUM('ENCL 2013'!$H$42:$H$43)*600+SUM('ENCL 2013'!$I$42:$I$43)*800+SUM('ENCL 2013'!$J$42:$J$43)*1000+SUM('ENCL 2013'!$K$42:$K$43)*1200),0)</f>
        <v>0</v>
      </c>
    </row>
    <row r="213" spans="1:26">
      <c r="A213" s="77">
        <f>A212</f>
        <v>3200</v>
      </c>
      <c r="B213" s="71">
        <v>1500</v>
      </c>
      <c r="C213" s="71"/>
      <c r="D213" s="71">
        <f t="shared" si="66"/>
        <v>3</v>
      </c>
      <c r="E213" s="72"/>
      <c r="F213" s="73">
        <f t="shared" si="67"/>
        <v>0</v>
      </c>
      <c r="G213" s="72">
        <f t="shared" si="68"/>
        <v>0</v>
      </c>
      <c r="H213" s="73">
        <v>0</v>
      </c>
      <c r="I213" s="73">
        <f t="shared" si="69"/>
        <v>0</v>
      </c>
      <c r="J213" s="73">
        <f t="shared" si="82"/>
        <v>0</v>
      </c>
      <c r="K213" s="73">
        <f t="shared" si="83"/>
        <v>0</v>
      </c>
      <c r="L213" s="74">
        <f>'BUSBAR 2013'!$N$30</f>
        <v>0</v>
      </c>
      <c r="M213" s="73"/>
      <c r="N213" s="73">
        <f t="shared" si="84"/>
        <v>0</v>
      </c>
      <c r="O213" s="119">
        <f t="shared" si="85"/>
        <v>0</v>
      </c>
      <c r="P213" s="119">
        <f t="shared" si="86"/>
        <v>0</v>
      </c>
      <c r="Q213" s="119">
        <f t="shared" si="87"/>
        <v>0</v>
      </c>
      <c r="R213" s="119">
        <f t="shared" si="88"/>
        <v>0</v>
      </c>
      <c r="S213" s="119">
        <f t="shared" si="89"/>
        <v>0</v>
      </c>
      <c r="T213" s="73">
        <f t="shared" si="90"/>
        <v>0</v>
      </c>
      <c r="U213" s="119">
        <f t="shared" si="91"/>
        <v>0</v>
      </c>
      <c r="V213" s="119">
        <f t="shared" si="92"/>
        <v>0</v>
      </c>
      <c r="W213" s="119">
        <f t="shared" si="93"/>
        <v>0</v>
      </c>
      <c r="X213" s="119">
        <f t="shared" si="94"/>
        <v>0</v>
      </c>
      <c r="Y213" s="119">
        <f t="shared" si="95"/>
        <v>0</v>
      </c>
      <c r="Z213" s="120">
        <f>IF('ENCL 2013'!$F$43=1,(SUM('ENCL 2013'!$G$42:$G$43)*400+SUM('ENCL 2013'!$H$42:$H$43)*600+SUM('ENCL 2013'!$I$42:$I$43)*800+SUM('ENCL 2013'!$J$42:$J$43)*1000+SUM('ENCL 2013'!$K$42:$K$43)*1200),0)</f>
        <v>0</v>
      </c>
    </row>
    <row r="214" spans="1:26">
      <c r="A214" s="77">
        <f>A212</f>
        <v>3200</v>
      </c>
      <c r="B214" s="71">
        <v>1800</v>
      </c>
      <c r="C214" s="71"/>
      <c r="D214" s="71">
        <f t="shared" si="66"/>
        <v>3</v>
      </c>
      <c r="E214" s="72"/>
      <c r="F214" s="73">
        <f t="shared" si="67"/>
        <v>0</v>
      </c>
      <c r="G214" s="72">
        <f t="shared" si="68"/>
        <v>0</v>
      </c>
      <c r="H214" s="73">
        <v>0</v>
      </c>
      <c r="I214" s="73">
        <f t="shared" si="69"/>
        <v>0</v>
      </c>
      <c r="J214" s="73">
        <f t="shared" si="82"/>
        <v>0</v>
      </c>
      <c r="K214" s="73">
        <f t="shared" si="83"/>
        <v>0</v>
      </c>
      <c r="L214" s="74">
        <f>'BUSBAR 2013'!$N$31</f>
        <v>0</v>
      </c>
      <c r="M214" s="73"/>
      <c r="N214" s="73">
        <f t="shared" si="84"/>
        <v>0</v>
      </c>
      <c r="O214" s="119">
        <f t="shared" si="85"/>
        <v>0</v>
      </c>
      <c r="P214" s="119">
        <f t="shared" si="86"/>
        <v>0</v>
      </c>
      <c r="Q214" s="119">
        <f t="shared" si="87"/>
        <v>0</v>
      </c>
      <c r="R214" s="119">
        <f t="shared" si="88"/>
        <v>0</v>
      </c>
      <c r="S214" s="119">
        <f t="shared" si="89"/>
        <v>0</v>
      </c>
      <c r="T214" s="73">
        <f t="shared" si="90"/>
        <v>0</v>
      </c>
      <c r="U214" s="119">
        <f t="shared" si="91"/>
        <v>0</v>
      </c>
      <c r="V214" s="119">
        <f t="shared" si="92"/>
        <v>0</v>
      </c>
      <c r="W214" s="119">
        <f t="shared" si="93"/>
        <v>0</v>
      </c>
      <c r="X214" s="119">
        <f t="shared" si="94"/>
        <v>0</v>
      </c>
      <c r="Y214" s="119">
        <f t="shared" si="95"/>
        <v>0</v>
      </c>
      <c r="Z214" s="120">
        <f>IF('ENCL 2013'!$F$43=1,(SUM('ENCL 2013'!$G$42:$G$43)*400+SUM('ENCL 2013'!$H$42:$H$43)*600+SUM('ENCL 2013'!$I$42:$I$43)*800+SUM('ENCL 2013'!$J$42:$J$43)*1000+SUM('ENCL 2013'!$K$42:$K$43)*1200),0)</f>
        <v>0</v>
      </c>
    </row>
    <row r="215" spans="1:26">
      <c r="A215" s="77">
        <f>A212</f>
        <v>3200</v>
      </c>
      <c r="B215" s="71">
        <v>1950</v>
      </c>
      <c r="C215" s="71"/>
      <c r="D215" s="71">
        <f t="shared" si="66"/>
        <v>3</v>
      </c>
      <c r="E215" s="72"/>
      <c r="F215" s="73">
        <f t="shared" si="67"/>
        <v>0</v>
      </c>
      <c r="G215" s="72">
        <f t="shared" si="68"/>
        <v>0</v>
      </c>
      <c r="H215" s="73">
        <v>0</v>
      </c>
      <c r="I215" s="73">
        <f t="shared" si="69"/>
        <v>0</v>
      </c>
      <c r="J215" s="73">
        <f t="shared" si="82"/>
        <v>0</v>
      </c>
      <c r="K215" s="73">
        <f t="shared" si="83"/>
        <v>0</v>
      </c>
      <c r="L215" s="74">
        <f>'BUSBAR 2013'!$N$32</f>
        <v>0</v>
      </c>
      <c r="M215" s="73"/>
      <c r="N215" s="73">
        <f t="shared" si="84"/>
        <v>0</v>
      </c>
      <c r="O215" s="119">
        <f t="shared" si="85"/>
        <v>0</v>
      </c>
      <c r="P215" s="119">
        <f t="shared" si="86"/>
        <v>0</v>
      </c>
      <c r="Q215" s="119">
        <f t="shared" si="87"/>
        <v>0</v>
      </c>
      <c r="R215" s="119">
        <f t="shared" si="88"/>
        <v>0</v>
      </c>
      <c r="S215" s="119">
        <f t="shared" si="89"/>
        <v>0</v>
      </c>
      <c r="T215" s="73">
        <f t="shared" si="90"/>
        <v>0</v>
      </c>
      <c r="U215" s="119">
        <f t="shared" si="91"/>
        <v>0</v>
      </c>
      <c r="V215" s="119">
        <f t="shared" si="92"/>
        <v>0</v>
      </c>
      <c r="W215" s="119">
        <f t="shared" si="93"/>
        <v>0</v>
      </c>
      <c r="X215" s="119">
        <f t="shared" si="94"/>
        <v>0</v>
      </c>
      <c r="Y215" s="119">
        <f t="shared" si="95"/>
        <v>0</v>
      </c>
      <c r="Z215" s="120">
        <f>IF('ENCL 2013'!$F$43=1,(SUM('ENCL 2013'!$G$42:$G$43)*400+SUM('ENCL 2013'!$H$42:$H$43)*600+SUM('ENCL 2013'!$I$42:$I$43)*800+SUM('ENCL 2013'!$J$42:$J$43)*1000+SUM('ENCL 2013'!$K$42:$K$43)*1200),0)</f>
        <v>0</v>
      </c>
    </row>
    <row r="216" spans="1:26">
      <c r="A216" s="71">
        <v>4000</v>
      </c>
      <c r="B216" s="71">
        <v>1500</v>
      </c>
      <c r="C216" s="71"/>
      <c r="D216" s="71">
        <f t="shared" si="66"/>
        <v>3</v>
      </c>
      <c r="E216" s="72"/>
      <c r="F216" s="73">
        <f t="shared" si="67"/>
        <v>0</v>
      </c>
      <c r="G216" s="72">
        <f t="shared" si="68"/>
        <v>0</v>
      </c>
      <c r="H216" s="73">
        <v>0</v>
      </c>
      <c r="I216" s="73">
        <f t="shared" si="69"/>
        <v>0</v>
      </c>
      <c r="J216" s="73">
        <f t="shared" si="82"/>
        <v>0</v>
      </c>
      <c r="K216" s="73">
        <f t="shared" si="83"/>
        <v>0</v>
      </c>
      <c r="L216" s="74">
        <f>'BUSBAR 2013'!$O$30</f>
        <v>0</v>
      </c>
      <c r="M216" s="73"/>
      <c r="N216" s="73">
        <f t="shared" si="84"/>
        <v>0</v>
      </c>
      <c r="O216" s="119">
        <f t="shared" si="85"/>
        <v>0</v>
      </c>
      <c r="P216" s="119">
        <f t="shared" si="86"/>
        <v>0</v>
      </c>
      <c r="Q216" s="119">
        <f t="shared" si="87"/>
        <v>0</v>
      </c>
      <c r="R216" s="119">
        <f t="shared" si="88"/>
        <v>0</v>
      </c>
      <c r="S216" s="119">
        <f t="shared" si="89"/>
        <v>0</v>
      </c>
      <c r="T216" s="73">
        <f t="shared" si="90"/>
        <v>0</v>
      </c>
      <c r="U216" s="119">
        <f t="shared" si="91"/>
        <v>0</v>
      </c>
      <c r="V216" s="119">
        <f t="shared" si="92"/>
        <v>0</v>
      </c>
      <c r="W216" s="119">
        <f t="shared" si="93"/>
        <v>0</v>
      </c>
      <c r="X216" s="119">
        <f t="shared" si="94"/>
        <v>0</v>
      </c>
      <c r="Y216" s="119">
        <f t="shared" si="95"/>
        <v>0</v>
      </c>
      <c r="Z216" s="120">
        <f>IF('ENCL 2013'!$F$43=1,(SUM('ENCL 2013'!$G$42:$G$43)*400+SUM('ENCL 2013'!$H$42:$H$43)*600+SUM('ENCL 2013'!$I$42:$I$43)*800+SUM('ENCL 2013'!$J$42:$J$43)*1000+SUM('ENCL 2013'!$K$42:$K$43)*1200),0)</f>
        <v>0</v>
      </c>
    </row>
    <row r="217" spans="1:26">
      <c r="A217" s="77">
        <f>A216</f>
        <v>4000</v>
      </c>
      <c r="B217" s="71">
        <v>1800</v>
      </c>
      <c r="C217" s="71"/>
      <c r="D217" s="71">
        <f t="shared" si="66"/>
        <v>3</v>
      </c>
      <c r="E217" s="72"/>
      <c r="F217" s="73">
        <f t="shared" si="67"/>
        <v>0</v>
      </c>
      <c r="G217" s="72">
        <f t="shared" si="68"/>
        <v>0</v>
      </c>
      <c r="H217" s="73">
        <v>0</v>
      </c>
      <c r="I217" s="73">
        <f t="shared" si="69"/>
        <v>0</v>
      </c>
      <c r="J217" s="73">
        <f t="shared" si="82"/>
        <v>0</v>
      </c>
      <c r="K217" s="73">
        <f t="shared" si="83"/>
        <v>0</v>
      </c>
      <c r="L217" s="74">
        <f>'BUSBAR 2013'!$O$31</f>
        <v>0</v>
      </c>
      <c r="M217" s="73"/>
      <c r="N217" s="73">
        <f t="shared" si="84"/>
        <v>0</v>
      </c>
      <c r="O217" s="119">
        <f t="shared" si="85"/>
        <v>0</v>
      </c>
      <c r="P217" s="119">
        <f t="shared" si="86"/>
        <v>0</v>
      </c>
      <c r="Q217" s="119">
        <f t="shared" si="87"/>
        <v>0</v>
      </c>
      <c r="R217" s="119">
        <f t="shared" si="88"/>
        <v>0</v>
      </c>
      <c r="S217" s="119">
        <f t="shared" si="89"/>
        <v>0</v>
      </c>
      <c r="T217" s="73">
        <f t="shared" si="90"/>
        <v>0</v>
      </c>
      <c r="U217" s="119">
        <f t="shared" si="91"/>
        <v>0</v>
      </c>
      <c r="V217" s="119">
        <f t="shared" si="92"/>
        <v>0</v>
      </c>
      <c r="W217" s="119">
        <f t="shared" si="93"/>
        <v>0</v>
      </c>
      <c r="X217" s="119">
        <f t="shared" si="94"/>
        <v>0</v>
      </c>
      <c r="Y217" s="119">
        <f t="shared" si="95"/>
        <v>0</v>
      </c>
      <c r="Z217" s="120">
        <f>IF('ENCL 2013'!$F$43=1,(SUM('ENCL 2013'!$G$42:$G$43)*400+SUM('ENCL 2013'!$H$42:$H$43)*600+SUM('ENCL 2013'!$I$42:$I$43)*800+SUM('ENCL 2013'!$J$42:$J$43)*1000+SUM('ENCL 2013'!$K$42:$K$43)*1200),0)</f>
        <v>0</v>
      </c>
    </row>
    <row r="218" spans="1:26">
      <c r="A218" s="77">
        <f>A216</f>
        <v>4000</v>
      </c>
      <c r="B218" s="71">
        <v>1950</v>
      </c>
      <c r="C218" s="71"/>
      <c r="D218" s="71">
        <f t="shared" si="66"/>
        <v>3</v>
      </c>
      <c r="E218" s="72"/>
      <c r="F218" s="73">
        <f t="shared" si="67"/>
        <v>0</v>
      </c>
      <c r="G218" s="72">
        <f t="shared" si="68"/>
        <v>0</v>
      </c>
      <c r="H218" s="73">
        <v>0</v>
      </c>
      <c r="I218" s="73">
        <f t="shared" si="69"/>
        <v>0</v>
      </c>
      <c r="J218" s="73">
        <f t="shared" si="82"/>
        <v>0</v>
      </c>
      <c r="K218" s="73">
        <f t="shared" si="83"/>
        <v>0</v>
      </c>
      <c r="L218" s="74">
        <f>'BUSBAR 2013'!$O$32</f>
        <v>0</v>
      </c>
      <c r="M218" s="73"/>
      <c r="N218" s="73">
        <f t="shared" si="84"/>
        <v>0</v>
      </c>
      <c r="O218" s="119">
        <f t="shared" si="85"/>
        <v>0</v>
      </c>
      <c r="P218" s="119">
        <f t="shared" si="86"/>
        <v>0</v>
      </c>
      <c r="Q218" s="119">
        <f t="shared" si="87"/>
        <v>0</v>
      </c>
      <c r="R218" s="119">
        <f t="shared" si="88"/>
        <v>0</v>
      </c>
      <c r="S218" s="119">
        <f t="shared" si="89"/>
        <v>0</v>
      </c>
      <c r="T218" s="73">
        <f t="shared" si="90"/>
        <v>0</v>
      </c>
      <c r="U218" s="119">
        <f t="shared" si="91"/>
        <v>0</v>
      </c>
      <c r="V218" s="119">
        <f t="shared" si="92"/>
        <v>0</v>
      </c>
      <c r="W218" s="119">
        <f t="shared" si="93"/>
        <v>0</v>
      </c>
      <c r="X218" s="119">
        <f t="shared" si="94"/>
        <v>0</v>
      </c>
      <c r="Y218" s="119">
        <f t="shared" si="95"/>
        <v>0</v>
      </c>
      <c r="Z218" s="120">
        <f>IF('ENCL 2013'!$F$43=1,(SUM('ENCL 2013'!$G$42:$G$43)*400+SUM('ENCL 2013'!$H$42:$H$43)*600+SUM('ENCL 2013'!$I$42:$I$43)*800+SUM('ENCL 2013'!$J$42:$J$43)*1000+SUM('ENCL 2013'!$K$42:$K$43)*1200),0)</f>
        <v>0</v>
      </c>
    </row>
    <row r="219" spans="1:26">
      <c r="A219" s="71">
        <v>5000</v>
      </c>
      <c r="B219" s="71">
        <v>1500</v>
      </c>
      <c r="C219" s="71"/>
      <c r="D219" s="71">
        <f t="shared" si="66"/>
        <v>3</v>
      </c>
      <c r="E219" s="72"/>
      <c r="F219" s="73">
        <f t="shared" si="67"/>
        <v>0</v>
      </c>
      <c r="G219" s="72">
        <f t="shared" si="68"/>
        <v>0</v>
      </c>
      <c r="H219" s="73">
        <v>0</v>
      </c>
      <c r="I219" s="73">
        <f t="shared" si="69"/>
        <v>0</v>
      </c>
      <c r="J219" s="73">
        <f t="shared" si="82"/>
        <v>0</v>
      </c>
      <c r="K219" s="73">
        <f t="shared" si="83"/>
        <v>0</v>
      </c>
      <c r="L219" s="74">
        <f>'BUSBAR 2013'!$P$30</f>
        <v>0</v>
      </c>
      <c r="M219" s="73"/>
      <c r="N219" s="73">
        <f t="shared" si="84"/>
        <v>0</v>
      </c>
      <c r="O219" s="119">
        <f t="shared" si="85"/>
        <v>0</v>
      </c>
      <c r="P219" s="119">
        <f t="shared" si="86"/>
        <v>0</v>
      </c>
      <c r="Q219" s="119">
        <f t="shared" si="87"/>
        <v>0</v>
      </c>
      <c r="R219" s="119">
        <f t="shared" si="88"/>
        <v>0</v>
      </c>
      <c r="S219" s="119">
        <f t="shared" si="89"/>
        <v>0</v>
      </c>
      <c r="T219" s="73">
        <f t="shared" si="90"/>
        <v>0</v>
      </c>
      <c r="U219" s="119">
        <f t="shared" si="91"/>
        <v>0</v>
      </c>
      <c r="V219" s="119">
        <f t="shared" si="92"/>
        <v>0</v>
      </c>
      <c r="W219" s="119">
        <f t="shared" si="93"/>
        <v>0</v>
      </c>
      <c r="X219" s="119">
        <f t="shared" si="94"/>
        <v>0</v>
      </c>
      <c r="Y219" s="119">
        <f t="shared" si="95"/>
        <v>0</v>
      </c>
      <c r="Z219" s="120">
        <f>IF('ENCL 2013'!$F$43=1,(SUM('ENCL 2013'!$G$42:$G$43)*400+SUM('ENCL 2013'!$H$42:$H$43)*600+SUM('ENCL 2013'!$I$42:$I$43)*800+SUM('ENCL 2013'!$J$42:$J$43)*1000+SUM('ENCL 2013'!$K$42:$K$43)*1200),0)</f>
        <v>0</v>
      </c>
    </row>
    <row r="220" spans="1:26">
      <c r="A220" s="77">
        <f>A219</f>
        <v>5000</v>
      </c>
      <c r="B220" s="71">
        <v>1800</v>
      </c>
      <c r="C220" s="71"/>
      <c r="D220" s="71">
        <f t="shared" si="66"/>
        <v>3</v>
      </c>
      <c r="E220" s="72"/>
      <c r="F220" s="73">
        <f t="shared" si="67"/>
        <v>0</v>
      </c>
      <c r="G220" s="72">
        <f t="shared" si="68"/>
        <v>0</v>
      </c>
      <c r="H220" s="73">
        <v>0</v>
      </c>
      <c r="I220" s="73">
        <f t="shared" si="69"/>
        <v>0</v>
      </c>
      <c r="J220" s="73">
        <f t="shared" si="82"/>
        <v>0</v>
      </c>
      <c r="K220" s="73">
        <f t="shared" si="83"/>
        <v>0</v>
      </c>
      <c r="L220" s="74">
        <f>'BUSBAR 2013'!$P$31</f>
        <v>0</v>
      </c>
      <c r="M220" s="73"/>
      <c r="N220" s="73">
        <f t="shared" si="84"/>
        <v>0</v>
      </c>
      <c r="O220" s="119">
        <f t="shared" si="85"/>
        <v>0</v>
      </c>
      <c r="P220" s="119">
        <f t="shared" si="86"/>
        <v>0</v>
      </c>
      <c r="Q220" s="119">
        <f t="shared" si="87"/>
        <v>0</v>
      </c>
      <c r="R220" s="119">
        <f t="shared" si="88"/>
        <v>0</v>
      </c>
      <c r="S220" s="119">
        <f t="shared" si="89"/>
        <v>0</v>
      </c>
      <c r="T220" s="73">
        <f t="shared" si="90"/>
        <v>0</v>
      </c>
      <c r="U220" s="119">
        <f t="shared" si="91"/>
        <v>0</v>
      </c>
      <c r="V220" s="119">
        <f t="shared" si="92"/>
        <v>0</v>
      </c>
      <c r="W220" s="119">
        <f t="shared" si="93"/>
        <v>0</v>
      </c>
      <c r="X220" s="119">
        <f t="shared" si="94"/>
        <v>0</v>
      </c>
      <c r="Y220" s="119">
        <f t="shared" si="95"/>
        <v>0</v>
      </c>
      <c r="Z220" s="120">
        <f>IF('ENCL 2013'!$F$43=1,(SUM('ENCL 2013'!$G$42:$G$43)*400+SUM('ENCL 2013'!$H$42:$H$43)*600+SUM('ENCL 2013'!$I$42:$I$43)*800+SUM('ENCL 2013'!$J$42:$J$43)*1000+SUM('ENCL 2013'!$K$42:$K$43)*1200),0)</f>
        <v>0</v>
      </c>
    </row>
    <row r="221" spans="1:26">
      <c r="A221" s="77">
        <f>A219</f>
        <v>5000</v>
      </c>
      <c r="B221" s="71">
        <v>1950</v>
      </c>
      <c r="C221" s="71"/>
      <c r="D221" s="71">
        <f t="shared" si="66"/>
        <v>3</v>
      </c>
      <c r="E221" s="72"/>
      <c r="F221" s="73">
        <f t="shared" si="67"/>
        <v>0</v>
      </c>
      <c r="G221" s="72">
        <f t="shared" si="68"/>
        <v>0</v>
      </c>
      <c r="H221" s="73">
        <v>0</v>
      </c>
      <c r="I221" s="73">
        <f t="shared" si="69"/>
        <v>0</v>
      </c>
      <c r="J221" s="73">
        <f t="shared" si="82"/>
        <v>0</v>
      </c>
      <c r="K221" s="73">
        <f t="shared" si="83"/>
        <v>0</v>
      </c>
      <c r="L221" s="74">
        <f>'BUSBAR 2013'!$P$32</f>
        <v>0</v>
      </c>
      <c r="M221" s="73"/>
      <c r="N221" s="73">
        <f t="shared" si="84"/>
        <v>0</v>
      </c>
      <c r="O221" s="119">
        <f t="shared" si="85"/>
        <v>0</v>
      </c>
      <c r="P221" s="119">
        <f t="shared" si="86"/>
        <v>0</v>
      </c>
      <c r="Q221" s="119">
        <f t="shared" si="87"/>
        <v>0</v>
      </c>
      <c r="R221" s="119">
        <f t="shared" si="88"/>
        <v>0</v>
      </c>
      <c r="S221" s="119">
        <f t="shared" si="89"/>
        <v>0</v>
      </c>
      <c r="T221" s="73">
        <f t="shared" si="90"/>
        <v>0</v>
      </c>
      <c r="U221" s="119">
        <f t="shared" si="91"/>
        <v>0</v>
      </c>
      <c r="V221" s="119">
        <f t="shared" si="92"/>
        <v>0</v>
      </c>
      <c r="W221" s="119">
        <f t="shared" si="93"/>
        <v>0</v>
      </c>
      <c r="X221" s="119">
        <f t="shared" si="94"/>
        <v>0</v>
      </c>
      <c r="Y221" s="119">
        <f t="shared" si="95"/>
        <v>0</v>
      </c>
      <c r="Z221" s="120">
        <f>IF('ENCL 2013'!$F$43=1,(SUM('ENCL 2013'!$G$42:$G$43)*400+SUM('ENCL 2013'!$H$42:$H$43)*600+SUM('ENCL 2013'!$I$42:$I$43)*800+SUM('ENCL 2013'!$J$42:$J$43)*1000+SUM('ENCL 2013'!$K$42:$K$43)*1200),0)</f>
        <v>0</v>
      </c>
    </row>
    <row r="222" spans="1:26">
      <c r="A222" s="71">
        <v>6300</v>
      </c>
      <c r="B222" s="71">
        <v>1500</v>
      </c>
      <c r="C222" s="71"/>
      <c r="D222" s="71">
        <f t="shared" si="66"/>
        <v>3</v>
      </c>
      <c r="E222" s="72"/>
      <c r="F222" s="73">
        <f t="shared" si="67"/>
        <v>0</v>
      </c>
      <c r="G222" s="72">
        <f t="shared" si="68"/>
        <v>0</v>
      </c>
      <c r="H222" s="73">
        <v>0</v>
      </c>
      <c r="I222" s="73">
        <f t="shared" si="69"/>
        <v>0</v>
      </c>
      <c r="J222" s="73">
        <f t="shared" si="82"/>
        <v>0</v>
      </c>
      <c r="K222" s="73">
        <f t="shared" si="83"/>
        <v>0</v>
      </c>
      <c r="L222" s="74">
        <f>'BUSBAR 2013'!$Q$30</f>
        <v>0</v>
      </c>
      <c r="M222" s="73"/>
      <c r="N222" s="73">
        <f t="shared" si="84"/>
        <v>0</v>
      </c>
      <c r="O222" s="119">
        <f t="shared" si="85"/>
        <v>0</v>
      </c>
      <c r="P222" s="119">
        <f t="shared" si="86"/>
        <v>0</v>
      </c>
      <c r="Q222" s="119">
        <f t="shared" si="87"/>
        <v>0</v>
      </c>
      <c r="R222" s="119">
        <f t="shared" si="88"/>
        <v>0</v>
      </c>
      <c r="S222" s="119">
        <f t="shared" si="89"/>
        <v>0</v>
      </c>
      <c r="T222" s="73">
        <f t="shared" si="90"/>
        <v>0</v>
      </c>
      <c r="U222" s="119">
        <f t="shared" si="91"/>
        <v>0</v>
      </c>
      <c r="V222" s="119">
        <f t="shared" si="92"/>
        <v>0</v>
      </c>
      <c r="W222" s="119">
        <f t="shared" si="93"/>
        <v>0</v>
      </c>
      <c r="X222" s="119">
        <f t="shared" si="94"/>
        <v>0</v>
      </c>
      <c r="Y222" s="119">
        <f t="shared" si="95"/>
        <v>0</v>
      </c>
      <c r="Z222" s="120">
        <f>IF('ENCL 2013'!$F$43=1,(SUM('ENCL 2013'!$G$42:$G$43)*400+SUM('ENCL 2013'!$H$42:$H$43)*600+SUM('ENCL 2013'!$I$42:$I$43)*800+SUM('ENCL 2013'!$J$42:$J$43)*1000+SUM('ENCL 2013'!$K$42:$K$43)*1200),0)</f>
        <v>0</v>
      </c>
    </row>
    <row r="223" spans="1:26">
      <c r="A223" s="77">
        <f>A222</f>
        <v>6300</v>
      </c>
      <c r="B223" s="71">
        <v>1800</v>
      </c>
      <c r="C223" s="71"/>
      <c r="D223" s="71">
        <f t="shared" si="66"/>
        <v>3</v>
      </c>
      <c r="E223" s="72"/>
      <c r="F223" s="73">
        <f t="shared" si="67"/>
        <v>0</v>
      </c>
      <c r="G223" s="72">
        <f t="shared" si="68"/>
        <v>0</v>
      </c>
      <c r="H223" s="73">
        <v>0</v>
      </c>
      <c r="I223" s="73">
        <f t="shared" si="69"/>
        <v>0</v>
      </c>
      <c r="J223" s="73">
        <f t="shared" si="82"/>
        <v>0</v>
      </c>
      <c r="K223" s="73">
        <f t="shared" si="83"/>
        <v>0</v>
      </c>
      <c r="L223" s="74">
        <f>'BUSBAR 2013'!$Q$31</f>
        <v>0</v>
      </c>
      <c r="M223" s="73"/>
      <c r="N223" s="73">
        <f t="shared" si="84"/>
        <v>0</v>
      </c>
      <c r="O223" s="119">
        <f t="shared" si="85"/>
        <v>0</v>
      </c>
      <c r="P223" s="119">
        <f t="shared" si="86"/>
        <v>0</v>
      </c>
      <c r="Q223" s="119">
        <f t="shared" si="87"/>
        <v>0</v>
      </c>
      <c r="R223" s="119">
        <f t="shared" si="88"/>
        <v>0</v>
      </c>
      <c r="S223" s="119">
        <f t="shared" si="89"/>
        <v>0</v>
      </c>
      <c r="T223" s="73">
        <f t="shared" si="90"/>
        <v>0</v>
      </c>
      <c r="U223" s="119">
        <f t="shared" si="91"/>
        <v>0</v>
      </c>
      <c r="V223" s="119">
        <f t="shared" si="92"/>
        <v>0</v>
      </c>
      <c r="W223" s="119">
        <f t="shared" si="93"/>
        <v>0</v>
      </c>
      <c r="X223" s="119">
        <f t="shared" si="94"/>
        <v>0</v>
      </c>
      <c r="Y223" s="119">
        <f t="shared" si="95"/>
        <v>0</v>
      </c>
      <c r="Z223" s="120">
        <f>IF('ENCL 2013'!$F$43=1,(SUM('ENCL 2013'!$G$42:$G$43)*400+SUM('ENCL 2013'!$H$42:$H$43)*600+SUM('ENCL 2013'!$I$42:$I$43)*800+SUM('ENCL 2013'!$J$42:$J$43)*1000+SUM('ENCL 2013'!$K$42:$K$43)*1200),0)</f>
        <v>0</v>
      </c>
    </row>
    <row r="224" spans="1:26">
      <c r="A224" s="77">
        <f>A222</f>
        <v>6300</v>
      </c>
      <c r="B224" s="71">
        <v>1950</v>
      </c>
      <c r="C224" s="71"/>
      <c r="D224" s="71">
        <f t="shared" si="66"/>
        <v>3</v>
      </c>
      <c r="E224" s="72"/>
      <c r="F224" s="73">
        <f t="shared" si="67"/>
        <v>0</v>
      </c>
      <c r="G224" s="72">
        <f t="shared" si="68"/>
        <v>0</v>
      </c>
      <c r="H224" s="73">
        <v>0</v>
      </c>
      <c r="I224" s="73">
        <f t="shared" si="69"/>
        <v>0</v>
      </c>
      <c r="J224" s="73">
        <f t="shared" si="82"/>
        <v>0</v>
      </c>
      <c r="K224" s="73">
        <f t="shared" si="83"/>
        <v>0</v>
      </c>
      <c r="L224" s="74">
        <f>'BUSBAR 2013'!$Q$32</f>
        <v>0</v>
      </c>
      <c r="M224" s="73"/>
      <c r="N224" s="73">
        <f t="shared" si="84"/>
        <v>0</v>
      </c>
      <c r="O224" s="119">
        <f t="shared" si="85"/>
        <v>0</v>
      </c>
      <c r="P224" s="119">
        <f t="shared" si="86"/>
        <v>0</v>
      </c>
      <c r="Q224" s="119">
        <f t="shared" si="87"/>
        <v>0</v>
      </c>
      <c r="R224" s="119">
        <f t="shared" si="88"/>
        <v>0</v>
      </c>
      <c r="S224" s="119">
        <f t="shared" si="89"/>
        <v>0</v>
      </c>
      <c r="T224" s="73">
        <f t="shared" si="90"/>
        <v>0</v>
      </c>
      <c r="U224" s="119">
        <f t="shared" si="91"/>
        <v>0</v>
      </c>
      <c r="V224" s="119">
        <f t="shared" si="92"/>
        <v>0</v>
      </c>
      <c r="W224" s="119">
        <f t="shared" si="93"/>
        <v>0</v>
      </c>
      <c r="X224" s="119">
        <f t="shared" si="94"/>
        <v>0</v>
      </c>
      <c r="Y224" s="119">
        <f t="shared" si="95"/>
        <v>0</v>
      </c>
      <c r="Z224" s="120">
        <f>IF('ENCL 2013'!$F$43=1,(SUM('ENCL 2013'!$G$42:$G$43)*400+SUM('ENCL 2013'!$H$42:$H$43)*600+SUM('ENCL 2013'!$I$42:$I$43)*800+SUM('ENCL 2013'!$J$42:$J$43)*1000+SUM('ENCL 2013'!$K$42:$K$43)*1200),0)</f>
        <v>0</v>
      </c>
    </row>
    <row r="225" spans="1:26" ht="12.75" thickBot="1">
      <c r="T225" s="103"/>
      <c r="U225" s="103"/>
      <c r="V225" s="103"/>
      <c r="W225" s="103"/>
      <c r="X225" s="103"/>
      <c r="Y225" s="103"/>
      <c r="Z225" s="118"/>
    </row>
    <row r="226" spans="1:26" ht="21.75" customHeight="1" thickBot="1">
      <c r="G226" s="108">
        <f>SUM(G164:G225)</f>
        <v>0</v>
      </c>
      <c r="H226" s="108">
        <f t="shared" ref="H226:K226" si="96">SUM(H164:H225)</f>
        <v>0</v>
      </c>
      <c r="I226" s="108">
        <f t="shared" si="96"/>
        <v>0</v>
      </c>
      <c r="J226" s="108">
        <f t="shared" si="96"/>
        <v>0</v>
      </c>
      <c r="K226" s="108">
        <f t="shared" si="96"/>
        <v>0</v>
      </c>
      <c r="L226" s="109"/>
      <c r="M226" s="110"/>
      <c r="O226" s="75"/>
      <c r="T226" s="103"/>
      <c r="U226" s="103"/>
      <c r="V226" s="103"/>
      <c r="W226" s="103"/>
      <c r="X226" s="103"/>
      <c r="Y226" s="103"/>
      <c r="Z226" s="118"/>
    </row>
    <row r="227" spans="1:26" ht="12.75" thickBot="1">
      <c r="T227" s="103"/>
      <c r="U227" s="103"/>
      <c r="V227" s="103"/>
      <c r="W227" s="103"/>
      <c r="X227" s="103"/>
      <c r="Y227" s="103"/>
      <c r="Z227" s="118"/>
    </row>
    <row r="228" spans="1:26" s="68" customFormat="1" ht="21.75" customHeight="1" thickBot="1">
      <c r="A228" s="502" t="s">
        <v>68</v>
      </c>
      <c r="B228" s="503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4"/>
      <c r="T228" s="103"/>
      <c r="U228" s="103"/>
      <c r="V228" s="103"/>
      <c r="W228" s="103"/>
      <c r="X228" s="103"/>
      <c r="Y228" s="103"/>
      <c r="Z228" s="118"/>
    </row>
    <row r="229" spans="1:26" ht="22.5" customHeight="1" thickBot="1">
      <c r="A229" s="69" t="s">
        <v>26</v>
      </c>
      <c r="B229" s="69" t="s">
        <v>20</v>
      </c>
      <c r="C229" s="69"/>
      <c r="D229" s="69" t="s">
        <v>64</v>
      </c>
      <c r="E229" s="69"/>
      <c r="F229" s="69" t="s">
        <v>76</v>
      </c>
      <c r="G229" s="69" t="s">
        <v>413</v>
      </c>
      <c r="H229" s="69" t="s">
        <v>410</v>
      </c>
      <c r="I229" s="69" t="s">
        <v>192</v>
      </c>
      <c r="J229" s="69" t="s">
        <v>411</v>
      </c>
      <c r="K229" s="69" t="s">
        <v>412</v>
      </c>
      <c r="L229" s="69" t="s">
        <v>87</v>
      </c>
      <c r="M229" s="69"/>
      <c r="N229" s="113" t="s">
        <v>365</v>
      </c>
      <c r="O229" s="114" t="s">
        <v>366</v>
      </c>
      <c r="P229" s="114" t="s">
        <v>367</v>
      </c>
      <c r="Q229" s="114" t="s">
        <v>368</v>
      </c>
      <c r="R229" s="114" t="s">
        <v>369</v>
      </c>
      <c r="S229" s="114" t="s">
        <v>370</v>
      </c>
      <c r="T229" s="113" t="s">
        <v>371</v>
      </c>
      <c r="U229" s="114" t="s">
        <v>372</v>
      </c>
      <c r="V229" s="114" t="s">
        <v>373</v>
      </c>
      <c r="W229" s="114" t="s">
        <v>374</v>
      </c>
      <c r="X229" s="114" t="s">
        <v>375</v>
      </c>
      <c r="Y229" s="114" t="s">
        <v>376</v>
      </c>
      <c r="Z229" s="118"/>
    </row>
    <row r="230" spans="1:26">
      <c r="A230" s="71">
        <v>250</v>
      </c>
      <c r="B230" s="71">
        <f>550</f>
        <v>550</v>
      </c>
      <c r="C230" s="71"/>
      <c r="D230" s="71">
        <f>$M$4</f>
        <v>3</v>
      </c>
      <c r="E230" s="72"/>
      <c r="F230" s="73">
        <f>SUM(N230:S230)</f>
        <v>0</v>
      </c>
      <c r="G230" s="72">
        <f>SUM(T230:Y230)</f>
        <v>0</v>
      </c>
      <c r="H230" s="73">
        <v>0</v>
      </c>
      <c r="I230" s="73">
        <f>($A$2*F230)</f>
        <v>0</v>
      </c>
      <c r="J230" s="73">
        <f>(F230*$C$2)</f>
        <v>0</v>
      </c>
      <c r="K230" s="73">
        <f>(G230*$E$2)</f>
        <v>0</v>
      </c>
      <c r="L230" s="74">
        <f>'BUSBAR 2013'!$F$37</f>
        <v>0</v>
      </c>
      <c r="M230" s="73"/>
      <c r="N230" s="73">
        <f>IF($K$4=1,VLOOKUP(A230,Table_Old,13,0)*$M$4*B230*L230*(8.9/1000000),VLOOKUP(A230,Table_New,13,0)*$M$4*B230*L230*(8.9/1000000))</f>
        <v>0</v>
      </c>
      <c r="O230" s="73"/>
      <c r="P230" s="73"/>
      <c r="Q230" s="73"/>
      <c r="R230" s="73"/>
      <c r="S230" s="73"/>
      <c r="T230" s="73">
        <f>IF($K$4=1,VLOOKUP(A230,Table_Old,19,0)*$M$4*B230*L230/1000000,VLOOKUP(A230,Table_New,19,0)*$M$4*B230*L230/1000000)</f>
        <v>0</v>
      </c>
      <c r="U230" s="73"/>
      <c r="V230" s="73"/>
      <c r="W230" s="73"/>
      <c r="X230" s="73"/>
      <c r="Y230" s="73"/>
      <c r="Z230" s="118"/>
    </row>
    <row r="231" spans="1:26">
      <c r="A231" s="71">
        <v>400</v>
      </c>
      <c r="B231" s="71">
        <f>550</f>
        <v>550</v>
      </c>
      <c r="C231" s="71"/>
      <c r="D231" s="71">
        <f>$M$4</f>
        <v>3</v>
      </c>
      <c r="E231" s="72"/>
      <c r="F231" s="73">
        <f>SUM(N231:S231)</f>
        <v>0</v>
      </c>
      <c r="G231" s="72">
        <f>SUM(T231:Y231)</f>
        <v>0</v>
      </c>
      <c r="H231" s="73">
        <v>0</v>
      </c>
      <c r="I231" s="73">
        <f>($A$2*F231)</f>
        <v>0</v>
      </c>
      <c r="J231" s="73">
        <f>(F231*$C$2)</f>
        <v>0</v>
      </c>
      <c r="K231" s="73">
        <f>(G231*$E$2)</f>
        <v>0</v>
      </c>
      <c r="L231" s="74">
        <f>'BUSBAR 2013'!$H$37</f>
        <v>0</v>
      </c>
      <c r="M231" s="73"/>
      <c r="N231" s="73">
        <f>IF($K$4=1,VLOOKUP(A231,Table_Old,13,0)*$M$4*B231*L231*(8.9/1000000),VLOOKUP(A231,Table_New,13,0)*$M$4*B231*L231*(8.9/1000000))</f>
        <v>0</v>
      </c>
      <c r="O231" s="73"/>
      <c r="P231" s="73"/>
      <c r="Q231" s="73"/>
      <c r="R231" s="73"/>
      <c r="S231" s="73"/>
      <c r="T231" s="73">
        <f>IF($K$4=1,VLOOKUP(A231,Table_Old,19,0)*$M$4*B231*L231/1000000,VLOOKUP(A231,Table_New,19,0)*$M$4*B231*L231/1000000)</f>
        <v>0</v>
      </c>
      <c r="U231" s="73"/>
      <c r="V231" s="73"/>
      <c r="W231" s="73"/>
      <c r="X231" s="73"/>
      <c r="Y231" s="73"/>
      <c r="Z231" s="118"/>
    </row>
    <row r="232" spans="1:26">
      <c r="A232" s="71">
        <v>630</v>
      </c>
      <c r="B232" s="71">
        <f>550</f>
        <v>550</v>
      </c>
      <c r="C232" s="71"/>
      <c r="D232" s="71">
        <f>$M$4</f>
        <v>3</v>
      </c>
      <c r="E232" s="72"/>
      <c r="F232" s="73">
        <f>SUM(N232:S232)</f>
        <v>0</v>
      </c>
      <c r="G232" s="72">
        <f>SUM(T232:Y232)</f>
        <v>0</v>
      </c>
      <c r="H232" s="73">
        <v>0</v>
      </c>
      <c r="I232" s="73">
        <f>($A$2*F232)</f>
        <v>0</v>
      </c>
      <c r="J232" s="73">
        <f>(F232*$C$2)</f>
        <v>0</v>
      </c>
      <c r="K232" s="73">
        <f>(G232*$E$2)</f>
        <v>0</v>
      </c>
      <c r="L232" s="74">
        <f>'BUSBAR 2013'!$I$37</f>
        <v>0</v>
      </c>
      <c r="M232" s="73"/>
      <c r="N232" s="73">
        <f>IF($K$4=1,VLOOKUP(A232,Table_Old,13,0)*$M$4*B232*L232*(8.9/1000000),VLOOKUP(A232,Table_New,13,0)*$M$4*B232*L232*(8.9/1000000))</f>
        <v>0</v>
      </c>
      <c r="O232" s="73"/>
      <c r="P232" s="73"/>
      <c r="Q232" s="73"/>
      <c r="R232" s="73"/>
      <c r="S232" s="73"/>
      <c r="T232" s="73">
        <f>IF($K$4=1,VLOOKUP(A232,Table_Old,19,0)*$M$4*B232*L232/1000000,VLOOKUP(A232,Table_New,19,0)*$M$4*B232*L232/1000000)</f>
        <v>0</v>
      </c>
      <c r="U232" s="73"/>
      <c r="V232" s="73"/>
      <c r="W232" s="73"/>
      <c r="X232" s="73"/>
      <c r="Y232" s="73"/>
      <c r="Z232" s="118"/>
    </row>
    <row r="233" spans="1:26" ht="18" thickBot="1">
      <c r="M233" s="79"/>
      <c r="T233" s="103"/>
      <c r="U233" s="103"/>
      <c r="V233" s="103"/>
      <c r="W233" s="103"/>
      <c r="X233" s="103"/>
      <c r="Y233" s="103"/>
      <c r="Z233" s="118"/>
    </row>
    <row r="234" spans="1:26" ht="21.75" customHeight="1" thickBot="1">
      <c r="G234" s="108">
        <f>SUM(G230:G232)</f>
        <v>0</v>
      </c>
      <c r="H234" s="109"/>
      <c r="I234" s="109">
        <f>SUM(I230:I232)</f>
        <v>0</v>
      </c>
      <c r="J234" s="109">
        <f>SUM(J230:J232)</f>
        <v>0</v>
      </c>
      <c r="K234" s="109">
        <f>SUM(K230:K232)</f>
        <v>0</v>
      </c>
      <c r="L234" s="109"/>
      <c r="M234" s="110"/>
      <c r="O234" s="75"/>
      <c r="T234" s="103"/>
      <c r="U234" s="103"/>
      <c r="V234" s="103"/>
      <c r="W234" s="103"/>
      <c r="X234" s="103"/>
      <c r="Y234" s="103"/>
      <c r="Z234" s="118"/>
    </row>
    <row r="235" spans="1:26" ht="12.75" thickBot="1">
      <c r="T235" s="103"/>
      <c r="U235" s="103"/>
      <c r="V235" s="103"/>
      <c r="W235" s="103"/>
      <c r="X235" s="103"/>
      <c r="Y235" s="103"/>
      <c r="Z235" s="118"/>
    </row>
    <row r="236" spans="1:26" s="68" customFormat="1" ht="21.75" customHeight="1" thickBot="1">
      <c r="A236" s="502" t="s">
        <v>69</v>
      </c>
      <c r="B236" s="503"/>
      <c r="C236" s="503"/>
      <c r="D236" s="503"/>
      <c r="E236" s="503"/>
      <c r="F236" s="503"/>
      <c r="G236" s="503"/>
      <c r="H236" s="503"/>
      <c r="I236" s="503"/>
      <c r="J236" s="503"/>
      <c r="K236" s="503"/>
      <c r="L236" s="503"/>
      <c r="M236" s="503"/>
      <c r="N236" s="503"/>
      <c r="O236" s="503"/>
      <c r="P236" s="503"/>
      <c r="Q236" s="503"/>
      <c r="R236" s="504"/>
      <c r="T236" s="103"/>
      <c r="U236" s="103"/>
      <c r="V236" s="103"/>
      <c r="W236" s="103"/>
      <c r="X236" s="103"/>
      <c r="Y236" s="103"/>
      <c r="Z236" s="118"/>
    </row>
    <row r="237" spans="1:26" ht="22.5" customHeight="1" thickBot="1">
      <c r="A237" s="69" t="s">
        <v>26</v>
      </c>
      <c r="B237" s="69" t="s">
        <v>20</v>
      </c>
      <c r="C237" s="69"/>
      <c r="D237" s="69" t="s">
        <v>64</v>
      </c>
      <c r="E237" s="69"/>
      <c r="F237" s="69" t="s">
        <v>76</v>
      </c>
      <c r="G237" s="69" t="s">
        <v>413</v>
      </c>
      <c r="H237" s="69" t="s">
        <v>410</v>
      </c>
      <c r="I237" s="69" t="s">
        <v>192</v>
      </c>
      <c r="J237" s="69" t="s">
        <v>411</v>
      </c>
      <c r="K237" s="69" t="s">
        <v>412</v>
      </c>
      <c r="L237" s="69" t="s">
        <v>87</v>
      </c>
      <c r="M237" s="69"/>
      <c r="N237" s="113" t="s">
        <v>365</v>
      </c>
      <c r="O237" s="114" t="s">
        <v>366</v>
      </c>
      <c r="P237" s="114" t="s">
        <v>367</v>
      </c>
      <c r="Q237" s="114" t="s">
        <v>368</v>
      </c>
      <c r="R237" s="114" t="s">
        <v>369</v>
      </c>
      <c r="S237" s="114" t="s">
        <v>370</v>
      </c>
      <c r="T237" s="113" t="s">
        <v>371</v>
      </c>
      <c r="U237" s="114" t="s">
        <v>372</v>
      </c>
      <c r="V237" s="114" t="s">
        <v>373</v>
      </c>
      <c r="W237" s="114" t="s">
        <v>374</v>
      </c>
      <c r="X237" s="114" t="s">
        <v>375</v>
      </c>
      <c r="Y237" s="114" t="s">
        <v>376</v>
      </c>
      <c r="Z237" s="118"/>
    </row>
    <row r="238" spans="1:26">
      <c r="A238" s="71">
        <v>250</v>
      </c>
      <c r="B238" s="71">
        <f t="shared" ref="B238:B244" si="97">600+300</f>
        <v>900</v>
      </c>
      <c r="C238" s="71"/>
      <c r="D238" s="71">
        <f t="shared" ref="D238:D244" si="98">$M$4</f>
        <v>3</v>
      </c>
      <c r="E238" s="72"/>
      <c r="F238" s="73">
        <f>SUM(N238:S238)</f>
        <v>0</v>
      </c>
      <c r="G238" s="72">
        <f t="shared" ref="G238:G244" si="99">SUM(T238:Y238)</f>
        <v>0</v>
      </c>
      <c r="H238" s="73">
        <v>0</v>
      </c>
      <c r="I238" s="73">
        <f>($A$2*F238)</f>
        <v>0</v>
      </c>
      <c r="J238" s="73">
        <f>(F238*$C$2)</f>
        <v>0</v>
      </c>
      <c r="K238" s="73">
        <f t="shared" ref="K238:K244" si="100">(G238*$E$2)</f>
        <v>0</v>
      </c>
      <c r="L238" s="74">
        <f>'BUSBAR 2013'!$J$37</f>
        <v>0</v>
      </c>
      <c r="M238" s="73"/>
      <c r="N238" s="73">
        <f>IF($K$4=1,VLOOKUP(A238,Table_Old,13,0)*$M$4*B238*L238*(8.9/1000000),VLOOKUP(A238,Table_New,13,0)*$M$4*B238*L238*(8.9/1000000))</f>
        <v>0</v>
      </c>
      <c r="O238" s="73"/>
      <c r="P238" s="73"/>
      <c r="Q238" s="73"/>
      <c r="R238" s="73"/>
      <c r="S238" s="73"/>
      <c r="T238" s="73">
        <f>IF($K$4=1,VLOOKUP(A238,Table_Old,19,0)*$M$4*B238*L238/1000000,VLOOKUP(A238,Table_New,19,0)*$M$4*B238*L238/1000000)</f>
        <v>0</v>
      </c>
      <c r="U238" s="73"/>
      <c r="V238" s="73"/>
      <c r="W238" s="73"/>
      <c r="X238" s="73"/>
      <c r="Y238" s="73"/>
      <c r="Z238" s="118"/>
    </row>
    <row r="239" spans="1:26">
      <c r="A239" s="71">
        <v>400</v>
      </c>
      <c r="B239" s="71">
        <f t="shared" si="97"/>
        <v>900</v>
      </c>
      <c r="C239" s="71"/>
      <c r="D239" s="71">
        <f t="shared" si="98"/>
        <v>3</v>
      </c>
      <c r="E239" s="72"/>
      <c r="F239" s="73">
        <f t="shared" ref="F239:F244" si="101">SUM(N239:S239)</f>
        <v>0</v>
      </c>
      <c r="G239" s="72">
        <f t="shared" si="99"/>
        <v>0</v>
      </c>
      <c r="H239" s="73">
        <v>0</v>
      </c>
      <c r="I239" s="73">
        <f t="shared" ref="I239:I244" si="102">($A$2*F239)</f>
        <v>0</v>
      </c>
      <c r="J239" s="73">
        <f t="shared" ref="J239:J244" si="103">(F239*$C$2)</f>
        <v>0</v>
      </c>
      <c r="K239" s="73">
        <f t="shared" si="100"/>
        <v>0</v>
      </c>
      <c r="L239" s="74">
        <f>'BUSBAR 2013'!$K$37</f>
        <v>0</v>
      </c>
      <c r="M239" s="73"/>
      <c r="N239" s="73">
        <f t="shared" ref="N239:N244" si="104">IF($K$4=1,VLOOKUP(A239,Table_Old,13,0)*$M$4*B239*L239*(8.9/1000000),VLOOKUP(A239,Table_New,13,0)*$M$4*B239*L239*(8.9/1000000))</f>
        <v>0</v>
      </c>
      <c r="O239" s="73"/>
      <c r="P239" s="73"/>
      <c r="Q239" s="73"/>
      <c r="R239" s="73"/>
      <c r="S239" s="73"/>
      <c r="T239" s="73">
        <f t="shared" ref="T239:T244" si="105">IF($K$4=1,VLOOKUP(A239,Table_Old,19,0)*$M$4*B239*L239/1000000,VLOOKUP(A239,Table_New,19,0)*$M$4*B239*L239/1000000)</f>
        <v>0</v>
      </c>
      <c r="U239" s="73"/>
      <c r="V239" s="73"/>
      <c r="W239" s="73"/>
      <c r="X239" s="73"/>
      <c r="Y239" s="73"/>
      <c r="Z239" s="118"/>
    </row>
    <row r="240" spans="1:26">
      <c r="A240" s="71">
        <v>630</v>
      </c>
      <c r="B240" s="71">
        <f t="shared" si="97"/>
        <v>900</v>
      </c>
      <c r="C240" s="71"/>
      <c r="D240" s="71">
        <f t="shared" si="98"/>
        <v>3</v>
      </c>
      <c r="E240" s="72"/>
      <c r="F240" s="73">
        <f t="shared" si="101"/>
        <v>0</v>
      </c>
      <c r="G240" s="72">
        <f t="shared" si="99"/>
        <v>0</v>
      </c>
      <c r="H240" s="73">
        <v>0</v>
      </c>
      <c r="I240" s="73">
        <f t="shared" si="102"/>
        <v>0</v>
      </c>
      <c r="J240" s="73">
        <f t="shared" si="103"/>
        <v>0</v>
      </c>
      <c r="K240" s="73">
        <f t="shared" si="100"/>
        <v>0</v>
      </c>
      <c r="L240" s="74">
        <f>'BUSBAR 2013'!$L$37</f>
        <v>0</v>
      </c>
      <c r="M240" s="73"/>
      <c r="N240" s="73">
        <f t="shared" si="104"/>
        <v>0</v>
      </c>
      <c r="O240" s="73"/>
      <c r="P240" s="73"/>
      <c r="Q240" s="73"/>
      <c r="R240" s="73"/>
      <c r="S240" s="73"/>
      <c r="T240" s="73">
        <f t="shared" si="105"/>
        <v>0</v>
      </c>
      <c r="U240" s="73"/>
      <c r="V240" s="73"/>
      <c r="W240" s="73"/>
      <c r="X240" s="73"/>
      <c r="Y240" s="73"/>
      <c r="Z240" s="118"/>
    </row>
    <row r="241" spans="1:26">
      <c r="A241" s="71">
        <v>800</v>
      </c>
      <c r="B241" s="71">
        <f t="shared" si="97"/>
        <v>900</v>
      </c>
      <c r="C241" s="71"/>
      <c r="D241" s="71">
        <f t="shared" si="98"/>
        <v>3</v>
      </c>
      <c r="E241" s="72"/>
      <c r="F241" s="73">
        <f t="shared" si="101"/>
        <v>0</v>
      </c>
      <c r="G241" s="72">
        <f t="shared" si="99"/>
        <v>0</v>
      </c>
      <c r="H241" s="73">
        <v>0</v>
      </c>
      <c r="I241" s="73">
        <f t="shared" si="102"/>
        <v>0</v>
      </c>
      <c r="J241" s="73">
        <f t="shared" si="103"/>
        <v>0</v>
      </c>
      <c r="K241" s="73">
        <f t="shared" si="100"/>
        <v>0</v>
      </c>
      <c r="L241" s="74">
        <f>'BUSBAR 2013'!$M$37</f>
        <v>0</v>
      </c>
      <c r="M241" s="73"/>
      <c r="N241" s="73">
        <f t="shared" si="104"/>
        <v>0</v>
      </c>
      <c r="O241" s="73"/>
      <c r="P241" s="73"/>
      <c r="Q241" s="73"/>
      <c r="R241" s="73"/>
      <c r="S241" s="73"/>
      <c r="T241" s="73">
        <f t="shared" si="105"/>
        <v>0</v>
      </c>
      <c r="U241" s="73"/>
      <c r="V241" s="73"/>
      <c r="W241" s="73"/>
      <c r="X241" s="73"/>
      <c r="Y241" s="73"/>
      <c r="Z241" s="118"/>
    </row>
    <row r="242" spans="1:26">
      <c r="A242" s="71">
        <v>1000</v>
      </c>
      <c r="B242" s="71">
        <f t="shared" si="97"/>
        <v>900</v>
      </c>
      <c r="C242" s="71"/>
      <c r="D242" s="71">
        <f t="shared" si="98"/>
        <v>3</v>
      </c>
      <c r="E242" s="72"/>
      <c r="F242" s="73">
        <f t="shared" si="101"/>
        <v>0</v>
      </c>
      <c r="G242" s="72">
        <f t="shared" si="99"/>
        <v>0</v>
      </c>
      <c r="H242" s="73">
        <v>0</v>
      </c>
      <c r="I242" s="73">
        <f t="shared" si="102"/>
        <v>0</v>
      </c>
      <c r="J242" s="73">
        <f t="shared" si="103"/>
        <v>0</v>
      </c>
      <c r="K242" s="73">
        <f t="shared" si="100"/>
        <v>0</v>
      </c>
      <c r="L242" s="74">
        <f>'BUSBAR 2013'!$N$37</f>
        <v>0</v>
      </c>
      <c r="M242" s="73"/>
      <c r="N242" s="73">
        <f t="shared" si="104"/>
        <v>0</v>
      </c>
      <c r="O242" s="73"/>
      <c r="P242" s="73"/>
      <c r="Q242" s="73"/>
      <c r="R242" s="73"/>
      <c r="S242" s="73"/>
      <c r="T242" s="73">
        <f t="shared" si="105"/>
        <v>0</v>
      </c>
      <c r="U242" s="73"/>
      <c r="V242" s="73"/>
      <c r="W242" s="73"/>
      <c r="X242" s="73"/>
      <c r="Y242" s="73"/>
      <c r="Z242" s="118"/>
    </row>
    <row r="243" spans="1:26">
      <c r="A243" s="71">
        <v>1250</v>
      </c>
      <c r="B243" s="71">
        <f t="shared" si="97"/>
        <v>900</v>
      </c>
      <c r="C243" s="71"/>
      <c r="D243" s="71">
        <f t="shared" si="98"/>
        <v>3</v>
      </c>
      <c r="E243" s="72"/>
      <c r="F243" s="73">
        <f t="shared" si="101"/>
        <v>0</v>
      </c>
      <c r="G243" s="72">
        <f t="shared" si="99"/>
        <v>0</v>
      </c>
      <c r="H243" s="73">
        <v>0</v>
      </c>
      <c r="I243" s="73">
        <f t="shared" si="102"/>
        <v>0</v>
      </c>
      <c r="J243" s="73">
        <f t="shared" si="103"/>
        <v>0</v>
      </c>
      <c r="K243" s="73">
        <f t="shared" si="100"/>
        <v>0</v>
      </c>
      <c r="L243" s="74">
        <f>'BUSBAR 2013'!$O$37</f>
        <v>0</v>
      </c>
      <c r="M243" s="73"/>
      <c r="N243" s="73">
        <f t="shared" si="104"/>
        <v>0</v>
      </c>
      <c r="O243" s="73"/>
      <c r="P243" s="73"/>
      <c r="Q243" s="73"/>
      <c r="R243" s="73"/>
      <c r="S243" s="73"/>
      <c r="T243" s="73">
        <f t="shared" si="105"/>
        <v>0</v>
      </c>
      <c r="U243" s="73"/>
      <c r="V243" s="73"/>
      <c r="W243" s="73"/>
      <c r="X243" s="73"/>
      <c r="Y243" s="73"/>
      <c r="Z243" s="118"/>
    </row>
    <row r="244" spans="1:26">
      <c r="A244" s="71">
        <v>1600</v>
      </c>
      <c r="B244" s="71">
        <f t="shared" si="97"/>
        <v>900</v>
      </c>
      <c r="C244" s="71"/>
      <c r="D244" s="71">
        <f t="shared" si="98"/>
        <v>3</v>
      </c>
      <c r="E244" s="72"/>
      <c r="F244" s="73">
        <f t="shared" si="101"/>
        <v>0</v>
      </c>
      <c r="G244" s="72">
        <f t="shared" si="99"/>
        <v>0</v>
      </c>
      <c r="H244" s="73">
        <v>0</v>
      </c>
      <c r="I244" s="73">
        <f t="shared" si="102"/>
        <v>0</v>
      </c>
      <c r="J244" s="73">
        <f t="shared" si="103"/>
        <v>0</v>
      </c>
      <c r="K244" s="73">
        <f t="shared" si="100"/>
        <v>0</v>
      </c>
      <c r="L244" s="74">
        <f>'BUSBAR 2013'!$P$37</f>
        <v>0</v>
      </c>
      <c r="M244" s="73"/>
      <c r="N244" s="73">
        <f t="shared" si="104"/>
        <v>0</v>
      </c>
      <c r="O244" s="73"/>
      <c r="P244" s="73"/>
      <c r="Q244" s="73"/>
      <c r="R244" s="73"/>
      <c r="S244" s="73"/>
      <c r="T244" s="73">
        <f t="shared" si="105"/>
        <v>0</v>
      </c>
      <c r="U244" s="73"/>
      <c r="V244" s="73"/>
      <c r="W244" s="73"/>
      <c r="X244" s="73"/>
      <c r="Y244" s="73"/>
      <c r="Z244" s="118"/>
    </row>
    <row r="245" spans="1:26" ht="12.75" thickBot="1">
      <c r="A245" s="101"/>
      <c r="B245" s="101"/>
      <c r="C245" s="101"/>
      <c r="D245" s="101"/>
      <c r="E245" s="102"/>
      <c r="F245" s="103"/>
      <c r="G245" s="102"/>
      <c r="H245" s="103"/>
      <c r="I245" s="103"/>
      <c r="J245" s="103"/>
      <c r="K245" s="103"/>
      <c r="L245" s="104"/>
      <c r="M245" s="103"/>
      <c r="N245" s="105"/>
      <c r="O245" s="65"/>
      <c r="P245" s="106"/>
      <c r="Q245" s="105"/>
      <c r="R245" s="107"/>
      <c r="S245" s="107"/>
      <c r="T245" s="103"/>
      <c r="U245" s="103"/>
      <c r="V245" s="103"/>
      <c r="W245" s="103"/>
      <c r="X245" s="103"/>
      <c r="Y245" s="103"/>
      <c r="Z245" s="118"/>
    </row>
    <row r="246" spans="1:26" ht="21.75" customHeight="1" thickBot="1">
      <c r="G246" s="108">
        <f>SUM(G238:G244)</f>
        <v>0</v>
      </c>
      <c r="H246" s="109">
        <f t="shared" ref="H246:J246" si="106">SUM(H238:H244)</f>
        <v>0</v>
      </c>
      <c r="I246" s="109">
        <f t="shared" si="106"/>
        <v>0</v>
      </c>
      <c r="J246" s="109">
        <f t="shared" si="106"/>
        <v>0</v>
      </c>
      <c r="K246" s="109">
        <f>SUM(K238:K244)</f>
        <v>0</v>
      </c>
      <c r="L246" s="109"/>
      <c r="M246" s="110"/>
      <c r="O246" s="75"/>
      <c r="T246" s="103"/>
      <c r="U246" s="103"/>
      <c r="V246" s="103"/>
      <c r="W246" s="103"/>
      <c r="X246" s="103"/>
      <c r="Y246" s="103"/>
      <c r="Z246" s="118"/>
    </row>
    <row r="247" spans="1:26" ht="18" thickBot="1">
      <c r="M247" s="79"/>
      <c r="T247" s="103"/>
      <c r="U247" s="103"/>
      <c r="V247" s="103"/>
      <c r="W247" s="103"/>
      <c r="X247" s="103"/>
      <c r="Y247" s="103"/>
      <c r="Z247" s="118"/>
    </row>
    <row r="248" spans="1:26" s="68" customFormat="1" ht="21.75" customHeight="1" thickBot="1">
      <c r="A248" s="502" t="s">
        <v>349</v>
      </c>
      <c r="B248" s="503"/>
      <c r="C248" s="503"/>
      <c r="D248" s="503"/>
      <c r="E248" s="503"/>
      <c r="F248" s="503"/>
      <c r="G248" s="503"/>
      <c r="H248" s="503"/>
      <c r="I248" s="503"/>
      <c r="J248" s="503"/>
      <c r="K248" s="503"/>
      <c r="L248" s="503"/>
      <c r="M248" s="503"/>
      <c r="N248" s="503"/>
      <c r="O248" s="503"/>
      <c r="P248" s="503"/>
      <c r="Q248" s="503"/>
      <c r="R248" s="504"/>
      <c r="T248" s="103"/>
      <c r="U248" s="103"/>
      <c r="V248" s="103"/>
      <c r="W248" s="103"/>
      <c r="X248" s="103"/>
      <c r="Y248" s="103"/>
      <c r="Z248" s="118"/>
    </row>
    <row r="249" spans="1:26" ht="12.75" thickBot="1">
      <c r="A249" s="69" t="s">
        <v>26</v>
      </c>
      <c r="B249" s="69" t="s">
        <v>20</v>
      </c>
      <c r="C249" s="69"/>
      <c r="D249" s="69" t="s">
        <v>64</v>
      </c>
      <c r="E249" s="69" t="s">
        <v>383</v>
      </c>
      <c r="F249" s="69" t="s">
        <v>76</v>
      </c>
      <c r="G249" s="69" t="s">
        <v>413</v>
      </c>
      <c r="H249" s="69" t="s">
        <v>410</v>
      </c>
      <c r="I249" s="69" t="s">
        <v>192</v>
      </c>
      <c r="J249" s="69" t="s">
        <v>411</v>
      </c>
      <c r="K249" s="69" t="s">
        <v>412</v>
      </c>
      <c r="L249" s="69" t="s">
        <v>87</v>
      </c>
      <c r="M249" s="69"/>
      <c r="N249" s="113" t="s">
        <v>99</v>
      </c>
      <c r="O249" s="70"/>
      <c r="P249" s="69"/>
      <c r="Q249" s="69"/>
      <c r="R249" s="69"/>
      <c r="S249" s="115"/>
      <c r="T249" s="103"/>
      <c r="U249" s="103"/>
      <c r="V249" s="103"/>
      <c r="W249" s="103"/>
      <c r="X249" s="103"/>
      <c r="Y249" s="103"/>
      <c r="Z249" s="118"/>
    </row>
    <row r="250" spans="1:26">
      <c r="A250" s="71" t="s">
        <v>35</v>
      </c>
      <c r="B250" s="71"/>
      <c r="C250" s="71"/>
      <c r="D250" s="71">
        <f>$M$4</f>
        <v>3</v>
      </c>
      <c r="E250" s="71">
        <v>2</v>
      </c>
      <c r="F250" s="73"/>
      <c r="G250" s="81"/>
      <c r="H250" s="73">
        <v>0</v>
      </c>
      <c r="I250" s="121">
        <v>0</v>
      </c>
      <c r="J250" s="121">
        <f>'BUSBAR DATA'!$C$68*L250</f>
        <v>0</v>
      </c>
      <c r="K250" s="121">
        <f>'BUSBAR DATA'!$C$71*L250</f>
        <v>0</v>
      </c>
      <c r="L250" s="122">
        <f>SUM('BUSBAR 2013'!$C$37:$E$37)</f>
        <v>0</v>
      </c>
      <c r="M250" s="73"/>
      <c r="N250" s="82">
        <f>L250*E250</f>
        <v>0</v>
      </c>
      <c r="O250" s="75"/>
      <c r="P250" s="83"/>
      <c r="Q250" s="82"/>
      <c r="R250" s="76"/>
      <c r="S250" s="116"/>
      <c r="T250" s="103"/>
      <c r="U250" s="103"/>
      <c r="V250" s="103"/>
      <c r="W250" s="103"/>
      <c r="X250" s="103"/>
      <c r="Y250" s="103"/>
      <c r="Z250" s="118"/>
    </row>
    <row r="251" spans="1:26">
      <c r="A251" s="71" t="s">
        <v>34</v>
      </c>
      <c r="B251" s="71"/>
      <c r="C251" s="71"/>
      <c r="D251" s="71">
        <f>$M$4</f>
        <v>3</v>
      </c>
      <c r="E251" s="71">
        <v>1</v>
      </c>
      <c r="F251" s="73"/>
      <c r="G251" s="81"/>
      <c r="H251" s="73">
        <v>0</v>
      </c>
      <c r="I251" s="121">
        <v>0</v>
      </c>
      <c r="J251" s="121">
        <f>'BUSBAR DATA'!$C$69*L251</f>
        <v>0</v>
      </c>
      <c r="K251" s="121">
        <f>'BUSBAR DATA'!$C$72*L250</f>
        <v>0</v>
      </c>
      <c r="L251" s="122">
        <f>SUM('BUSBAR 2013'!$C$37:$E$37)</f>
        <v>0</v>
      </c>
      <c r="M251" s="73"/>
      <c r="N251" s="82">
        <f>L251*E251</f>
        <v>0</v>
      </c>
      <c r="O251" s="75"/>
      <c r="P251" s="83"/>
      <c r="Q251" s="82"/>
      <c r="R251" s="76"/>
      <c r="S251" s="116"/>
      <c r="T251" s="103"/>
      <c r="U251" s="103"/>
      <c r="V251" s="103"/>
      <c r="W251" s="103"/>
      <c r="X251" s="103"/>
      <c r="Y251" s="103"/>
      <c r="Z251" s="118"/>
    </row>
    <row r="252" spans="1:26">
      <c r="A252" s="71" t="s">
        <v>89</v>
      </c>
      <c r="B252" s="71"/>
      <c r="C252" s="71"/>
      <c r="D252" s="71">
        <f>$M$4</f>
        <v>3</v>
      </c>
      <c r="E252" s="71">
        <v>3</v>
      </c>
      <c r="F252" s="73"/>
      <c r="G252" s="81"/>
      <c r="H252" s="73">
        <v>0</v>
      </c>
      <c r="I252" s="121">
        <v>0</v>
      </c>
      <c r="J252" s="121">
        <f>'BUSBAR DATA'!$C$70*L252</f>
        <v>0</v>
      </c>
      <c r="K252" s="121">
        <f>'BUSBAR DATA'!$C$73*L250</f>
        <v>0</v>
      </c>
      <c r="L252" s="122">
        <f>SUM('BUSBAR 2013'!$C$37:$E$37)</f>
        <v>0</v>
      </c>
      <c r="M252" s="73"/>
      <c r="N252" s="82">
        <f>L252*E252</f>
        <v>0</v>
      </c>
      <c r="O252" s="75"/>
      <c r="P252" s="83"/>
      <c r="Q252" s="82"/>
      <c r="R252" s="76"/>
      <c r="S252" s="116"/>
      <c r="T252" s="103"/>
      <c r="U252" s="103"/>
      <c r="V252" s="103"/>
      <c r="W252" s="103"/>
      <c r="X252" s="103"/>
      <c r="Y252" s="103"/>
      <c r="Z252" s="118"/>
    </row>
    <row r="253" spans="1:26">
      <c r="A253" s="71" t="s">
        <v>381</v>
      </c>
      <c r="B253" s="71">
        <v>200</v>
      </c>
      <c r="C253" s="71"/>
      <c r="D253" s="71">
        <f>$M$4</f>
        <v>3</v>
      </c>
      <c r="E253" s="71">
        <v>1</v>
      </c>
      <c r="F253" s="73"/>
      <c r="G253" s="81"/>
      <c r="H253" s="73">
        <v>0</v>
      </c>
      <c r="I253" s="121">
        <f>('BUSBAR DATA'!$C$75/10)*L253*IF($M$4=4,1,0)</f>
        <v>0</v>
      </c>
      <c r="J253" s="121">
        <v>0</v>
      </c>
      <c r="K253" s="121">
        <v>0</v>
      </c>
      <c r="L253" s="122">
        <f>SUM('BUSBAR 2013'!$C$37:$E$37)*IF($M$4=4,1,0)</f>
        <v>0</v>
      </c>
      <c r="M253" s="73"/>
      <c r="N253" s="82">
        <f>L253*E253/10</f>
        <v>0</v>
      </c>
      <c r="O253" s="75"/>
      <c r="P253" s="83"/>
      <c r="Q253" s="82"/>
      <c r="R253" s="76"/>
      <c r="S253" s="116"/>
      <c r="T253" s="103"/>
      <c r="U253" s="103"/>
      <c r="V253" s="103"/>
      <c r="W253" s="103"/>
      <c r="X253" s="103"/>
      <c r="Y253" s="103"/>
      <c r="Z253" s="118"/>
    </row>
    <row r="254" spans="1:26">
      <c r="O254" s="60"/>
      <c r="P254" s="60"/>
      <c r="R254" s="84"/>
      <c r="S254" s="117"/>
      <c r="T254" s="103"/>
      <c r="U254" s="103"/>
      <c r="V254" s="103"/>
      <c r="W254" s="103"/>
      <c r="X254" s="103"/>
      <c r="Y254" s="103"/>
      <c r="Z254" s="118"/>
    </row>
    <row r="255" spans="1:26">
      <c r="O255" s="60"/>
      <c r="P255" s="60"/>
      <c r="R255" s="84"/>
      <c r="S255" s="117"/>
      <c r="T255" s="103"/>
      <c r="U255" s="103"/>
      <c r="V255" s="103"/>
      <c r="W255" s="103"/>
      <c r="X255" s="103"/>
      <c r="Y255" s="103"/>
      <c r="Z255" s="118"/>
    </row>
    <row r="256" spans="1:26" ht="12.75" thickBot="1">
      <c r="T256" s="103"/>
      <c r="U256" s="103"/>
      <c r="V256" s="103"/>
      <c r="W256" s="103"/>
      <c r="X256" s="103"/>
      <c r="Y256" s="103"/>
      <c r="Z256" s="118"/>
    </row>
    <row r="257" spans="6:26" ht="21.75" customHeight="1" thickBot="1">
      <c r="G257" s="108"/>
      <c r="H257" s="109"/>
      <c r="I257" s="109">
        <f>I253</f>
        <v>0</v>
      </c>
      <c r="J257" s="109">
        <f>SUM(J250:J255)</f>
        <v>0</v>
      </c>
      <c r="K257" s="109">
        <f>SUM(K250:K255)</f>
        <v>0</v>
      </c>
      <c r="L257" s="109"/>
      <c r="M257" s="110"/>
      <c r="T257" s="103"/>
      <c r="U257" s="103"/>
      <c r="V257" s="103"/>
      <c r="W257" s="103"/>
      <c r="X257" s="103"/>
      <c r="Y257" s="103"/>
      <c r="Z257" s="118"/>
    </row>
    <row r="258" spans="6:26">
      <c r="K258" s="80"/>
      <c r="T258" s="103"/>
      <c r="U258" s="103"/>
      <c r="V258" s="103"/>
      <c r="W258" s="103"/>
      <c r="X258" s="103"/>
      <c r="Y258" s="103"/>
      <c r="Z258" s="118"/>
    </row>
    <row r="259" spans="6:26" ht="12.75" thickBot="1">
      <c r="T259" s="103"/>
      <c r="U259" s="103"/>
      <c r="V259" s="103"/>
      <c r="W259" s="103"/>
      <c r="X259" s="103"/>
      <c r="Y259" s="103"/>
      <c r="Z259" s="118"/>
    </row>
    <row r="260" spans="6:26" ht="21" customHeight="1" thickBot="1">
      <c r="G260" s="69" t="s">
        <v>413</v>
      </c>
      <c r="H260" s="69"/>
      <c r="I260" s="69" t="s">
        <v>192</v>
      </c>
      <c r="J260" s="69" t="s">
        <v>348</v>
      </c>
      <c r="K260" s="69" t="s">
        <v>46</v>
      </c>
      <c r="L260" s="69" t="s">
        <v>87</v>
      </c>
      <c r="T260" s="103"/>
      <c r="U260" s="103"/>
      <c r="V260" s="103"/>
      <c r="W260" s="103"/>
      <c r="X260" s="103"/>
      <c r="Y260" s="103"/>
      <c r="Z260" s="118"/>
    </row>
    <row r="261" spans="6:26" ht="21.75" customHeight="1" thickBot="1">
      <c r="F261" s="69" t="s">
        <v>423</v>
      </c>
      <c r="G261" s="111">
        <f>$G$246+$G$234+$G$226+$G$160+$G$94+$G$73</f>
        <v>13.961400000000001</v>
      </c>
      <c r="H261" s="110"/>
      <c r="I261" s="110">
        <f>($I$246+$I$234+$I$226+$I$160+$I$94+$I$73+$I$257)</f>
        <v>14638.203429048001</v>
      </c>
      <c r="J261" s="110">
        <f>($J$246+$J$234+$J$226+$J$160+$J$94+$J$73)</f>
        <v>420.0345316800001</v>
      </c>
      <c r="K261" s="110"/>
      <c r="L261" s="110"/>
      <c r="T261" s="103"/>
      <c r="U261" s="103"/>
      <c r="V261" s="103"/>
      <c r="W261" s="103"/>
      <c r="X261" s="103"/>
      <c r="Y261" s="103"/>
      <c r="Z261" s="118"/>
    </row>
    <row r="262" spans="6:26" ht="21.75" customHeight="1" thickBot="1">
      <c r="F262" s="69" t="s">
        <v>424</v>
      </c>
      <c r="G262" s="111"/>
      <c r="H262" s="110"/>
      <c r="I262" s="110"/>
      <c r="J262" s="110">
        <f>($J$257)</f>
        <v>0</v>
      </c>
      <c r="K262" s="110">
        <f>($K$246+$K$234+$K$226+$K$160+$K$94+$K$73+$K$257)</f>
        <v>4886.49</v>
      </c>
      <c r="L262" s="110"/>
      <c r="T262" s="103"/>
      <c r="U262" s="103"/>
      <c r="V262" s="103"/>
      <c r="W262" s="103"/>
      <c r="X262" s="103"/>
      <c r="Y262" s="103"/>
      <c r="Z262" s="118"/>
    </row>
    <row r="263" spans="6:26">
      <c r="K263" s="80"/>
    </row>
    <row r="264" spans="6:26">
      <c r="K264" s="80"/>
    </row>
    <row r="265" spans="6:26">
      <c r="J265" s="80"/>
      <c r="K265" s="80"/>
    </row>
    <row r="267" spans="6:26">
      <c r="J267" s="80"/>
      <c r="K267" s="80"/>
    </row>
  </sheetData>
  <mergeCells count="43">
    <mergeCell ref="A6:R6"/>
    <mergeCell ref="A75:R75"/>
    <mergeCell ref="A96:R96"/>
    <mergeCell ref="A162:R162"/>
    <mergeCell ref="A248:R248"/>
    <mergeCell ref="A236:R236"/>
    <mergeCell ref="A228:R228"/>
    <mergeCell ref="Q1:R1"/>
    <mergeCell ref="Q2:R2"/>
    <mergeCell ref="Q3:R3"/>
    <mergeCell ref="Q4:R4"/>
    <mergeCell ref="M1:N1"/>
    <mergeCell ref="M2:N2"/>
    <mergeCell ref="M3:N3"/>
    <mergeCell ref="M4:N4"/>
    <mergeCell ref="O1:P1"/>
    <mergeCell ref="O2:P2"/>
    <mergeCell ref="G1:H1"/>
    <mergeCell ref="G2:H2"/>
    <mergeCell ref="A1:B1"/>
    <mergeCell ref="I1:J1"/>
    <mergeCell ref="K1:L1"/>
    <mergeCell ref="I2:J2"/>
    <mergeCell ref="K2:L2"/>
    <mergeCell ref="C1:D1"/>
    <mergeCell ref="E1:F1"/>
    <mergeCell ref="A2:B2"/>
    <mergeCell ref="K3:L3"/>
    <mergeCell ref="O3:P3"/>
    <mergeCell ref="A4:B4"/>
    <mergeCell ref="C2:D2"/>
    <mergeCell ref="E2:F2"/>
    <mergeCell ref="C4:D4"/>
    <mergeCell ref="E4:F4"/>
    <mergeCell ref="G4:H4"/>
    <mergeCell ref="I4:J4"/>
    <mergeCell ref="K4:L4"/>
    <mergeCell ref="O4:P4"/>
    <mergeCell ref="A3:B3"/>
    <mergeCell ref="C3:D3"/>
    <mergeCell ref="E3:F3"/>
    <mergeCell ref="G3:H3"/>
    <mergeCell ref="I3:J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75"/>
  <sheetViews>
    <sheetView topLeftCell="A40" zoomScale="70" zoomScaleNormal="70" workbookViewId="0">
      <selection activeCell="F61" sqref="F61"/>
    </sheetView>
  </sheetViews>
  <sheetFormatPr defaultColWidth="9.140625" defaultRowHeight="14.25"/>
  <cols>
    <col min="1" max="1" width="13.85546875" style="118" customWidth="1"/>
    <col min="2" max="2" width="58.5703125" style="266" customWidth="1"/>
    <col min="3" max="3" width="12.140625" style="118" customWidth="1"/>
    <col min="4" max="4" width="13.85546875" style="118" customWidth="1"/>
    <col min="5" max="5" width="17.28515625" style="118" bestFit="1" customWidth="1"/>
    <col min="6" max="6" width="13.140625" style="118" bestFit="1" customWidth="1"/>
    <col min="7" max="7" width="17.5703125" style="118" customWidth="1"/>
    <col min="8" max="8" width="7.85546875" style="118" customWidth="1"/>
    <col min="9" max="9" width="18.7109375" style="118" customWidth="1"/>
    <col min="10" max="10" width="8.42578125" style="118" customWidth="1"/>
    <col min="11" max="11" width="7.5703125" style="118" customWidth="1"/>
    <col min="12" max="12" width="8" style="118" customWidth="1"/>
    <col min="13" max="18" width="8.5703125" style="118" customWidth="1"/>
    <col min="19" max="24" width="8.5703125" style="230" customWidth="1"/>
    <col min="25" max="25" width="9.140625" style="230"/>
    <col min="26" max="26" width="11" style="230" bestFit="1" customWidth="1"/>
    <col min="27" max="28" width="9.140625" style="230"/>
    <col min="29" max="29" width="10.7109375" style="230" customWidth="1"/>
    <col min="30" max="16384" width="9.140625" style="230"/>
  </cols>
  <sheetData>
    <row r="1" spans="1:33" ht="33.75" customHeight="1" thickBot="1">
      <c r="A1" s="505" t="s">
        <v>43</v>
      </c>
      <c r="B1" s="506"/>
      <c r="C1" s="506"/>
      <c r="D1" s="506"/>
      <c r="E1" s="506"/>
      <c r="F1" s="506"/>
      <c r="G1" s="506"/>
      <c r="H1" s="506"/>
      <c r="I1" s="506"/>
      <c r="J1" s="506"/>
      <c r="K1" s="507"/>
      <c r="L1" s="229"/>
      <c r="M1" s="58"/>
      <c r="N1" s="230"/>
      <c r="O1" s="230"/>
      <c r="P1" s="230"/>
      <c r="Q1" s="230"/>
      <c r="R1" s="230"/>
      <c r="Y1" s="229"/>
      <c r="Z1" s="229"/>
      <c r="AA1" s="229"/>
      <c r="AB1" s="229"/>
      <c r="AC1" s="229"/>
      <c r="AD1" s="229"/>
      <c r="AE1" s="229"/>
      <c r="AF1" s="229"/>
      <c r="AG1" s="229"/>
    </row>
    <row r="2" spans="1:33" ht="33.75" customHeight="1" thickBot="1">
      <c r="A2" s="123"/>
      <c r="B2" s="126"/>
      <c r="C2" s="508">
        <v>1</v>
      </c>
      <c r="D2" s="506"/>
      <c r="E2" s="507"/>
      <c r="F2" s="508">
        <v>0.5</v>
      </c>
      <c r="G2" s="506"/>
      <c r="H2" s="507"/>
      <c r="I2" s="508">
        <v>0.25</v>
      </c>
      <c r="J2" s="509"/>
      <c r="K2" s="510"/>
      <c r="L2" s="124"/>
      <c r="M2" s="514" t="s">
        <v>86</v>
      </c>
      <c r="N2" s="515"/>
      <c r="O2" s="515"/>
      <c r="P2" s="515"/>
      <c r="Q2" s="515"/>
      <c r="R2" s="515"/>
      <c r="S2" s="514" t="s">
        <v>190</v>
      </c>
      <c r="T2" s="515"/>
      <c r="U2" s="515"/>
      <c r="V2" s="515"/>
      <c r="W2" s="515"/>
      <c r="X2" s="515"/>
      <c r="Y2" s="516">
        <v>1</v>
      </c>
      <c r="Z2" s="517"/>
      <c r="AA2" s="518"/>
      <c r="AB2" s="511">
        <v>0.5</v>
      </c>
      <c r="AC2" s="512"/>
      <c r="AD2" s="513"/>
      <c r="AE2" s="511">
        <v>0.25</v>
      </c>
      <c r="AF2" s="512"/>
      <c r="AG2" s="513"/>
    </row>
    <row r="3" spans="1:33" ht="13.5" customHeight="1" thickBot="1">
      <c r="A3" s="231" t="s">
        <v>26</v>
      </c>
      <c r="B3" s="232" t="s">
        <v>42</v>
      </c>
      <c r="C3" s="233" t="s">
        <v>4</v>
      </c>
      <c r="D3" s="233" t="s">
        <v>21</v>
      </c>
      <c r="E3" s="114" t="s">
        <v>22</v>
      </c>
      <c r="F3" s="233" t="s">
        <v>4</v>
      </c>
      <c r="G3" s="233" t="s">
        <v>21</v>
      </c>
      <c r="H3" s="114" t="s">
        <v>22</v>
      </c>
      <c r="I3" s="233" t="s">
        <v>4</v>
      </c>
      <c r="J3" s="233" t="s">
        <v>21</v>
      </c>
      <c r="K3" s="114" t="s">
        <v>22</v>
      </c>
      <c r="L3" s="114" t="s">
        <v>64</v>
      </c>
      <c r="M3" s="113" t="s">
        <v>73</v>
      </c>
      <c r="N3" s="114" t="s">
        <v>263</v>
      </c>
      <c r="O3" s="114" t="s">
        <v>264</v>
      </c>
      <c r="P3" s="114" t="s">
        <v>265</v>
      </c>
      <c r="Q3" s="114" t="s">
        <v>266</v>
      </c>
      <c r="R3" s="114" t="s">
        <v>352</v>
      </c>
      <c r="S3" s="113" t="s">
        <v>73</v>
      </c>
      <c r="T3" s="114" t="s">
        <v>263</v>
      </c>
      <c r="U3" s="114" t="s">
        <v>264</v>
      </c>
      <c r="V3" s="114" t="s">
        <v>265</v>
      </c>
      <c r="W3" s="114" t="s">
        <v>266</v>
      </c>
      <c r="X3" s="114" t="s">
        <v>352</v>
      </c>
      <c r="Y3" s="112" t="s">
        <v>93</v>
      </c>
      <c r="Z3" s="59" t="s">
        <v>94</v>
      </c>
      <c r="AA3" s="59"/>
      <c r="AB3" s="59" t="s">
        <v>93</v>
      </c>
      <c r="AC3" s="59" t="s">
        <v>94</v>
      </c>
      <c r="AD3" s="59"/>
      <c r="AE3" s="59" t="s">
        <v>93</v>
      </c>
      <c r="AF3" s="59" t="s">
        <v>94</v>
      </c>
      <c r="AG3" s="59"/>
    </row>
    <row r="4" spans="1:33">
      <c r="A4" s="234">
        <v>250</v>
      </c>
      <c r="B4" s="235">
        <f>A4/(C4*D4*E4)</f>
        <v>1.25</v>
      </c>
      <c r="C4" s="236">
        <v>20</v>
      </c>
      <c r="D4" s="236">
        <v>10</v>
      </c>
      <c r="E4" s="237">
        <v>1</v>
      </c>
      <c r="F4" s="236">
        <v>20</v>
      </c>
      <c r="G4" s="236">
        <v>5</v>
      </c>
      <c r="H4" s="237">
        <v>1</v>
      </c>
      <c r="I4" s="236">
        <v>20</v>
      </c>
      <c r="J4" s="236">
        <v>5</v>
      </c>
      <c r="K4" s="238">
        <v>1</v>
      </c>
      <c r="L4" s="239">
        <f>IF($D$50=1,3,4)</f>
        <v>3</v>
      </c>
      <c r="M4" s="240">
        <f>($C4*$D4*$E4)</f>
        <v>200</v>
      </c>
      <c r="N4" s="241">
        <f>IF(AND($D$52=2,$L4=3),1,0)*M4</f>
        <v>0</v>
      </c>
      <c r="O4" s="241">
        <f>IF(AND($D$52=1,$L4=3),1,0)*($F4*$G4*$H4)</f>
        <v>100</v>
      </c>
      <c r="P4" s="241">
        <f>IF(AND($L4=3,$D$52=2,$D$54=2),M4,0)+IF(AND($L4=4,$D$54=2),M4,0)</f>
        <v>0</v>
      </c>
      <c r="Q4" s="242">
        <f>IF(AND($L4=3,$D$52=2,$D$54=1),$F4*$G4*$H4,0)+IF(AND($L4=3,$D$52=1,$D$54=2),$F4*$G4*$H4,0)+IF(AND($L4=4,$D$54=1),$F4*$G4*$H4,0)</f>
        <v>0</v>
      </c>
      <c r="R4" s="242">
        <f>IF(AND($L4=3,$D$52=1,$D$54=1),$I4*$J4*$K4,0)</f>
        <v>100</v>
      </c>
      <c r="S4" s="240">
        <f>(($C4+$D4)*2*$E4)</f>
        <v>60</v>
      </c>
      <c r="T4" s="241">
        <f>IF(AND($D$52=2,$L4=3),1,0)*S4</f>
        <v>0</v>
      </c>
      <c r="U4" s="241">
        <f>IF(AND($D$52=1,$L4=3),1,0)*(($F4+$G4)*$H4*2)</f>
        <v>50</v>
      </c>
      <c r="V4" s="241">
        <f>IF(AND($L4=3,$D$52=2,$D$54=2),S4,0)+IF(AND($L4=4,$D$54=2),S4,0)</f>
        <v>0</v>
      </c>
      <c r="W4" s="242">
        <f>IF(AND($L4=3,$D$52=2,$D$54=1),($F4+$G4)*$H4*2,0)+IF(AND($L4=3,$D$52=1,$D$54=2),($F4+$G4)*$H4*2,0)+IF(AND($L4=4,$D$54=1),($F4+$G4)*$H4*2,0)</f>
        <v>0</v>
      </c>
      <c r="X4" s="242">
        <f>IF(AND($L4=3,$D$52=1,$D$54=1),($I4+$J4)*$K4*2,0)</f>
        <v>50</v>
      </c>
      <c r="Y4" s="234">
        <v>1016262</v>
      </c>
      <c r="Z4" s="244">
        <v>1011783</v>
      </c>
      <c r="AA4" s="243">
        <f>SUMIF('Busbar Calculations'!$A:$A,"=250",'Busbar Calculations'!N:N)+SUMIF('Busbar Calculations'!$A:$A,"=250",'Busbar Calculations'!O:O)+SUMIF('Busbar Calculations'!$A:$A,"=250",'Busbar Calculations'!Q:Q)</f>
        <v>4.8060000000000009</v>
      </c>
      <c r="AB4" s="234">
        <v>1011779</v>
      </c>
      <c r="AC4" s="244">
        <v>1016258</v>
      </c>
      <c r="AD4" s="243">
        <f>SUMIF('Busbar Calculations'!$A:$A,"=250",'Busbar Calculations'!P:P)+SUMIF('Busbar Calculations'!$A:$A,"=250",'Busbar Calculations'!R:R)</f>
        <v>0</v>
      </c>
      <c r="AE4" s="234">
        <v>1011779</v>
      </c>
      <c r="AF4" s="244">
        <v>1016258</v>
      </c>
      <c r="AG4" s="243">
        <f>SUMIF('Busbar Calculations'!$A:$A,"=250",'Busbar Calculations'!S:S)</f>
        <v>0</v>
      </c>
    </row>
    <row r="5" spans="1:33">
      <c r="A5" s="234">
        <v>400</v>
      </c>
      <c r="B5" s="235">
        <f t="shared" ref="B5:B19" si="0">A5/(C5*D5*E5)</f>
        <v>1.3333333333333333</v>
      </c>
      <c r="C5" s="236">
        <v>30</v>
      </c>
      <c r="D5" s="236">
        <v>10</v>
      </c>
      <c r="E5" s="237">
        <v>1</v>
      </c>
      <c r="F5" s="236">
        <v>30</v>
      </c>
      <c r="G5" s="236">
        <v>5</v>
      </c>
      <c r="H5" s="237">
        <v>1</v>
      </c>
      <c r="I5" s="236">
        <v>20</v>
      </c>
      <c r="J5" s="236">
        <v>5</v>
      </c>
      <c r="K5" s="238">
        <v>1</v>
      </c>
      <c r="L5" s="240">
        <f>IF($D$50=1,3,4)</f>
        <v>3</v>
      </c>
      <c r="M5" s="240">
        <f>($C5*$D5*$E5)</f>
        <v>300</v>
      </c>
      <c r="N5" s="241">
        <f t="shared" ref="N5:N19" si="1">IF(AND($D$52=2,L5=3),1,0)*M5</f>
        <v>0</v>
      </c>
      <c r="O5" s="241">
        <f t="shared" ref="O5:O19" si="2">IF(AND($D$52=1,L5=3),1,0)*($F5*$G5*$H5)</f>
        <v>150</v>
      </c>
      <c r="P5" s="241">
        <f t="shared" ref="P5:P19" si="3">IF(AND($L5=3,$D$52=2,$D$54=2),M5,0)+IF(AND($L5=4,$D$54=2),M5,0)</f>
        <v>0</v>
      </c>
      <c r="Q5" s="242">
        <f t="shared" ref="Q5:Q19" si="4">IF(AND($L5=3,$D$52=2,$D$54=1),$F5*$G5*$H5,0)+IF(AND($L5=3,$D$52=1,$D$54=2),$F5*$G5*$H5,0)+IF(AND($L5=4,$D$54=1),$F5*$G5*$H5,0)</f>
        <v>0</v>
      </c>
      <c r="R5" s="242">
        <f t="shared" ref="R5:R19" si="5">IF(AND($L5=3,$D$52=1,$D$54=1),$I5*$J5*$K5,0)</f>
        <v>100</v>
      </c>
      <c r="S5" s="240">
        <f>(($C5+$D5)*2*$E5)</f>
        <v>80</v>
      </c>
      <c r="T5" s="241">
        <f t="shared" ref="T5:T19" si="6">IF(AND($D$52=2,$L5=3),1,0)*S5</f>
        <v>0</v>
      </c>
      <c r="U5" s="241">
        <f t="shared" ref="U5:U19" si="7">IF(AND($D$52=1,$L5=3),1,0)*(($F5+$G5)*$H5*2)</f>
        <v>70</v>
      </c>
      <c r="V5" s="241">
        <f t="shared" ref="V5:V19" si="8">IF(AND($L5=3,$D$52=2,$D$54=2),S5,0)+IF(AND($L5=4,$D$54=2),S5,0)</f>
        <v>0</v>
      </c>
      <c r="W5" s="242">
        <f t="shared" ref="W5:W19" si="9">IF(AND($L5=3,$D$52=2,$D$54=1),($F5+$G5)*$H5*2,0)+IF(AND($L5=3,$D$52=1,$D$54=2),($F5+$G5)*$H5*2,0)+IF(AND($L5=4,$D$54=1),($F5+$G5)*$H5*2,0)</f>
        <v>0</v>
      </c>
      <c r="X5" s="242">
        <f t="shared" ref="X5:X19" si="10">IF(AND($L5=3,$D$52=1,$D$54=1),($I5+$J5)*$K5*2,0)</f>
        <v>50</v>
      </c>
      <c r="Y5" s="234">
        <v>1016263</v>
      </c>
      <c r="Z5" s="236">
        <v>1011784</v>
      </c>
      <c r="AA5" s="243">
        <f>SUMIF('Busbar Calculations'!$A:$A,"=400",'Busbar Calculations'!N:N)+SUMIF('Busbar Calculations'!$A:$A,"=400",'Busbar Calculations'!O:O)+SUMIF('Busbar Calculations'!$A:$A,"=400",'Busbar Calculations'!Q:Q)</f>
        <v>0</v>
      </c>
      <c r="AB5" s="245">
        <v>1016259</v>
      </c>
      <c r="AC5" s="236">
        <v>1030335</v>
      </c>
      <c r="AD5" s="243">
        <f>SUMIF('Busbar Calculations'!$A:$A,"=400",'Busbar Calculations'!P:P)+SUMIF('Busbar Calculations'!$A:$A,"=400",'Busbar Calculations'!R:R)</f>
        <v>0</v>
      </c>
      <c r="AE5" s="234">
        <v>1011779</v>
      </c>
      <c r="AF5" s="244">
        <v>1016258</v>
      </c>
      <c r="AG5" s="243">
        <f>SUMIF('Busbar Calculations'!$A:$A,"=400",'Busbar Calculations'!S:S)</f>
        <v>0</v>
      </c>
    </row>
    <row r="6" spans="1:33">
      <c r="A6" s="234">
        <v>600</v>
      </c>
      <c r="B6" s="235">
        <f t="shared" si="0"/>
        <v>1.5</v>
      </c>
      <c r="C6" s="236">
        <v>40</v>
      </c>
      <c r="D6" s="236">
        <v>10</v>
      </c>
      <c r="E6" s="237">
        <v>1</v>
      </c>
      <c r="F6" s="236">
        <v>40</v>
      </c>
      <c r="G6" s="236">
        <v>5</v>
      </c>
      <c r="H6" s="237">
        <v>1</v>
      </c>
      <c r="I6" s="236">
        <v>20</v>
      </c>
      <c r="J6" s="236">
        <v>5</v>
      </c>
      <c r="K6" s="238">
        <v>1</v>
      </c>
      <c r="L6" s="240">
        <f t="shared" ref="L6:L19" si="11">IF($D$50=1,3,4)</f>
        <v>3</v>
      </c>
      <c r="M6" s="240">
        <f t="shared" ref="M6:M19" si="12">($C6*$D6*$E6)</f>
        <v>400</v>
      </c>
      <c r="N6" s="241">
        <f t="shared" si="1"/>
        <v>0</v>
      </c>
      <c r="O6" s="241">
        <f t="shared" si="2"/>
        <v>200</v>
      </c>
      <c r="P6" s="241">
        <f t="shared" si="3"/>
        <v>0</v>
      </c>
      <c r="Q6" s="242">
        <f t="shared" si="4"/>
        <v>0</v>
      </c>
      <c r="R6" s="242">
        <f t="shared" si="5"/>
        <v>100</v>
      </c>
      <c r="S6" s="240">
        <f t="shared" ref="S6:S19" si="13">(($C6+$D6)*2*$E6)</f>
        <v>100</v>
      </c>
      <c r="T6" s="241">
        <f>IF(AND($D$52=2,$L6=3),1,0)*S6</f>
        <v>0</v>
      </c>
      <c r="U6" s="241">
        <f t="shared" si="7"/>
        <v>90</v>
      </c>
      <c r="V6" s="241">
        <f t="shared" si="8"/>
        <v>0</v>
      </c>
      <c r="W6" s="242">
        <f>IF(AND($L6=3,$D$52=2,$D$54=1),($F6+$G6)*$H6*2,0)+IF(AND($L6=3,$D$52=1,$D$54=2),($F6+$G6)*$H6*2,0)+IF(AND($L6=4,$D$54=1),($F6+$G6)*$H6*2,0)</f>
        <v>0</v>
      </c>
      <c r="X6" s="242">
        <f t="shared" si="10"/>
        <v>50</v>
      </c>
      <c r="Y6" s="234">
        <v>1013430</v>
      </c>
      <c r="Z6" s="236">
        <v>1016264</v>
      </c>
      <c r="AA6" s="243">
        <f>SUMIF('Busbar Calculations'!$A:$A,"=600",'Busbar Calculations'!N:N)+SUMIF('Busbar Calculations'!$A:$A,"=600",'Busbar Calculations'!O:O)+SUMIF('Busbar Calculations'!$A:$A,"=600",'Busbar Calculations'!Q:Q)</f>
        <v>0</v>
      </c>
      <c r="AB6" s="245">
        <v>1016260</v>
      </c>
      <c r="AC6" s="236">
        <v>1011781</v>
      </c>
      <c r="AD6" s="243">
        <f>SUMIF('Busbar Calculations'!$A:$A,"=600",'Busbar Calculations'!P:P)+SUMIF('Busbar Calculations'!$A:$A,"=600",'Busbar Calculations'!R:R)</f>
        <v>0</v>
      </c>
      <c r="AE6" s="234">
        <v>1011779</v>
      </c>
      <c r="AF6" s="244">
        <v>1016258</v>
      </c>
      <c r="AG6" s="243">
        <f>SUMIF('Busbar Calculations'!$A:$A,"=600",'Busbar Calculations'!S:S)</f>
        <v>0</v>
      </c>
    </row>
    <row r="7" spans="1:33">
      <c r="A7" s="234">
        <v>630</v>
      </c>
      <c r="B7" s="235">
        <f t="shared" si="0"/>
        <v>1.1454545454545455</v>
      </c>
      <c r="C7" s="236">
        <v>55</v>
      </c>
      <c r="D7" s="236">
        <v>10</v>
      </c>
      <c r="E7" s="237">
        <v>1</v>
      </c>
      <c r="F7" s="236">
        <v>30</v>
      </c>
      <c r="G7" s="236">
        <v>10</v>
      </c>
      <c r="H7" s="237">
        <v>1</v>
      </c>
      <c r="I7" s="236">
        <v>30</v>
      </c>
      <c r="J7" s="236">
        <v>5</v>
      </c>
      <c r="K7" s="238">
        <v>1</v>
      </c>
      <c r="L7" s="240">
        <f t="shared" si="11"/>
        <v>3</v>
      </c>
      <c r="M7" s="240">
        <f t="shared" si="12"/>
        <v>550</v>
      </c>
      <c r="N7" s="241">
        <f t="shared" si="1"/>
        <v>0</v>
      </c>
      <c r="O7" s="241">
        <f t="shared" si="2"/>
        <v>300</v>
      </c>
      <c r="P7" s="241">
        <f t="shared" si="3"/>
        <v>0</v>
      </c>
      <c r="Q7" s="242">
        <f t="shared" si="4"/>
        <v>0</v>
      </c>
      <c r="R7" s="242">
        <f t="shared" si="5"/>
        <v>150</v>
      </c>
      <c r="S7" s="240">
        <f t="shared" si="13"/>
        <v>130</v>
      </c>
      <c r="T7" s="241">
        <f t="shared" si="6"/>
        <v>0</v>
      </c>
      <c r="U7" s="241">
        <f t="shared" si="7"/>
        <v>80</v>
      </c>
      <c r="V7" s="241">
        <f t="shared" si="8"/>
        <v>0</v>
      </c>
      <c r="W7" s="242">
        <f t="shared" si="9"/>
        <v>0</v>
      </c>
      <c r="X7" s="242">
        <f t="shared" si="10"/>
        <v>70</v>
      </c>
      <c r="Y7" s="234">
        <v>1016279</v>
      </c>
      <c r="Z7" s="236">
        <v>1016268</v>
      </c>
      <c r="AA7" s="243">
        <f>SUMIF('Busbar Calculations'!$A:$A,"=630",'Busbar Calculations'!N:N)+SUMIF('Busbar Calculations'!$A:$A,"=630",'Busbar Calculations'!O:O)+SUMIF('Busbar Calculations'!$A:$A,"=630",'Busbar Calculations'!Q:Q)</f>
        <v>0</v>
      </c>
      <c r="AB7" s="245">
        <v>1016263</v>
      </c>
      <c r="AC7" s="236">
        <v>1011784</v>
      </c>
      <c r="AD7" s="243">
        <f>SUMIF('Busbar Calculations'!$A:$A,"=630",'Busbar Calculations'!P:P)+SUMIF('Busbar Calculations'!$A:$A,"=630",'Busbar Calculations'!R:R)</f>
        <v>0</v>
      </c>
      <c r="AE7" s="234">
        <v>1016259</v>
      </c>
      <c r="AF7" s="244">
        <v>1030335</v>
      </c>
      <c r="AG7" s="243">
        <f>SUMIF('Busbar Calculations'!$A:$A,"=630",'Busbar Calculations'!S:S)</f>
        <v>0</v>
      </c>
    </row>
    <row r="8" spans="1:33">
      <c r="A8" s="234">
        <v>800</v>
      </c>
      <c r="B8" s="235">
        <f t="shared" si="0"/>
        <v>1.4545454545454546</v>
      </c>
      <c r="C8" s="236">
        <v>55</v>
      </c>
      <c r="D8" s="236">
        <v>10</v>
      </c>
      <c r="E8" s="237">
        <v>1</v>
      </c>
      <c r="F8" s="246">
        <v>30</v>
      </c>
      <c r="G8" s="246">
        <v>10</v>
      </c>
      <c r="H8" s="241">
        <v>1</v>
      </c>
      <c r="I8" s="236">
        <v>30</v>
      </c>
      <c r="J8" s="236">
        <v>5</v>
      </c>
      <c r="K8" s="238">
        <v>1</v>
      </c>
      <c r="L8" s="240">
        <f t="shared" si="11"/>
        <v>3</v>
      </c>
      <c r="M8" s="240">
        <f t="shared" si="12"/>
        <v>550</v>
      </c>
      <c r="N8" s="241">
        <f t="shared" si="1"/>
        <v>0</v>
      </c>
      <c r="O8" s="241">
        <f t="shared" si="2"/>
        <v>300</v>
      </c>
      <c r="P8" s="241">
        <f t="shared" si="3"/>
        <v>0</v>
      </c>
      <c r="Q8" s="242">
        <f t="shared" si="4"/>
        <v>0</v>
      </c>
      <c r="R8" s="242">
        <f t="shared" si="5"/>
        <v>150</v>
      </c>
      <c r="S8" s="240">
        <f t="shared" si="13"/>
        <v>130</v>
      </c>
      <c r="T8" s="241">
        <f t="shared" si="6"/>
        <v>0</v>
      </c>
      <c r="U8" s="241">
        <f t="shared" si="7"/>
        <v>80</v>
      </c>
      <c r="V8" s="241">
        <f t="shared" si="8"/>
        <v>0</v>
      </c>
      <c r="W8" s="242">
        <f t="shared" si="9"/>
        <v>0</v>
      </c>
      <c r="X8" s="242">
        <f t="shared" si="10"/>
        <v>70</v>
      </c>
      <c r="Y8" s="234">
        <v>1016279</v>
      </c>
      <c r="Z8" s="236">
        <v>1016268</v>
      </c>
      <c r="AA8" s="243">
        <f>SUMIF('Busbar Calculations'!$A:$A,"=800",'Busbar Calculations'!N:N)+SUMIF('Busbar Calculations'!$A:$A,"=800",'Busbar Calculations'!O:O)+SUMIF('Busbar Calculations'!$A:$A,"=800",'Busbar Calculations'!Q:Q)</f>
        <v>0</v>
      </c>
      <c r="AB8" s="245">
        <v>1016263</v>
      </c>
      <c r="AC8" s="236">
        <v>1011784</v>
      </c>
      <c r="AD8" s="243">
        <f>SUMIF('Busbar Calculations'!$A:$A,"=800",'Busbar Calculations'!P:P)+SUMIF('Busbar Calculations'!$A:$A,"=800",'Busbar Calculations'!R:R)</f>
        <v>0</v>
      </c>
      <c r="AE8" s="234">
        <v>1016259</v>
      </c>
      <c r="AF8" s="244">
        <v>1030335</v>
      </c>
      <c r="AG8" s="243">
        <f>SUMIF('Busbar Calculations'!$A:$A,"=800",'Busbar Calculations'!S:S)</f>
        <v>0</v>
      </c>
    </row>
    <row r="9" spans="1:33">
      <c r="A9" s="234">
        <v>1000</v>
      </c>
      <c r="B9" s="235">
        <f t="shared" si="0"/>
        <v>1.4285714285714286</v>
      </c>
      <c r="C9" s="236">
        <v>70</v>
      </c>
      <c r="D9" s="236">
        <v>10</v>
      </c>
      <c r="E9" s="237">
        <v>1</v>
      </c>
      <c r="F9" s="236">
        <v>40</v>
      </c>
      <c r="G9" s="236">
        <v>10</v>
      </c>
      <c r="H9" s="237">
        <v>1</v>
      </c>
      <c r="I9" s="236">
        <v>40</v>
      </c>
      <c r="J9" s="236">
        <v>5</v>
      </c>
      <c r="K9" s="238">
        <v>1</v>
      </c>
      <c r="L9" s="240">
        <f t="shared" si="11"/>
        <v>3</v>
      </c>
      <c r="M9" s="240">
        <f t="shared" si="12"/>
        <v>700</v>
      </c>
      <c r="N9" s="241">
        <f t="shared" si="1"/>
        <v>0</v>
      </c>
      <c r="O9" s="241">
        <f t="shared" si="2"/>
        <v>400</v>
      </c>
      <c r="P9" s="241">
        <f t="shared" si="3"/>
        <v>0</v>
      </c>
      <c r="Q9" s="242">
        <f t="shared" si="4"/>
        <v>0</v>
      </c>
      <c r="R9" s="242">
        <f t="shared" si="5"/>
        <v>200</v>
      </c>
      <c r="S9" s="240">
        <f t="shared" si="13"/>
        <v>160</v>
      </c>
      <c r="T9" s="241">
        <f t="shared" si="6"/>
        <v>0</v>
      </c>
      <c r="U9" s="241">
        <f t="shared" si="7"/>
        <v>100</v>
      </c>
      <c r="V9" s="241">
        <f t="shared" si="8"/>
        <v>0</v>
      </c>
      <c r="W9" s="242">
        <f t="shared" si="9"/>
        <v>0</v>
      </c>
      <c r="X9" s="242">
        <f t="shared" si="10"/>
        <v>90</v>
      </c>
      <c r="Y9" s="234">
        <v>1016275</v>
      </c>
      <c r="Z9" s="236">
        <v>1016266</v>
      </c>
      <c r="AA9" s="243">
        <f>SUMIF('Busbar Calculations'!$A:$A,"=1000",'Busbar Calculations'!N:N)++SUMIF('Busbar Calculations'!$A:$A,"=1000",'Busbar Calculations'!O:O)+SUMIF('Busbar Calculations'!$A:$A,"=1000",'Busbar Calculations'!Q:Q)</f>
        <v>0</v>
      </c>
      <c r="AB9" s="245">
        <v>1013430</v>
      </c>
      <c r="AC9" s="236">
        <v>1016264</v>
      </c>
      <c r="AD9" s="243">
        <f>SUMIF('Busbar Calculations'!$A:$A,"=1000",'Busbar Calculations'!P:P)+SUMIF('Busbar Calculations'!$A:$A,"=1000",'Busbar Calculations'!R:R)</f>
        <v>0</v>
      </c>
      <c r="AE9" s="234">
        <v>1016260</v>
      </c>
      <c r="AF9" s="244">
        <v>1011781</v>
      </c>
      <c r="AG9" s="243">
        <f>SUMIF('Busbar Calculations'!$A:$A,"=1000",'Busbar Calculations'!S:S)</f>
        <v>0</v>
      </c>
    </row>
    <row r="10" spans="1:33">
      <c r="A10" s="234">
        <v>1200</v>
      </c>
      <c r="B10" s="235">
        <f t="shared" si="0"/>
        <v>1.411764705882353</v>
      </c>
      <c r="C10" s="236">
        <v>85</v>
      </c>
      <c r="D10" s="236">
        <v>10</v>
      </c>
      <c r="E10" s="237">
        <v>1</v>
      </c>
      <c r="F10" s="236">
        <v>40</v>
      </c>
      <c r="G10" s="236">
        <v>10</v>
      </c>
      <c r="H10" s="237">
        <v>1</v>
      </c>
      <c r="I10" s="236">
        <v>40</v>
      </c>
      <c r="J10" s="236">
        <v>5</v>
      </c>
      <c r="K10" s="238">
        <v>1</v>
      </c>
      <c r="L10" s="240">
        <f t="shared" si="11"/>
        <v>3</v>
      </c>
      <c r="M10" s="240">
        <f t="shared" si="12"/>
        <v>850</v>
      </c>
      <c r="N10" s="241">
        <f t="shared" si="1"/>
        <v>0</v>
      </c>
      <c r="O10" s="241">
        <f t="shared" si="2"/>
        <v>400</v>
      </c>
      <c r="P10" s="241">
        <f t="shared" si="3"/>
        <v>0</v>
      </c>
      <c r="Q10" s="242">
        <f t="shared" si="4"/>
        <v>0</v>
      </c>
      <c r="R10" s="242">
        <f t="shared" si="5"/>
        <v>200</v>
      </c>
      <c r="S10" s="240">
        <f t="shared" si="13"/>
        <v>190</v>
      </c>
      <c r="T10" s="241">
        <f t="shared" si="6"/>
        <v>0</v>
      </c>
      <c r="U10" s="241">
        <f t="shared" si="7"/>
        <v>100</v>
      </c>
      <c r="V10" s="241">
        <f t="shared" si="8"/>
        <v>0</v>
      </c>
      <c r="W10" s="242">
        <f t="shared" si="9"/>
        <v>0</v>
      </c>
      <c r="X10" s="242">
        <f t="shared" si="10"/>
        <v>90</v>
      </c>
      <c r="Y10" s="234">
        <v>1016280</v>
      </c>
      <c r="Z10" s="236">
        <v>1016269</v>
      </c>
      <c r="AA10" s="243">
        <f>SUMIF('Busbar Calculations'!$A:$A,"=1200",'Busbar Calculations'!N:N)++SUMIF('Busbar Calculations'!$A:$A,"=1200",'Busbar Calculations'!O:O)+SUMIF('Busbar Calculations'!$A:$A,"=1200",'Busbar Calculations'!Q:Q)</f>
        <v>0</v>
      </c>
      <c r="AB10" s="245">
        <v>1013430</v>
      </c>
      <c r="AC10" s="236">
        <v>1016264</v>
      </c>
      <c r="AD10" s="243">
        <f>SUMIF('Busbar Calculations'!$A:$A,"=1200",'Busbar Calculations'!P:P)+SUMIF('Busbar Calculations'!$A:$A,"=1200",'Busbar Calculations'!R:R)</f>
        <v>0</v>
      </c>
      <c r="AE10" s="234">
        <v>1016260</v>
      </c>
      <c r="AF10" s="244">
        <v>1011781</v>
      </c>
      <c r="AG10" s="243">
        <f>SUMIF('Busbar Calculations'!$A:$A,"=1200",'Busbar Calculations'!S:S)</f>
        <v>0</v>
      </c>
    </row>
    <row r="11" spans="1:33">
      <c r="A11" s="234">
        <v>1250</v>
      </c>
      <c r="B11" s="235">
        <f t="shared" si="0"/>
        <v>1.4705882352941178</v>
      </c>
      <c r="C11" s="236">
        <v>85</v>
      </c>
      <c r="D11" s="236">
        <v>10</v>
      </c>
      <c r="E11" s="237">
        <v>1</v>
      </c>
      <c r="F11" s="236">
        <v>55</v>
      </c>
      <c r="G11" s="236">
        <v>10</v>
      </c>
      <c r="H11" s="237">
        <v>1</v>
      </c>
      <c r="I11" s="236">
        <v>30</v>
      </c>
      <c r="J11" s="236">
        <v>10</v>
      </c>
      <c r="K11" s="238">
        <v>1</v>
      </c>
      <c r="L11" s="240">
        <f t="shared" si="11"/>
        <v>3</v>
      </c>
      <c r="M11" s="240">
        <f t="shared" si="12"/>
        <v>850</v>
      </c>
      <c r="N11" s="241">
        <f t="shared" si="1"/>
        <v>0</v>
      </c>
      <c r="O11" s="241">
        <f t="shared" si="2"/>
        <v>550</v>
      </c>
      <c r="P11" s="241">
        <f t="shared" si="3"/>
        <v>0</v>
      </c>
      <c r="Q11" s="242">
        <f t="shared" si="4"/>
        <v>0</v>
      </c>
      <c r="R11" s="242">
        <f t="shared" si="5"/>
        <v>300</v>
      </c>
      <c r="S11" s="240">
        <f t="shared" si="13"/>
        <v>190</v>
      </c>
      <c r="T11" s="241">
        <f t="shared" si="6"/>
        <v>0</v>
      </c>
      <c r="U11" s="241">
        <f t="shared" si="7"/>
        <v>130</v>
      </c>
      <c r="V11" s="241">
        <f t="shared" si="8"/>
        <v>0</v>
      </c>
      <c r="W11" s="242">
        <f t="shared" si="9"/>
        <v>0</v>
      </c>
      <c r="X11" s="242">
        <f t="shared" si="10"/>
        <v>80</v>
      </c>
      <c r="Y11" s="234">
        <v>1016280</v>
      </c>
      <c r="Z11" s="236">
        <v>1016269</v>
      </c>
      <c r="AA11" s="243">
        <f>SUMIF('Busbar Calculations'!$A:$A,"=1250",'Busbar Calculations'!N:N)++SUMIF('Busbar Calculations'!$A:$A,"=1250",'Busbar Calculations'!O:O)+SUMIF('Busbar Calculations'!$A:$A,"=1250",'Busbar Calculations'!Q:Q)</f>
        <v>125.27640000000002</v>
      </c>
      <c r="AB11" s="245">
        <v>1016279</v>
      </c>
      <c r="AC11" s="236">
        <v>1016268</v>
      </c>
      <c r="AD11" s="243">
        <f>SUMIF('Busbar Calculations'!$A:$A,"=1250",'Busbar Calculations'!P:P)+SUMIF('Busbar Calculations'!$A:$A,"=1250",'Busbar Calculations'!R:R)</f>
        <v>0</v>
      </c>
      <c r="AE11" s="234">
        <v>1016263</v>
      </c>
      <c r="AF11" s="236">
        <v>1011784</v>
      </c>
      <c r="AG11" s="243">
        <f>SUMIF('Busbar Calculations'!$A:$A,"=1250",'Busbar Calculations'!S:S)</f>
        <v>0</v>
      </c>
    </row>
    <row r="12" spans="1:33">
      <c r="A12" s="234">
        <v>1600</v>
      </c>
      <c r="B12" s="235">
        <f t="shared" si="0"/>
        <v>1.4545454545454546</v>
      </c>
      <c r="C12" s="236">
        <v>55</v>
      </c>
      <c r="D12" s="236">
        <v>10</v>
      </c>
      <c r="E12" s="237">
        <v>2</v>
      </c>
      <c r="F12" s="236">
        <v>55</v>
      </c>
      <c r="G12" s="236">
        <v>10</v>
      </c>
      <c r="H12" s="237">
        <v>1</v>
      </c>
      <c r="I12" s="246">
        <v>30</v>
      </c>
      <c r="J12" s="246">
        <v>10</v>
      </c>
      <c r="K12" s="247">
        <v>1</v>
      </c>
      <c r="L12" s="240">
        <f t="shared" si="11"/>
        <v>3</v>
      </c>
      <c r="M12" s="240">
        <f t="shared" si="12"/>
        <v>1100</v>
      </c>
      <c r="N12" s="241">
        <f t="shared" si="1"/>
        <v>0</v>
      </c>
      <c r="O12" s="241">
        <f t="shared" si="2"/>
        <v>550</v>
      </c>
      <c r="P12" s="241">
        <f t="shared" si="3"/>
        <v>0</v>
      </c>
      <c r="Q12" s="242">
        <f t="shared" si="4"/>
        <v>0</v>
      </c>
      <c r="R12" s="242">
        <f t="shared" si="5"/>
        <v>300</v>
      </c>
      <c r="S12" s="240">
        <f t="shared" si="13"/>
        <v>260</v>
      </c>
      <c r="T12" s="241">
        <f t="shared" si="6"/>
        <v>0</v>
      </c>
      <c r="U12" s="241">
        <f t="shared" si="7"/>
        <v>130</v>
      </c>
      <c r="V12" s="241">
        <f t="shared" si="8"/>
        <v>0</v>
      </c>
      <c r="W12" s="242">
        <f t="shared" si="9"/>
        <v>0</v>
      </c>
      <c r="X12" s="242">
        <f t="shared" si="10"/>
        <v>80</v>
      </c>
      <c r="Y12" s="234">
        <v>1016279</v>
      </c>
      <c r="Z12" s="236">
        <v>1016268</v>
      </c>
      <c r="AA12" s="243">
        <f>SUMIF('Busbar Calculations'!$A:$A,"=1600",'Busbar Calculations'!N:N)++SUMIF('Busbar Calculations'!$A:$A,"=1600",'Busbar Calculations'!O:O)+SUMIF('Busbar Calculations'!$A:$A,"=1600",'Busbar Calculations'!Q:Q)</f>
        <v>0</v>
      </c>
      <c r="AB12" s="245">
        <v>1016279</v>
      </c>
      <c r="AC12" s="236">
        <v>1016268</v>
      </c>
      <c r="AD12" s="243">
        <f>SUMIF('Busbar Calculations'!$A:$A,"=1600",'Busbar Calculations'!P:P)+SUMIF('Busbar Calculations'!$A:$A,"=1600",'Busbar Calculations'!R:R)</f>
        <v>0</v>
      </c>
      <c r="AE12" s="234">
        <v>1016263</v>
      </c>
      <c r="AF12" s="236">
        <v>1011784</v>
      </c>
      <c r="AG12" s="243">
        <f>SUMIF('Busbar Calculations'!$A:$A,"=1600",'Busbar Calculations'!S:S)</f>
        <v>0</v>
      </c>
    </row>
    <row r="13" spans="1:33">
      <c r="A13" s="234">
        <v>2000</v>
      </c>
      <c r="B13" s="235">
        <f t="shared" si="0"/>
        <v>1.4285714285714286</v>
      </c>
      <c r="C13" s="236">
        <v>70</v>
      </c>
      <c r="D13" s="236">
        <v>10</v>
      </c>
      <c r="E13" s="237">
        <v>2</v>
      </c>
      <c r="F13" s="236">
        <v>70</v>
      </c>
      <c r="G13" s="236">
        <v>10</v>
      </c>
      <c r="H13" s="237">
        <v>1</v>
      </c>
      <c r="I13" s="236">
        <v>40</v>
      </c>
      <c r="J13" s="236">
        <v>10</v>
      </c>
      <c r="K13" s="238">
        <v>1</v>
      </c>
      <c r="L13" s="240">
        <f t="shared" si="11"/>
        <v>3</v>
      </c>
      <c r="M13" s="240">
        <f t="shared" si="12"/>
        <v>1400</v>
      </c>
      <c r="N13" s="241">
        <f t="shared" si="1"/>
        <v>0</v>
      </c>
      <c r="O13" s="241">
        <f t="shared" si="2"/>
        <v>700</v>
      </c>
      <c r="P13" s="241">
        <f t="shared" si="3"/>
        <v>0</v>
      </c>
      <c r="Q13" s="242">
        <f t="shared" si="4"/>
        <v>0</v>
      </c>
      <c r="R13" s="242">
        <f t="shared" si="5"/>
        <v>400</v>
      </c>
      <c r="S13" s="240">
        <f t="shared" si="13"/>
        <v>320</v>
      </c>
      <c r="T13" s="241">
        <f t="shared" si="6"/>
        <v>0</v>
      </c>
      <c r="U13" s="241">
        <f t="shared" si="7"/>
        <v>160</v>
      </c>
      <c r="V13" s="241">
        <f t="shared" si="8"/>
        <v>0</v>
      </c>
      <c r="W13" s="242">
        <f t="shared" si="9"/>
        <v>0</v>
      </c>
      <c r="X13" s="242">
        <f t="shared" si="10"/>
        <v>100</v>
      </c>
      <c r="Y13" s="234">
        <v>1016275</v>
      </c>
      <c r="Z13" s="236">
        <v>1016266</v>
      </c>
      <c r="AA13" s="243">
        <f>SUMIF('Busbar Calculations'!$A:$A,"=2000",'Busbar Calculations'!N:N)+SUMIF('Busbar Calculations'!$A:$A,"=2000",'Busbar Calculations'!O:O)+SUMIF('Busbar Calculations'!$A:$A,"=2000",'Busbar Calculations'!Q:Q)</f>
        <v>0</v>
      </c>
      <c r="AB13" s="245">
        <v>1016275</v>
      </c>
      <c r="AC13" s="236">
        <v>1016266</v>
      </c>
      <c r="AD13" s="243">
        <f>SUMIF('Busbar Calculations'!$A:$A,"=2000",'Busbar Calculations'!P:P)+SUMIF('Busbar Calculations'!$A:$A,"=2000",'Busbar Calculations'!R:R)</f>
        <v>0</v>
      </c>
      <c r="AE13" s="234">
        <v>1013430</v>
      </c>
      <c r="AF13" s="244">
        <v>1016264</v>
      </c>
      <c r="AG13" s="243">
        <f>SUMIF('Busbar Calculations'!$A:$A,"=2000",'Busbar Calculations'!S:S)</f>
        <v>0</v>
      </c>
    </row>
    <row r="14" spans="1:33">
      <c r="A14" s="234">
        <v>2500</v>
      </c>
      <c r="B14" s="235">
        <f t="shared" si="0"/>
        <v>1.4705882352941178</v>
      </c>
      <c r="C14" s="236">
        <v>85</v>
      </c>
      <c r="D14" s="236">
        <v>10</v>
      </c>
      <c r="E14" s="237">
        <v>2</v>
      </c>
      <c r="F14" s="236">
        <v>55</v>
      </c>
      <c r="G14" s="236">
        <v>10</v>
      </c>
      <c r="H14" s="237">
        <v>2</v>
      </c>
      <c r="I14" s="236">
        <v>55</v>
      </c>
      <c r="J14" s="236">
        <v>10</v>
      </c>
      <c r="K14" s="238">
        <v>1</v>
      </c>
      <c r="L14" s="240">
        <f t="shared" si="11"/>
        <v>3</v>
      </c>
      <c r="M14" s="240">
        <f t="shared" si="12"/>
        <v>1700</v>
      </c>
      <c r="N14" s="241">
        <f t="shared" si="1"/>
        <v>0</v>
      </c>
      <c r="O14" s="241">
        <f t="shared" si="2"/>
        <v>1100</v>
      </c>
      <c r="P14" s="241">
        <f t="shared" si="3"/>
        <v>0</v>
      </c>
      <c r="Q14" s="242">
        <f t="shared" si="4"/>
        <v>0</v>
      </c>
      <c r="R14" s="242">
        <f t="shared" si="5"/>
        <v>550</v>
      </c>
      <c r="S14" s="240">
        <f t="shared" si="13"/>
        <v>380</v>
      </c>
      <c r="T14" s="241">
        <f t="shared" si="6"/>
        <v>0</v>
      </c>
      <c r="U14" s="241">
        <f t="shared" si="7"/>
        <v>260</v>
      </c>
      <c r="V14" s="241">
        <f t="shared" si="8"/>
        <v>0</v>
      </c>
      <c r="W14" s="242">
        <f t="shared" si="9"/>
        <v>0</v>
      </c>
      <c r="X14" s="242">
        <f t="shared" si="10"/>
        <v>130</v>
      </c>
      <c r="Y14" s="234">
        <v>1016280</v>
      </c>
      <c r="Z14" s="236">
        <v>1016269</v>
      </c>
      <c r="AA14" s="243">
        <f>SUMIF('Busbar Calculations'!$A:$A,"=2500",'Busbar Calculations'!N:N)+SUMIF('Busbar Calculations'!$A:$A,"=2500",'Busbar Calculations'!O:O)+SUMIF('Busbar Calculations'!$A:$A,"=2500",'Busbar Calculations'!Q:Q)</f>
        <v>0</v>
      </c>
      <c r="AB14" s="245">
        <v>1016279</v>
      </c>
      <c r="AC14" s="236">
        <v>1016268</v>
      </c>
      <c r="AD14" s="243">
        <f>SUMIF('Busbar Calculations'!$A:$A,"=2500",'Busbar Calculations'!P:P)+SUMIF('Busbar Calculations'!$A:$A,"=2500",'Busbar Calculations'!R:R)</f>
        <v>0</v>
      </c>
      <c r="AE14" s="234">
        <v>1016279</v>
      </c>
      <c r="AF14" s="244">
        <v>1016268</v>
      </c>
      <c r="AG14" s="243">
        <f>SUMIF('Busbar Calculations'!$A:$A,"=2500",'Busbar Calculations'!S:S)</f>
        <v>0</v>
      </c>
    </row>
    <row r="15" spans="1:33">
      <c r="A15" s="248">
        <v>3000</v>
      </c>
      <c r="B15" s="249">
        <f t="shared" si="0"/>
        <v>1.5</v>
      </c>
      <c r="C15" s="250">
        <v>100</v>
      </c>
      <c r="D15" s="250">
        <v>10</v>
      </c>
      <c r="E15" s="251">
        <v>2</v>
      </c>
      <c r="F15" s="250">
        <v>55</v>
      </c>
      <c r="G15" s="250">
        <v>10</v>
      </c>
      <c r="H15" s="251">
        <v>2</v>
      </c>
      <c r="I15" s="250">
        <v>55</v>
      </c>
      <c r="J15" s="250">
        <v>10</v>
      </c>
      <c r="K15" s="252">
        <v>1</v>
      </c>
      <c r="L15" s="240">
        <f t="shared" si="11"/>
        <v>3</v>
      </c>
      <c r="M15" s="240">
        <f t="shared" si="12"/>
        <v>2000</v>
      </c>
      <c r="N15" s="241">
        <f t="shared" si="1"/>
        <v>0</v>
      </c>
      <c r="O15" s="241">
        <f t="shared" si="2"/>
        <v>1100</v>
      </c>
      <c r="P15" s="241">
        <f t="shared" si="3"/>
        <v>0</v>
      </c>
      <c r="Q15" s="242">
        <f t="shared" si="4"/>
        <v>0</v>
      </c>
      <c r="R15" s="242">
        <f t="shared" si="5"/>
        <v>550</v>
      </c>
      <c r="S15" s="240">
        <f t="shared" si="13"/>
        <v>440</v>
      </c>
      <c r="T15" s="241">
        <f t="shared" si="6"/>
        <v>0</v>
      </c>
      <c r="U15" s="241">
        <f t="shared" si="7"/>
        <v>260</v>
      </c>
      <c r="V15" s="241">
        <f t="shared" si="8"/>
        <v>0</v>
      </c>
      <c r="W15" s="242">
        <f t="shared" si="9"/>
        <v>0</v>
      </c>
      <c r="X15" s="242">
        <f t="shared" si="10"/>
        <v>130</v>
      </c>
      <c r="Y15" s="234">
        <v>1016276</v>
      </c>
      <c r="Z15" s="236">
        <v>1016267</v>
      </c>
      <c r="AA15" s="243">
        <f>SUMIF('Busbar Calculations'!$A:$A,"=3000",'Busbar Calculations'!N:N)+SUMIF('Busbar Calculations'!$A:$A,"=3000",'Busbar Calculations'!O:O)+SUMIF('Busbar Calculations'!$A:$A,"=3000",'Busbar Calculations'!Q:Q)</f>
        <v>0</v>
      </c>
      <c r="AB15" s="245">
        <v>1016279</v>
      </c>
      <c r="AC15" s="236">
        <v>1016268</v>
      </c>
      <c r="AD15" s="243">
        <f>SUMIF('Busbar Calculations'!$A:$A,"=3000",'Busbar Calculations'!P:P)+SUMIF('Busbar Calculations'!$A:$A,"=3000",'Busbar Calculations'!R:R)</f>
        <v>0</v>
      </c>
      <c r="AE15" s="234">
        <v>1016279</v>
      </c>
      <c r="AF15" s="244">
        <v>1016268</v>
      </c>
      <c r="AG15" s="243">
        <f>SUMIF('Busbar Calculations'!$A:$A,"=3000",'Busbar Calculations'!S:S)</f>
        <v>0</v>
      </c>
    </row>
    <row r="16" spans="1:33">
      <c r="A16" s="248">
        <v>3200</v>
      </c>
      <c r="B16" s="249">
        <f t="shared" si="0"/>
        <v>1.2549019607843137</v>
      </c>
      <c r="C16" s="250">
        <v>85</v>
      </c>
      <c r="D16" s="250">
        <v>10</v>
      </c>
      <c r="E16" s="251">
        <v>3</v>
      </c>
      <c r="F16" s="250">
        <v>55</v>
      </c>
      <c r="G16" s="250">
        <v>10</v>
      </c>
      <c r="H16" s="251">
        <v>2</v>
      </c>
      <c r="I16" s="250">
        <v>55</v>
      </c>
      <c r="J16" s="250">
        <v>10</v>
      </c>
      <c r="K16" s="252">
        <v>1</v>
      </c>
      <c r="L16" s="240">
        <f t="shared" si="11"/>
        <v>3</v>
      </c>
      <c r="M16" s="240">
        <f t="shared" si="12"/>
        <v>2550</v>
      </c>
      <c r="N16" s="241">
        <f t="shared" si="1"/>
        <v>0</v>
      </c>
      <c r="O16" s="241">
        <f t="shared" si="2"/>
        <v>1100</v>
      </c>
      <c r="P16" s="241">
        <f t="shared" si="3"/>
        <v>0</v>
      </c>
      <c r="Q16" s="242">
        <f t="shared" si="4"/>
        <v>0</v>
      </c>
      <c r="R16" s="242">
        <f t="shared" si="5"/>
        <v>550</v>
      </c>
      <c r="S16" s="240">
        <f t="shared" si="13"/>
        <v>570</v>
      </c>
      <c r="T16" s="241">
        <f t="shared" si="6"/>
        <v>0</v>
      </c>
      <c r="U16" s="241">
        <f t="shared" si="7"/>
        <v>260</v>
      </c>
      <c r="V16" s="241">
        <f t="shared" si="8"/>
        <v>0</v>
      </c>
      <c r="W16" s="242">
        <f t="shared" si="9"/>
        <v>0</v>
      </c>
      <c r="X16" s="242">
        <f t="shared" si="10"/>
        <v>130</v>
      </c>
      <c r="Y16" s="234">
        <v>1016280</v>
      </c>
      <c r="Z16" s="236">
        <v>1016269</v>
      </c>
      <c r="AA16" s="243">
        <f>SUMIF('Busbar Calculations'!$A:$A,"=3200",'Busbar Calculations'!N:N)+SUMIF('Busbar Calculations'!$A:$A,"=3200",'Busbar Calculations'!O:O)+SUMIF('Busbar Calculations'!$A:$A,"=3200",'Busbar Calculations'!Q:Q)</f>
        <v>0</v>
      </c>
      <c r="AB16" s="245">
        <v>1016279</v>
      </c>
      <c r="AC16" s="236">
        <v>1016268</v>
      </c>
      <c r="AD16" s="243">
        <f>SUMIF('Busbar Calculations'!$A:$A,"=3200",'Busbar Calculations'!P:P)+SUMIF('Busbar Calculations'!$A:$A,"=3200",'Busbar Calculations'!R:R)</f>
        <v>0</v>
      </c>
      <c r="AE16" s="234">
        <v>1016279</v>
      </c>
      <c r="AF16" s="244">
        <v>1016268</v>
      </c>
      <c r="AG16" s="243">
        <f>SUMIF('Busbar Calculations'!$A:$A,"=3200",'Busbar Calculations'!S:S)</f>
        <v>0</v>
      </c>
    </row>
    <row r="17" spans="1:33">
      <c r="A17" s="248">
        <v>4000</v>
      </c>
      <c r="B17" s="249">
        <f t="shared" si="0"/>
        <v>1.3333333333333333</v>
      </c>
      <c r="C17" s="250">
        <v>100</v>
      </c>
      <c r="D17" s="250">
        <v>10</v>
      </c>
      <c r="E17" s="251">
        <v>3</v>
      </c>
      <c r="F17" s="250">
        <v>70</v>
      </c>
      <c r="G17" s="250">
        <v>10</v>
      </c>
      <c r="H17" s="251">
        <v>2</v>
      </c>
      <c r="I17" s="250">
        <v>70</v>
      </c>
      <c r="J17" s="250">
        <v>10</v>
      </c>
      <c r="K17" s="252">
        <v>1</v>
      </c>
      <c r="L17" s="240">
        <f t="shared" si="11"/>
        <v>3</v>
      </c>
      <c r="M17" s="240">
        <f t="shared" si="12"/>
        <v>3000</v>
      </c>
      <c r="N17" s="241">
        <f t="shared" si="1"/>
        <v>0</v>
      </c>
      <c r="O17" s="241">
        <f t="shared" si="2"/>
        <v>1400</v>
      </c>
      <c r="P17" s="241">
        <f t="shared" si="3"/>
        <v>0</v>
      </c>
      <c r="Q17" s="242">
        <f t="shared" si="4"/>
        <v>0</v>
      </c>
      <c r="R17" s="242">
        <f t="shared" si="5"/>
        <v>700</v>
      </c>
      <c r="S17" s="240">
        <f t="shared" si="13"/>
        <v>660</v>
      </c>
      <c r="T17" s="241">
        <f t="shared" si="6"/>
        <v>0</v>
      </c>
      <c r="U17" s="241">
        <f t="shared" si="7"/>
        <v>320</v>
      </c>
      <c r="V17" s="241">
        <f t="shared" si="8"/>
        <v>0</v>
      </c>
      <c r="W17" s="242">
        <f t="shared" si="9"/>
        <v>0</v>
      </c>
      <c r="X17" s="242">
        <f t="shared" si="10"/>
        <v>160</v>
      </c>
      <c r="Y17" s="234">
        <v>1016276</v>
      </c>
      <c r="Z17" s="236">
        <v>1016267</v>
      </c>
      <c r="AA17" s="243">
        <f>SUMIF('Busbar Calculations'!$A:$A,"=4000",'Busbar Calculations'!N:N)+SUMIF('Busbar Calculations'!$A:$A,"=4000",'Busbar Calculations'!O:O)+SUMIF('Busbar Calculations'!$A:$A,"=4000",'Busbar Calculations'!Q:Q)</f>
        <v>380.47500000000008</v>
      </c>
      <c r="AB17" s="245">
        <v>1016275</v>
      </c>
      <c r="AC17" s="236">
        <v>1016266</v>
      </c>
      <c r="AD17" s="243">
        <f>SUMIF('Busbar Calculations'!$A:$A,"=4000",'Busbar Calculations'!P:P)+SUMIF('Busbar Calculations'!$A:$A,"=4000",'Busbar Calculations'!R:R)</f>
        <v>32.396000000000001</v>
      </c>
      <c r="AE17" s="234">
        <v>1016275</v>
      </c>
      <c r="AF17" s="244">
        <v>1016266</v>
      </c>
      <c r="AG17" s="243">
        <f>SUMIF('Busbar Calculations'!$A:$A,"=4000",'Busbar Calculations'!S:S)</f>
        <v>16.198</v>
      </c>
    </row>
    <row r="18" spans="1:33">
      <c r="A18" s="248">
        <v>5000</v>
      </c>
      <c r="B18" s="249">
        <f t="shared" si="0"/>
        <v>1</v>
      </c>
      <c r="C18" s="250">
        <v>100</v>
      </c>
      <c r="D18" s="250">
        <v>10</v>
      </c>
      <c r="E18" s="251">
        <v>5</v>
      </c>
      <c r="F18" s="250">
        <v>85</v>
      </c>
      <c r="G18" s="250">
        <v>10</v>
      </c>
      <c r="H18" s="251">
        <v>2</v>
      </c>
      <c r="I18" s="248">
        <v>85</v>
      </c>
      <c r="J18" s="250">
        <v>10</v>
      </c>
      <c r="K18" s="252">
        <v>1</v>
      </c>
      <c r="L18" s="240">
        <f t="shared" si="11"/>
        <v>3</v>
      </c>
      <c r="M18" s="240">
        <f t="shared" si="12"/>
        <v>5000</v>
      </c>
      <c r="N18" s="241">
        <f t="shared" si="1"/>
        <v>0</v>
      </c>
      <c r="O18" s="241">
        <f t="shared" si="2"/>
        <v>1700</v>
      </c>
      <c r="P18" s="241">
        <f t="shared" si="3"/>
        <v>0</v>
      </c>
      <c r="Q18" s="242">
        <f t="shared" si="4"/>
        <v>0</v>
      </c>
      <c r="R18" s="242">
        <f t="shared" si="5"/>
        <v>850</v>
      </c>
      <c r="S18" s="240">
        <f t="shared" si="13"/>
        <v>1100</v>
      </c>
      <c r="T18" s="241">
        <f t="shared" si="6"/>
        <v>0</v>
      </c>
      <c r="U18" s="241">
        <f t="shared" si="7"/>
        <v>380</v>
      </c>
      <c r="V18" s="241">
        <f t="shared" si="8"/>
        <v>0</v>
      </c>
      <c r="W18" s="242">
        <f t="shared" si="9"/>
        <v>0</v>
      </c>
      <c r="X18" s="242">
        <f t="shared" si="10"/>
        <v>190</v>
      </c>
      <c r="Y18" s="234">
        <v>1016276</v>
      </c>
      <c r="Z18" s="236">
        <v>1016267</v>
      </c>
      <c r="AA18" s="243">
        <f>SUMIF('Busbar Calculations'!$A:$A,"=5000",'Busbar Calculations'!N:N)+SUMIF('Busbar Calculations'!$A:$A,"=5000",'Busbar Calculations'!O:O)+SUMIF('Busbar Calculations'!$A:$A,"=5000",'Busbar Calculations'!Q:Q)</f>
        <v>0</v>
      </c>
      <c r="AB18" s="245">
        <v>1016280</v>
      </c>
      <c r="AC18" s="236">
        <v>1016269</v>
      </c>
      <c r="AD18" s="243">
        <f>SUMIF('Busbar Calculations'!$A:$A,"=5000",'Busbar Calculations'!P:P)+SUMIF('Busbar Calculations'!$A:$A,"=5000",'Busbar Calculations'!R:R)</f>
        <v>0</v>
      </c>
      <c r="AE18" s="234">
        <v>1016280</v>
      </c>
      <c r="AF18" s="244">
        <v>1016269</v>
      </c>
      <c r="AG18" s="243">
        <f>SUMIF('Busbar Calculations'!$A:$A,"=5000",'Busbar Calculations'!S:S)</f>
        <v>0</v>
      </c>
    </row>
    <row r="19" spans="1:33" ht="15" thickBot="1">
      <c r="A19" s="253">
        <v>6300</v>
      </c>
      <c r="B19" s="254">
        <f t="shared" si="0"/>
        <v>1.05</v>
      </c>
      <c r="C19" s="255">
        <v>100</v>
      </c>
      <c r="D19" s="255">
        <v>10</v>
      </c>
      <c r="E19" s="256">
        <v>6</v>
      </c>
      <c r="F19" s="255">
        <v>85</v>
      </c>
      <c r="G19" s="255">
        <v>10</v>
      </c>
      <c r="H19" s="256">
        <v>3</v>
      </c>
      <c r="I19" s="253">
        <v>55</v>
      </c>
      <c r="J19" s="255">
        <v>10</v>
      </c>
      <c r="K19" s="257">
        <v>2</v>
      </c>
      <c r="L19" s="268">
        <f t="shared" si="11"/>
        <v>3</v>
      </c>
      <c r="M19" s="258">
        <f t="shared" si="12"/>
        <v>6000</v>
      </c>
      <c r="N19" s="259">
        <f t="shared" si="1"/>
        <v>0</v>
      </c>
      <c r="O19" s="259">
        <f t="shared" si="2"/>
        <v>2550</v>
      </c>
      <c r="P19" s="259">
        <f t="shared" si="3"/>
        <v>0</v>
      </c>
      <c r="Q19" s="260">
        <f t="shared" si="4"/>
        <v>0</v>
      </c>
      <c r="R19" s="260">
        <f t="shared" si="5"/>
        <v>1100</v>
      </c>
      <c r="S19" s="258">
        <f t="shared" si="13"/>
        <v>1320</v>
      </c>
      <c r="T19" s="259">
        <f t="shared" si="6"/>
        <v>0</v>
      </c>
      <c r="U19" s="259">
        <f t="shared" si="7"/>
        <v>570</v>
      </c>
      <c r="V19" s="259">
        <f t="shared" si="8"/>
        <v>0</v>
      </c>
      <c r="W19" s="260">
        <f t="shared" si="9"/>
        <v>0</v>
      </c>
      <c r="X19" s="260">
        <f t="shared" si="10"/>
        <v>260</v>
      </c>
      <c r="Y19" s="261">
        <v>1016276</v>
      </c>
      <c r="Z19" s="262">
        <v>1016267</v>
      </c>
      <c r="AA19" s="263">
        <f>SUMIF('Busbar Calculations'!$A:$A,"=6300",'Busbar Calculations'!N:N)+SUMIF('Busbar Calculations'!$A:$A,"=6300",'Busbar Calculations'!O:O)+SUMIF('Busbar Calculations'!$A:$A,"=6300",'Busbar Calculations'!Q:Q)</f>
        <v>0</v>
      </c>
      <c r="AB19" s="264">
        <v>1016280</v>
      </c>
      <c r="AC19" s="262">
        <v>1016269</v>
      </c>
      <c r="AD19" s="263">
        <f>SUMIF('Busbar Calculations'!$A:$A,"=6300",'Busbar Calculations'!P:P)+SUMIF('Busbar Calculations'!$A:$A,"=6300",'Busbar Calculations'!R:R)</f>
        <v>0</v>
      </c>
      <c r="AE19" s="261">
        <v>1016279</v>
      </c>
      <c r="AF19" s="265">
        <v>1016268</v>
      </c>
      <c r="AG19" s="263">
        <f>SUMIF('Busbar Calculations'!$A:$A,"=6300",'Busbar Calculations'!S:S)</f>
        <v>0</v>
      </c>
    </row>
    <row r="20" spans="1:33" ht="15" thickBot="1">
      <c r="Y20" s="61"/>
      <c r="Z20" s="61"/>
      <c r="AA20" s="61"/>
      <c r="AB20" s="61"/>
      <c r="AC20" s="61"/>
      <c r="AD20" s="61"/>
      <c r="AE20" s="61"/>
      <c r="AF20" s="61"/>
      <c r="AG20" s="61"/>
    </row>
    <row r="21" spans="1:33" ht="33.75" customHeight="1" thickBot="1">
      <c r="A21" s="505" t="s">
        <v>44</v>
      </c>
      <c r="B21" s="506"/>
      <c r="C21" s="506"/>
      <c r="D21" s="506"/>
      <c r="E21" s="506"/>
      <c r="F21" s="506"/>
      <c r="G21" s="506"/>
      <c r="H21" s="506"/>
      <c r="I21" s="506"/>
      <c r="J21" s="506"/>
      <c r="K21" s="507"/>
      <c r="L21" s="229"/>
      <c r="M21" s="58"/>
      <c r="N21" s="230"/>
      <c r="O21" s="230"/>
      <c r="P21" s="230"/>
      <c r="Q21" s="230"/>
      <c r="R21" s="230"/>
      <c r="Y21" s="267"/>
      <c r="Z21" s="267"/>
      <c r="AA21" s="267"/>
      <c r="AB21" s="267"/>
      <c r="AC21" s="267"/>
      <c r="AD21" s="267"/>
      <c r="AE21" s="267"/>
      <c r="AF21" s="267"/>
      <c r="AG21" s="267"/>
    </row>
    <row r="22" spans="1:33" ht="33.75" customHeight="1" thickBot="1">
      <c r="A22" s="123"/>
      <c r="B22" s="126"/>
      <c r="C22" s="508">
        <v>1</v>
      </c>
      <c r="D22" s="506"/>
      <c r="E22" s="507"/>
      <c r="F22" s="519">
        <v>0.5</v>
      </c>
      <c r="G22" s="520"/>
      <c r="H22" s="520"/>
      <c r="I22" s="519">
        <v>0.25</v>
      </c>
      <c r="J22" s="520"/>
      <c r="K22" s="520"/>
      <c r="L22" s="123"/>
      <c r="M22" s="514" t="s">
        <v>86</v>
      </c>
      <c r="N22" s="515"/>
      <c r="O22" s="515"/>
      <c r="P22" s="515"/>
      <c r="Q22" s="515"/>
      <c r="R22" s="515"/>
      <c r="S22" s="514" t="s">
        <v>190</v>
      </c>
      <c r="T22" s="515"/>
      <c r="U22" s="515"/>
      <c r="V22" s="515"/>
      <c r="W22" s="515"/>
      <c r="X22" s="515"/>
      <c r="Y22" s="511">
        <v>1</v>
      </c>
      <c r="Z22" s="512"/>
      <c r="AA22" s="513"/>
      <c r="AB22" s="511">
        <v>0.5</v>
      </c>
      <c r="AC22" s="512"/>
      <c r="AD22" s="513"/>
      <c r="AE22" s="511">
        <v>0.25</v>
      </c>
      <c r="AF22" s="512"/>
      <c r="AG22" s="513"/>
    </row>
    <row r="23" spans="1:33" ht="13.5" customHeight="1" thickBot="1">
      <c r="A23" s="231" t="s">
        <v>26</v>
      </c>
      <c r="B23" s="232" t="s">
        <v>42</v>
      </c>
      <c r="C23" s="233" t="s">
        <v>4</v>
      </c>
      <c r="D23" s="233" t="s">
        <v>21</v>
      </c>
      <c r="E23" s="114" t="s">
        <v>22</v>
      </c>
      <c r="F23" s="233" t="s">
        <v>4</v>
      </c>
      <c r="G23" s="233" t="s">
        <v>21</v>
      </c>
      <c r="H23" s="114" t="s">
        <v>22</v>
      </c>
      <c r="I23" s="233" t="s">
        <v>4</v>
      </c>
      <c r="J23" s="233" t="s">
        <v>21</v>
      </c>
      <c r="K23" s="114" t="s">
        <v>22</v>
      </c>
      <c r="L23" s="114" t="s">
        <v>64</v>
      </c>
      <c r="M23" s="113" t="s">
        <v>73</v>
      </c>
      <c r="N23" s="114" t="s">
        <v>263</v>
      </c>
      <c r="O23" s="114" t="s">
        <v>264</v>
      </c>
      <c r="P23" s="114" t="s">
        <v>265</v>
      </c>
      <c r="Q23" s="114" t="s">
        <v>266</v>
      </c>
      <c r="R23" s="114" t="s">
        <v>352</v>
      </c>
      <c r="S23" s="113" t="s">
        <v>73</v>
      </c>
      <c r="T23" s="114" t="s">
        <v>263</v>
      </c>
      <c r="U23" s="114" t="s">
        <v>264</v>
      </c>
      <c r="V23" s="114" t="s">
        <v>265</v>
      </c>
      <c r="W23" s="114" t="s">
        <v>266</v>
      </c>
      <c r="X23" s="114" t="s">
        <v>352</v>
      </c>
      <c r="Y23" s="112" t="s">
        <v>93</v>
      </c>
      <c r="Z23" s="59" t="s">
        <v>94</v>
      </c>
      <c r="AA23" s="59"/>
      <c r="AB23" s="59" t="s">
        <v>93</v>
      </c>
      <c r="AC23" s="59" t="s">
        <v>94</v>
      </c>
      <c r="AD23" s="59"/>
      <c r="AE23" s="59" t="s">
        <v>93</v>
      </c>
      <c r="AF23" s="59" t="s">
        <v>94</v>
      </c>
      <c r="AG23" s="59"/>
    </row>
    <row r="24" spans="1:33">
      <c r="A24" s="234">
        <v>250</v>
      </c>
      <c r="B24" s="235">
        <f>A24/(C24*D24*E24)</f>
        <v>1.25</v>
      </c>
      <c r="C24" s="236">
        <v>20</v>
      </c>
      <c r="D24" s="236">
        <v>10</v>
      </c>
      <c r="E24" s="251">
        <v>1</v>
      </c>
      <c r="F24" s="236">
        <v>20</v>
      </c>
      <c r="G24" s="236">
        <v>5</v>
      </c>
      <c r="H24" s="237">
        <v>1</v>
      </c>
      <c r="I24" s="236">
        <v>20</v>
      </c>
      <c r="J24" s="236">
        <v>5</v>
      </c>
      <c r="K24" s="238">
        <v>1</v>
      </c>
      <c r="L24" s="239">
        <f>IF($D$50=1,3,4)</f>
        <v>3</v>
      </c>
      <c r="M24" s="240">
        <f>($C24*$D24*$E24)</f>
        <v>200</v>
      </c>
      <c r="N24" s="241">
        <f>IF(AND($D$52=2,$L24=3),1,0)*M24</f>
        <v>0</v>
      </c>
      <c r="O24" s="241">
        <f>IF(AND($D$52=1,$L24=3),1,0)*($F24*$G24*$H24)</f>
        <v>100</v>
      </c>
      <c r="P24" s="241">
        <f>IF(AND($L24=3,$D$52=2,$D$54=2),M24,0)+IF(AND($L24=4,$D$54=2),M24,0)</f>
        <v>0</v>
      </c>
      <c r="Q24" s="242">
        <f>IF(AND($L24=3,$D$52=2,$D$54=1),$F24*$G24*$H24,0)+IF(AND($L24=3,$D$52=1,$D$54=2),$F24*$G24*$H24,0)+IF(AND($L24=4,$D$54=1),$F24*$G24*$H24,0)</f>
        <v>0</v>
      </c>
      <c r="R24" s="242">
        <f>IF(AND($L24=3,$D$52=1,$D$54=1),$I24*$J24*$K24,0)</f>
        <v>100</v>
      </c>
      <c r="S24" s="240">
        <f>(($C24+$D24)*2*$E24)</f>
        <v>60</v>
      </c>
      <c r="T24" s="241">
        <f>IF(AND($D$52=2,$L24=3),1,0)*S24</f>
        <v>0</v>
      </c>
      <c r="U24" s="241">
        <f>IF(AND($D$52=1,$L24=3),1,0)*(($F24+$G24)*$H24*2)</f>
        <v>50</v>
      </c>
      <c r="V24" s="241">
        <f>IF(AND($L24=3,$D$52=2,$D$54=2),S24,0)+IF(AND($L24=4,$D$54=2),S24,0)</f>
        <v>0</v>
      </c>
      <c r="W24" s="242">
        <f>IF(AND($L24=3,$D$52=2,$D$54=1),($F24+$G24)*$H24*2,0)+IF(AND($L24=3,$D$52=1,$D$54=2),($F24+$G24)*$H24*2,0)+IF(AND($L24=4,$D$54=1),($F24+$G24)*$H24*2,0)</f>
        <v>0</v>
      </c>
      <c r="X24" s="242">
        <f>IF(AND($L24=3,$D$52=1,$D$54=1),($I24+$J24)*$K24*2,0)</f>
        <v>50</v>
      </c>
      <c r="Y24" s="234">
        <v>1016262</v>
      </c>
      <c r="Z24" s="244">
        <v>1011783</v>
      </c>
      <c r="AA24" s="243">
        <f>SUMIF('Busbar Calculations'!$A:$A,"=250",'Busbar Calculations'!N:N)+SUMIF('Busbar Calculations'!$A:$A,"=250",'Busbar Calculations'!O:O)+SUMIF('Busbar Calculations'!$A:$A,"=250",'Busbar Calculations'!Q:Q)</f>
        <v>4.8060000000000009</v>
      </c>
      <c r="AB24" s="234">
        <v>1011779</v>
      </c>
      <c r="AC24" s="244">
        <v>1016258</v>
      </c>
      <c r="AD24" s="243">
        <f>SUMIF('Busbar Calculations'!$A:$A,"=250",'Busbar Calculations'!P:P)+SUMIF('Busbar Calculations'!$A:$A,"=250",'Busbar Calculations'!R:R)</f>
        <v>0</v>
      </c>
      <c r="AE24" s="234">
        <v>1011779</v>
      </c>
      <c r="AF24" s="244">
        <v>1016258</v>
      </c>
      <c r="AG24" s="243">
        <f>SUMIF('Busbar Calculations'!$A:$A,"=250",'Busbar Calculations'!S:S)</f>
        <v>0</v>
      </c>
    </row>
    <row r="25" spans="1:33">
      <c r="A25" s="234">
        <v>400</v>
      </c>
      <c r="B25" s="235">
        <f t="shared" ref="B25:B39" si="14">A25/(C25*D25*E25)</f>
        <v>1.3333333333333333</v>
      </c>
      <c r="C25" s="236">
        <v>30</v>
      </c>
      <c r="D25" s="236">
        <v>10</v>
      </c>
      <c r="E25" s="251">
        <v>1</v>
      </c>
      <c r="F25" s="236">
        <v>30</v>
      </c>
      <c r="G25" s="236">
        <v>5</v>
      </c>
      <c r="H25" s="237">
        <v>1</v>
      </c>
      <c r="I25" s="236">
        <v>20</v>
      </c>
      <c r="J25" s="236">
        <v>5</v>
      </c>
      <c r="K25" s="237">
        <v>1</v>
      </c>
      <c r="L25" s="240">
        <f>IF($D$50=1,3,4)</f>
        <v>3</v>
      </c>
      <c r="M25" s="240">
        <f>($C25*$D25*$E25)</f>
        <v>300</v>
      </c>
      <c r="N25" s="241">
        <f t="shared" ref="N25:N39" si="15">IF(AND($D$52=2,L25=3),1,0)*M25</f>
        <v>0</v>
      </c>
      <c r="O25" s="241">
        <f t="shared" ref="O25:O39" si="16">IF(AND($D$52=1,L25=3),1,0)*($F25*$G25*$H25)</f>
        <v>150</v>
      </c>
      <c r="P25" s="241">
        <f t="shared" ref="P25:P39" si="17">IF(AND($L25=3,$D$52=2,$D$54=2),M25,0)+IF(AND($L25=4,$D$54=2),M25,0)</f>
        <v>0</v>
      </c>
      <c r="Q25" s="242">
        <f t="shared" ref="Q25:Q39" si="18">IF(AND($L25=3,$D$52=2,$D$54=1),$F25*$G25*$H25,0)+IF(AND($L25=3,$D$52=1,$D$54=2),$F25*$G25*$H25,0)+IF(AND($L25=4,$D$54=1),$F25*$G25*$H25,0)</f>
        <v>0</v>
      </c>
      <c r="R25" s="242">
        <f t="shared" ref="R25:R39" si="19">IF(AND($L25=3,$D$52=1,$D$54=1),$I25*$J25*$K25,0)</f>
        <v>100</v>
      </c>
      <c r="S25" s="240">
        <f>(($C25+$D25)*2*$E25)</f>
        <v>80</v>
      </c>
      <c r="T25" s="241">
        <f t="shared" ref="T25:T39" si="20">IF(AND($D$52=2,$L25=3),1,0)*S25</f>
        <v>0</v>
      </c>
      <c r="U25" s="241">
        <f t="shared" ref="U25:U39" si="21">IF(AND($D$52=1,$L25=3),1,0)*(($F25+$G25)*$H25*2)</f>
        <v>70</v>
      </c>
      <c r="V25" s="241">
        <f t="shared" ref="V25:V39" si="22">IF(AND($L25=3,$D$52=2,$D$54=2),S25,0)+IF(AND($L25=4,$D$54=2),S25,0)</f>
        <v>0</v>
      </c>
      <c r="W25" s="242">
        <f t="shared" ref="W25:W39" si="23">IF(AND($L25=3,$D$52=2,$D$54=1),($F25+$G25)*$H25*2,0)+IF(AND($L25=3,$D$52=1,$D$54=2),($F25+$G25)*$H25*2,0)+IF(AND($L25=4,$D$54=1),($F25+$G25)*$H25*2,0)</f>
        <v>0</v>
      </c>
      <c r="X25" s="242">
        <f t="shared" ref="X25:X39" si="24">IF(AND($L25=3,$D$52=1,$D$54=1),($I25+$J25)*$K25*2,0)</f>
        <v>50</v>
      </c>
      <c r="Y25" s="234">
        <v>1016263</v>
      </c>
      <c r="Z25" s="236">
        <v>1011784</v>
      </c>
      <c r="AA25" s="243">
        <f>SUMIF('Busbar Calculations'!$A:$A,"=400",'Busbar Calculations'!N:N)+SUMIF('Busbar Calculations'!$A:$A,"=400",'Busbar Calculations'!O:O)+SUMIF('Busbar Calculations'!$A:$A,"=400",'Busbar Calculations'!Q:Q)</f>
        <v>0</v>
      </c>
      <c r="AB25" s="245">
        <v>1016259</v>
      </c>
      <c r="AC25" s="236">
        <v>1030335</v>
      </c>
      <c r="AD25" s="243">
        <f>SUMIF('Busbar Calculations'!$A:$A,"=400",'Busbar Calculations'!P:P)+SUMIF('Busbar Calculations'!$A:$A,"=400",'Busbar Calculations'!R:R)</f>
        <v>0</v>
      </c>
      <c r="AE25" s="234">
        <v>1011779</v>
      </c>
      <c r="AF25" s="244">
        <v>1016258</v>
      </c>
      <c r="AG25" s="243">
        <f>SUMIF('Busbar Calculations'!$A:$A,"=400",'Busbar Calculations'!S:S)</f>
        <v>0</v>
      </c>
    </row>
    <row r="26" spans="1:33">
      <c r="A26" s="234">
        <v>600</v>
      </c>
      <c r="B26" s="235">
        <f t="shared" si="14"/>
        <v>1.5</v>
      </c>
      <c r="C26" s="236">
        <v>40</v>
      </c>
      <c r="D26" s="236">
        <v>10</v>
      </c>
      <c r="E26" s="251">
        <v>1</v>
      </c>
      <c r="F26" s="236">
        <v>40</v>
      </c>
      <c r="G26" s="236">
        <v>5</v>
      </c>
      <c r="H26" s="237">
        <v>1</v>
      </c>
      <c r="I26" s="236">
        <v>20</v>
      </c>
      <c r="J26" s="236">
        <v>5</v>
      </c>
      <c r="K26" s="237">
        <v>1</v>
      </c>
      <c r="L26" s="240">
        <f t="shared" ref="L26:L39" si="25">IF($D$50=1,3,4)</f>
        <v>3</v>
      </c>
      <c r="M26" s="240">
        <f t="shared" ref="M26:M39" si="26">($C26*$D26*$E26)</f>
        <v>400</v>
      </c>
      <c r="N26" s="241">
        <f t="shared" si="15"/>
        <v>0</v>
      </c>
      <c r="O26" s="241">
        <f t="shared" si="16"/>
        <v>200</v>
      </c>
      <c r="P26" s="241">
        <f t="shared" si="17"/>
        <v>0</v>
      </c>
      <c r="Q26" s="242">
        <f t="shared" si="18"/>
        <v>0</v>
      </c>
      <c r="R26" s="242">
        <f t="shared" si="19"/>
        <v>100</v>
      </c>
      <c r="S26" s="240">
        <f t="shared" ref="S26:S39" si="27">(($C26+$D26)*2*$E26)</f>
        <v>100</v>
      </c>
      <c r="T26" s="241">
        <f t="shared" si="20"/>
        <v>0</v>
      </c>
      <c r="U26" s="241">
        <f t="shared" si="21"/>
        <v>90</v>
      </c>
      <c r="V26" s="241">
        <f t="shared" si="22"/>
        <v>0</v>
      </c>
      <c r="W26" s="242">
        <f t="shared" si="23"/>
        <v>0</v>
      </c>
      <c r="X26" s="242">
        <f t="shared" si="24"/>
        <v>50</v>
      </c>
      <c r="Y26" s="234">
        <v>1013430</v>
      </c>
      <c r="Z26" s="236">
        <v>1016264</v>
      </c>
      <c r="AA26" s="243">
        <f>SUMIF('Busbar Calculations'!$A:$A,"=600",'Busbar Calculations'!N:N)+SUMIF('Busbar Calculations'!$A:$A,"=600",'Busbar Calculations'!O:O)+SUMIF('Busbar Calculations'!$A:$A,"=600",'Busbar Calculations'!Q:Q)</f>
        <v>0</v>
      </c>
      <c r="AB26" s="245">
        <v>1016260</v>
      </c>
      <c r="AC26" s="244">
        <v>1011781</v>
      </c>
      <c r="AD26" s="243">
        <f>SUMIF('Busbar Calculations'!$A:$A,"=600",'Busbar Calculations'!P:P)+SUMIF('Busbar Calculations'!$A:$A,"=600",'Busbar Calculations'!R:R)</f>
        <v>0</v>
      </c>
      <c r="AE26" s="234">
        <v>1011779</v>
      </c>
      <c r="AF26" s="244">
        <v>1016258</v>
      </c>
      <c r="AG26" s="243">
        <f>SUMIF('Busbar Calculations'!$A:$A,"=600",'Busbar Calculations'!S:S)</f>
        <v>0</v>
      </c>
    </row>
    <row r="27" spans="1:33">
      <c r="A27" s="234">
        <v>630</v>
      </c>
      <c r="B27" s="235">
        <f t="shared" si="14"/>
        <v>1.1454545454545455</v>
      </c>
      <c r="C27" s="236">
        <v>55</v>
      </c>
      <c r="D27" s="236">
        <v>10</v>
      </c>
      <c r="E27" s="251">
        <v>1</v>
      </c>
      <c r="F27" s="236">
        <v>30</v>
      </c>
      <c r="G27" s="236">
        <v>10</v>
      </c>
      <c r="H27" s="237">
        <v>1</v>
      </c>
      <c r="I27" s="236">
        <v>30</v>
      </c>
      <c r="J27" s="236">
        <v>5</v>
      </c>
      <c r="K27" s="237">
        <v>1</v>
      </c>
      <c r="L27" s="240">
        <f t="shared" si="25"/>
        <v>3</v>
      </c>
      <c r="M27" s="240">
        <f t="shared" si="26"/>
        <v>550</v>
      </c>
      <c r="N27" s="241">
        <f t="shared" si="15"/>
        <v>0</v>
      </c>
      <c r="O27" s="241">
        <f t="shared" si="16"/>
        <v>300</v>
      </c>
      <c r="P27" s="241">
        <f t="shared" si="17"/>
        <v>0</v>
      </c>
      <c r="Q27" s="242">
        <f t="shared" si="18"/>
        <v>0</v>
      </c>
      <c r="R27" s="242">
        <f t="shared" si="19"/>
        <v>150</v>
      </c>
      <c r="S27" s="240">
        <f t="shared" si="27"/>
        <v>130</v>
      </c>
      <c r="T27" s="241">
        <f t="shared" si="20"/>
        <v>0</v>
      </c>
      <c r="U27" s="241">
        <f t="shared" si="21"/>
        <v>80</v>
      </c>
      <c r="V27" s="241">
        <f t="shared" si="22"/>
        <v>0</v>
      </c>
      <c r="W27" s="242">
        <f t="shared" si="23"/>
        <v>0</v>
      </c>
      <c r="X27" s="242">
        <f t="shared" si="24"/>
        <v>70</v>
      </c>
      <c r="Y27" s="234">
        <v>1016279</v>
      </c>
      <c r="Z27" s="236">
        <v>1016268</v>
      </c>
      <c r="AA27" s="243">
        <f>SUMIF('Busbar Calculations'!$A:$A,"=630",'Busbar Calculations'!N:N)+SUMIF('Busbar Calculations'!$A:$A,"=630",'Busbar Calculations'!O:O)+SUMIF('Busbar Calculations'!$A:$A,"=630",'Busbar Calculations'!Q:Q)</f>
        <v>0</v>
      </c>
      <c r="AB27" s="245">
        <v>1016263</v>
      </c>
      <c r="AC27" s="236">
        <v>1011784</v>
      </c>
      <c r="AD27" s="243">
        <f>SUMIF('Busbar Calculations'!$A:$A,"=630",'Busbar Calculations'!P:P)+SUMIF('Busbar Calculations'!$A:$A,"=630",'Busbar Calculations'!R:R)</f>
        <v>0</v>
      </c>
      <c r="AE27" s="234">
        <v>1016259</v>
      </c>
      <c r="AF27" s="244">
        <v>1030335</v>
      </c>
      <c r="AG27" s="243">
        <f>SUMIF('Busbar Calculations'!$A:$A,"=630",'Busbar Calculations'!S:S)</f>
        <v>0</v>
      </c>
    </row>
    <row r="28" spans="1:33">
      <c r="A28" s="234">
        <v>800</v>
      </c>
      <c r="B28" s="235">
        <f t="shared" si="14"/>
        <v>1.4545454545454546</v>
      </c>
      <c r="C28" s="236">
        <v>55</v>
      </c>
      <c r="D28" s="236">
        <v>10</v>
      </c>
      <c r="E28" s="251">
        <v>1</v>
      </c>
      <c r="F28" s="246">
        <v>30</v>
      </c>
      <c r="G28" s="246">
        <v>10</v>
      </c>
      <c r="H28" s="241">
        <v>1</v>
      </c>
      <c r="I28" s="236">
        <v>30</v>
      </c>
      <c r="J28" s="236">
        <v>5</v>
      </c>
      <c r="K28" s="237">
        <v>1</v>
      </c>
      <c r="L28" s="240">
        <f t="shared" si="25"/>
        <v>3</v>
      </c>
      <c r="M28" s="240">
        <f t="shared" si="26"/>
        <v>550</v>
      </c>
      <c r="N28" s="241">
        <f t="shared" si="15"/>
        <v>0</v>
      </c>
      <c r="O28" s="241">
        <f t="shared" si="16"/>
        <v>300</v>
      </c>
      <c r="P28" s="241">
        <f t="shared" si="17"/>
        <v>0</v>
      </c>
      <c r="Q28" s="242">
        <f t="shared" si="18"/>
        <v>0</v>
      </c>
      <c r="R28" s="242">
        <f t="shared" si="19"/>
        <v>150</v>
      </c>
      <c r="S28" s="240">
        <f t="shared" si="27"/>
        <v>130</v>
      </c>
      <c r="T28" s="241">
        <f t="shared" si="20"/>
        <v>0</v>
      </c>
      <c r="U28" s="241">
        <f t="shared" si="21"/>
        <v>80</v>
      </c>
      <c r="V28" s="241">
        <f t="shared" si="22"/>
        <v>0</v>
      </c>
      <c r="W28" s="242">
        <f t="shared" si="23"/>
        <v>0</v>
      </c>
      <c r="X28" s="242">
        <f t="shared" si="24"/>
        <v>70</v>
      </c>
      <c r="Y28" s="234">
        <v>1016279</v>
      </c>
      <c r="Z28" s="236">
        <v>1016268</v>
      </c>
      <c r="AA28" s="243">
        <f>SUMIF('Busbar Calculations'!$A:$A,"=800",'Busbar Calculations'!N:N)+SUMIF('Busbar Calculations'!$A:$A,"=800",'Busbar Calculations'!O:O)+SUMIF('Busbar Calculations'!$A:$A,"=800",'Busbar Calculations'!Q:Q)</f>
        <v>0</v>
      </c>
      <c r="AB28" s="245">
        <v>1016263</v>
      </c>
      <c r="AC28" s="236">
        <v>1011784</v>
      </c>
      <c r="AD28" s="243">
        <f>SUMIF('Busbar Calculations'!$A:$A,"=800",'Busbar Calculations'!P:P)+SUMIF('Busbar Calculations'!$A:$A,"=800",'Busbar Calculations'!R:R)</f>
        <v>0</v>
      </c>
      <c r="AE28" s="234">
        <v>1016259</v>
      </c>
      <c r="AF28" s="244">
        <v>1030335</v>
      </c>
      <c r="AG28" s="243">
        <f>SUMIF('Busbar Calculations'!$A:$A,"=800",'Busbar Calculations'!S:S)</f>
        <v>0</v>
      </c>
    </row>
    <row r="29" spans="1:33">
      <c r="A29" s="234">
        <v>1000</v>
      </c>
      <c r="B29" s="235">
        <f t="shared" si="14"/>
        <v>1.4285714285714286</v>
      </c>
      <c r="C29" s="236">
        <v>70</v>
      </c>
      <c r="D29" s="236">
        <v>10</v>
      </c>
      <c r="E29" s="251">
        <v>1</v>
      </c>
      <c r="F29" s="236">
        <v>40</v>
      </c>
      <c r="G29" s="236">
        <v>10</v>
      </c>
      <c r="H29" s="237">
        <v>1</v>
      </c>
      <c r="I29" s="236">
        <v>40</v>
      </c>
      <c r="J29" s="236">
        <v>5</v>
      </c>
      <c r="K29" s="237">
        <v>1</v>
      </c>
      <c r="L29" s="240">
        <f t="shared" si="25"/>
        <v>3</v>
      </c>
      <c r="M29" s="240">
        <f t="shared" si="26"/>
        <v>700</v>
      </c>
      <c r="N29" s="241">
        <f t="shared" si="15"/>
        <v>0</v>
      </c>
      <c r="O29" s="241">
        <f t="shared" si="16"/>
        <v>400</v>
      </c>
      <c r="P29" s="241">
        <f t="shared" si="17"/>
        <v>0</v>
      </c>
      <c r="Q29" s="242">
        <f t="shared" si="18"/>
        <v>0</v>
      </c>
      <c r="R29" s="242">
        <f t="shared" si="19"/>
        <v>200</v>
      </c>
      <c r="S29" s="240">
        <f t="shared" si="27"/>
        <v>160</v>
      </c>
      <c r="T29" s="241">
        <f t="shared" si="20"/>
        <v>0</v>
      </c>
      <c r="U29" s="241">
        <f t="shared" si="21"/>
        <v>100</v>
      </c>
      <c r="V29" s="241">
        <f t="shared" si="22"/>
        <v>0</v>
      </c>
      <c r="W29" s="242">
        <f t="shared" si="23"/>
        <v>0</v>
      </c>
      <c r="X29" s="242">
        <f t="shared" si="24"/>
        <v>90</v>
      </c>
      <c r="Y29" s="234">
        <v>1016275</v>
      </c>
      <c r="Z29" s="236">
        <v>1016266</v>
      </c>
      <c r="AA29" s="243">
        <f>SUMIF('Busbar Calculations'!$A:$A,"=1000",'Busbar Calculations'!N:N)++SUMIF('Busbar Calculations'!$A:$A,"=1000",'Busbar Calculations'!O:O)+SUMIF('Busbar Calculations'!$A:$A,"=1000",'Busbar Calculations'!Q:Q)</f>
        <v>0</v>
      </c>
      <c r="AB29" s="245">
        <v>1013430</v>
      </c>
      <c r="AC29" s="236">
        <v>1016264</v>
      </c>
      <c r="AD29" s="243">
        <f>SUMIF('Busbar Calculations'!$A:$A,"=1000",'Busbar Calculations'!P:P)+SUMIF('Busbar Calculations'!$A:$A,"=1000",'Busbar Calculations'!R:R)</f>
        <v>0</v>
      </c>
      <c r="AE29" s="234">
        <v>1016260</v>
      </c>
      <c r="AF29" s="244">
        <v>1011781</v>
      </c>
      <c r="AG29" s="243">
        <f>SUMIF('Busbar Calculations'!$A:$A,"=1000",'Busbar Calculations'!S:S)</f>
        <v>0</v>
      </c>
    </row>
    <row r="30" spans="1:33">
      <c r="A30" s="234">
        <v>1200</v>
      </c>
      <c r="B30" s="235">
        <f t="shared" si="14"/>
        <v>1.411764705882353</v>
      </c>
      <c r="C30" s="236">
        <v>85</v>
      </c>
      <c r="D30" s="236">
        <v>10</v>
      </c>
      <c r="E30" s="251">
        <v>1</v>
      </c>
      <c r="F30" s="236">
        <v>40</v>
      </c>
      <c r="G30" s="236">
        <v>10</v>
      </c>
      <c r="H30" s="237">
        <v>1</v>
      </c>
      <c r="I30" s="236">
        <v>40</v>
      </c>
      <c r="J30" s="236">
        <v>5</v>
      </c>
      <c r="K30" s="237">
        <v>1</v>
      </c>
      <c r="L30" s="240">
        <f t="shared" si="25"/>
        <v>3</v>
      </c>
      <c r="M30" s="240">
        <f t="shared" si="26"/>
        <v>850</v>
      </c>
      <c r="N30" s="241">
        <f t="shared" si="15"/>
        <v>0</v>
      </c>
      <c r="O30" s="241">
        <f t="shared" si="16"/>
        <v>400</v>
      </c>
      <c r="P30" s="241">
        <f t="shared" si="17"/>
        <v>0</v>
      </c>
      <c r="Q30" s="242">
        <f t="shared" si="18"/>
        <v>0</v>
      </c>
      <c r="R30" s="242">
        <f t="shared" si="19"/>
        <v>200</v>
      </c>
      <c r="S30" s="240">
        <f t="shared" si="27"/>
        <v>190</v>
      </c>
      <c r="T30" s="241">
        <f t="shared" si="20"/>
        <v>0</v>
      </c>
      <c r="U30" s="241">
        <f t="shared" si="21"/>
        <v>100</v>
      </c>
      <c r="V30" s="241">
        <f t="shared" si="22"/>
        <v>0</v>
      </c>
      <c r="W30" s="242">
        <f t="shared" si="23"/>
        <v>0</v>
      </c>
      <c r="X30" s="242">
        <f t="shared" si="24"/>
        <v>90</v>
      </c>
      <c r="Y30" s="234">
        <v>1016280</v>
      </c>
      <c r="Z30" s="236">
        <v>1016269</v>
      </c>
      <c r="AA30" s="243">
        <f>SUMIF('Busbar Calculations'!$A:$A,"=1200",'Busbar Calculations'!N:N)++SUMIF('Busbar Calculations'!$A:$A,"=1200",'Busbar Calculations'!O:O)+SUMIF('Busbar Calculations'!$A:$A,"=1200",'Busbar Calculations'!Q:Q)</f>
        <v>0</v>
      </c>
      <c r="AB30" s="245">
        <v>1013430</v>
      </c>
      <c r="AC30" s="236">
        <v>1016264</v>
      </c>
      <c r="AD30" s="243">
        <f>SUMIF('Busbar Calculations'!$A:$A,"=1200",'Busbar Calculations'!P:P)+SUMIF('Busbar Calculations'!$A:$A,"=1200",'Busbar Calculations'!R:R)</f>
        <v>0</v>
      </c>
      <c r="AE30" s="234">
        <v>1016260</v>
      </c>
      <c r="AF30" s="244">
        <v>1011781</v>
      </c>
      <c r="AG30" s="243">
        <f>SUMIF('Busbar Calculations'!$A:$A,"=1200",'Busbar Calculations'!S:S)</f>
        <v>0</v>
      </c>
    </row>
    <row r="31" spans="1:33">
      <c r="A31" s="234">
        <v>1250</v>
      </c>
      <c r="B31" s="235">
        <f t="shared" si="14"/>
        <v>1.4705882352941178</v>
      </c>
      <c r="C31" s="236">
        <v>85</v>
      </c>
      <c r="D31" s="236">
        <v>10</v>
      </c>
      <c r="E31" s="251">
        <v>1</v>
      </c>
      <c r="F31" s="236">
        <v>55</v>
      </c>
      <c r="G31" s="236">
        <v>10</v>
      </c>
      <c r="H31" s="237">
        <v>1</v>
      </c>
      <c r="I31" s="236">
        <v>30</v>
      </c>
      <c r="J31" s="236">
        <v>10</v>
      </c>
      <c r="K31" s="237">
        <v>1</v>
      </c>
      <c r="L31" s="240">
        <f t="shared" si="25"/>
        <v>3</v>
      </c>
      <c r="M31" s="240">
        <f t="shared" si="26"/>
        <v>850</v>
      </c>
      <c r="N31" s="241">
        <f t="shared" si="15"/>
        <v>0</v>
      </c>
      <c r="O31" s="241">
        <f t="shared" si="16"/>
        <v>550</v>
      </c>
      <c r="P31" s="241">
        <f t="shared" si="17"/>
        <v>0</v>
      </c>
      <c r="Q31" s="242">
        <f t="shared" si="18"/>
        <v>0</v>
      </c>
      <c r="R31" s="242">
        <f t="shared" si="19"/>
        <v>300</v>
      </c>
      <c r="S31" s="240">
        <f t="shared" si="27"/>
        <v>190</v>
      </c>
      <c r="T31" s="241">
        <f t="shared" si="20"/>
        <v>0</v>
      </c>
      <c r="U31" s="241">
        <f t="shared" si="21"/>
        <v>130</v>
      </c>
      <c r="V31" s="241">
        <f t="shared" si="22"/>
        <v>0</v>
      </c>
      <c r="W31" s="242">
        <f t="shared" si="23"/>
        <v>0</v>
      </c>
      <c r="X31" s="242">
        <f t="shared" si="24"/>
        <v>80</v>
      </c>
      <c r="Y31" s="234">
        <v>1016280</v>
      </c>
      <c r="Z31" s="236">
        <v>1016269</v>
      </c>
      <c r="AA31" s="243">
        <f>SUMIF('Busbar Calculations'!$A:$A,"=1250",'Busbar Calculations'!N:N)++SUMIF('Busbar Calculations'!$A:$A,"=1250",'Busbar Calculations'!O:O)+SUMIF('Busbar Calculations'!$A:$A,"=1250",'Busbar Calculations'!Q:Q)</f>
        <v>125.27640000000002</v>
      </c>
      <c r="AB31" s="245">
        <v>1016279</v>
      </c>
      <c r="AC31" s="236">
        <v>1016268</v>
      </c>
      <c r="AD31" s="243">
        <f>SUMIF('Busbar Calculations'!$A:$A,"=1250",'Busbar Calculations'!P:P)+SUMIF('Busbar Calculations'!$A:$A,"=1250",'Busbar Calculations'!R:R)</f>
        <v>0</v>
      </c>
      <c r="AE31" s="234">
        <v>1016263</v>
      </c>
      <c r="AF31" s="236">
        <v>1011784</v>
      </c>
      <c r="AG31" s="243">
        <f>SUMIF('Busbar Calculations'!$A:$A,"=1250",'Busbar Calculations'!S:S)</f>
        <v>0</v>
      </c>
    </row>
    <row r="32" spans="1:33">
      <c r="A32" s="234">
        <v>1600</v>
      </c>
      <c r="B32" s="235">
        <f t="shared" si="14"/>
        <v>1.4545454545454546</v>
      </c>
      <c r="C32" s="236">
        <v>55</v>
      </c>
      <c r="D32" s="236">
        <v>10</v>
      </c>
      <c r="E32" s="251">
        <v>2</v>
      </c>
      <c r="F32" s="236">
        <v>55</v>
      </c>
      <c r="G32" s="236">
        <v>10</v>
      </c>
      <c r="H32" s="237">
        <v>1</v>
      </c>
      <c r="I32" s="246">
        <v>30</v>
      </c>
      <c r="J32" s="246">
        <v>10</v>
      </c>
      <c r="K32" s="241">
        <v>1</v>
      </c>
      <c r="L32" s="240">
        <f t="shared" si="25"/>
        <v>3</v>
      </c>
      <c r="M32" s="240">
        <f t="shared" si="26"/>
        <v>1100</v>
      </c>
      <c r="N32" s="241">
        <f t="shared" si="15"/>
        <v>0</v>
      </c>
      <c r="O32" s="241">
        <f t="shared" si="16"/>
        <v>550</v>
      </c>
      <c r="P32" s="241">
        <f t="shared" si="17"/>
        <v>0</v>
      </c>
      <c r="Q32" s="242">
        <f t="shared" si="18"/>
        <v>0</v>
      </c>
      <c r="R32" s="242">
        <f t="shared" si="19"/>
        <v>300</v>
      </c>
      <c r="S32" s="240">
        <f t="shared" si="27"/>
        <v>260</v>
      </c>
      <c r="T32" s="241">
        <f t="shared" si="20"/>
        <v>0</v>
      </c>
      <c r="U32" s="241">
        <f t="shared" si="21"/>
        <v>130</v>
      </c>
      <c r="V32" s="241">
        <f t="shared" si="22"/>
        <v>0</v>
      </c>
      <c r="W32" s="242">
        <f t="shared" si="23"/>
        <v>0</v>
      </c>
      <c r="X32" s="242">
        <f t="shared" si="24"/>
        <v>80</v>
      </c>
      <c r="Y32" s="234">
        <v>1016279</v>
      </c>
      <c r="Z32" s="236">
        <v>1016268</v>
      </c>
      <c r="AA32" s="243">
        <f>SUMIF('Busbar Calculations'!$A:$A,"=1600",'Busbar Calculations'!N:N)++SUMIF('Busbar Calculations'!$A:$A,"=1600",'Busbar Calculations'!O:O)+SUMIF('Busbar Calculations'!$A:$A,"=1600",'Busbar Calculations'!Q:Q)</f>
        <v>0</v>
      </c>
      <c r="AB32" s="245">
        <v>1016279</v>
      </c>
      <c r="AC32" s="236">
        <v>1016268</v>
      </c>
      <c r="AD32" s="243">
        <f>SUMIF('Busbar Calculations'!$A:$A,"=1600",'Busbar Calculations'!P:P)+SUMIF('Busbar Calculations'!$A:$A,"=1600",'Busbar Calculations'!R:R)</f>
        <v>0</v>
      </c>
      <c r="AE32" s="234">
        <v>1016263</v>
      </c>
      <c r="AF32" s="236">
        <v>1011784</v>
      </c>
      <c r="AG32" s="243">
        <f>SUMIF('Busbar Calculations'!$A:$A,"=1600",'Busbar Calculations'!S:S)</f>
        <v>0</v>
      </c>
    </row>
    <row r="33" spans="1:33">
      <c r="A33" s="234">
        <v>2000</v>
      </c>
      <c r="B33" s="235">
        <f t="shared" si="14"/>
        <v>1.4285714285714286</v>
      </c>
      <c r="C33" s="236">
        <v>70</v>
      </c>
      <c r="D33" s="236">
        <v>10</v>
      </c>
      <c r="E33" s="251">
        <v>2</v>
      </c>
      <c r="F33" s="236">
        <v>70</v>
      </c>
      <c r="G33" s="236">
        <v>10</v>
      </c>
      <c r="H33" s="237">
        <v>1</v>
      </c>
      <c r="I33" s="236">
        <v>40</v>
      </c>
      <c r="J33" s="236">
        <v>10</v>
      </c>
      <c r="K33" s="237">
        <v>1</v>
      </c>
      <c r="L33" s="240">
        <f t="shared" si="25"/>
        <v>3</v>
      </c>
      <c r="M33" s="240">
        <f t="shared" si="26"/>
        <v>1400</v>
      </c>
      <c r="N33" s="241">
        <f t="shared" si="15"/>
        <v>0</v>
      </c>
      <c r="O33" s="241">
        <f t="shared" si="16"/>
        <v>700</v>
      </c>
      <c r="P33" s="241">
        <f t="shared" si="17"/>
        <v>0</v>
      </c>
      <c r="Q33" s="242">
        <f t="shared" si="18"/>
        <v>0</v>
      </c>
      <c r="R33" s="242">
        <f t="shared" si="19"/>
        <v>400</v>
      </c>
      <c r="S33" s="240">
        <f t="shared" si="27"/>
        <v>320</v>
      </c>
      <c r="T33" s="241">
        <f t="shared" si="20"/>
        <v>0</v>
      </c>
      <c r="U33" s="241">
        <f t="shared" si="21"/>
        <v>160</v>
      </c>
      <c r="V33" s="241">
        <f t="shared" si="22"/>
        <v>0</v>
      </c>
      <c r="W33" s="242">
        <f t="shared" si="23"/>
        <v>0</v>
      </c>
      <c r="X33" s="242">
        <f t="shared" si="24"/>
        <v>100</v>
      </c>
      <c r="Y33" s="234">
        <v>1016275</v>
      </c>
      <c r="Z33" s="236">
        <v>1016266</v>
      </c>
      <c r="AA33" s="243">
        <f>SUMIF('Busbar Calculations'!$A:$A,"=2000",'Busbar Calculations'!N:N)+SUMIF('Busbar Calculations'!$A:$A,"=2000",'Busbar Calculations'!O:O)+SUMIF('Busbar Calculations'!$A:$A,"=2000",'Busbar Calculations'!Q:Q)</f>
        <v>0</v>
      </c>
      <c r="AB33" s="245">
        <v>1016275</v>
      </c>
      <c r="AC33" s="236">
        <v>1016266</v>
      </c>
      <c r="AD33" s="243">
        <f>SUMIF('Busbar Calculations'!$A:$A,"=2000",'Busbar Calculations'!P:P)+SUMIF('Busbar Calculations'!$A:$A,"=2000",'Busbar Calculations'!R:R)</f>
        <v>0</v>
      </c>
      <c r="AE33" s="234">
        <v>1013430</v>
      </c>
      <c r="AF33" s="244">
        <v>1016264</v>
      </c>
      <c r="AG33" s="243">
        <f>SUMIF('Busbar Calculations'!$A:$A,"=2000",'Busbar Calculations'!S:S)</f>
        <v>0</v>
      </c>
    </row>
    <row r="34" spans="1:33">
      <c r="A34" s="234">
        <v>2500</v>
      </c>
      <c r="B34" s="235">
        <f t="shared" si="14"/>
        <v>1.4705882352941178</v>
      </c>
      <c r="C34" s="236">
        <v>85</v>
      </c>
      <c r="D34" s="236">
        <v>10</v>
      </c>
      <c r="E34" s="251">
        <v>2</v>
      </c>
      <c r="F34" s="236">
        <v>55</v>
      </c>
      <c r="G34" s="236">
        <v>10</v>
      </c>
      <c r="H34" s="237">
        <v>2</v>
      </c>
      <c r="I34" s="236">
        <v>55</v>
      </c>
      <c r="J34" s="236">
        <v>10</v>
      </c>
      <c r="K34" s="237">
        <v>1</v>
      </c>
      <c r="L34" s="240">
        <f t="shared" si="25"/>
        <v>3</v>
      </c>
      <c r="M34" s="240">
        <f t="shared" si="26"/>
        <v>1700</v>
      </c>
      <c r="N34" s="241">
        <f t="shared" si="15"/>
        <v>0</v>
      </c>
      <c r="O34" s="241">
        <f t="shared" si="16"/>
        <v>1100</v>
      </c>
      <c r="P34" s="241">
        <f t="shared" si="17"/>
        <v>0</v>
      </c>
      <c r="Q34" s="242">
        <f t="shared" si="18"/>
        <v>0</v>
      </c>
      <c r="R34" s="242">
        <f t="shared" si="19"/>
        <v>550</v>
      </c>
      <c r="S34" s="240">
        <f t="shared" si="27"/>
        <v>380</v>
      </c>
      <c r="T34" s="241">
        <f t="shared" si="20"/>
        <v>0</v>
      </c>
      <c r="U34" s="241">
        <f t="shared" si="21"/>
        <v>260</v>
      </c>
      <c r="V34" s="241">
        <f t="shared" si="22"/>
        <v>0</v>
      </c>
      <c r="W34" s="242">
        <f t="shared" si="23"/>
        <v>0</v>
      </c>
      <c r="X34" s="242">
        <f t="shared" si="24"/>
        <v>130</v>
      </c>
      <c r="Y34" s="234">
        <v>1016280</v>
      </c>
      <c r="Z34" s="236">
        <v>1016269</v>
      </c>
      <c r="AA34" s="243">
        <f>SUMIF('Busbar Calculations'!$A:$A,"=2500",'Busbar Calculations'!N:N)+SUMIF('Busbar Calculations'!$A:$A,"=2500",'Busbar Calculations'!O:O)+SUMIF('Busbar Calculations'!$A:$A,"=2500",'Busbar Calculations'!Q:Q)</f>
        <v>0</v>
      </c>
      <c r="AB34" s="245">
        <v>1016279</v>
      </c>
      <c r="AC34" s="236">
        <v>1016268</v>
      </c>
      <c r="AD34" s="243">
        <f>SUMIF('Busbar Calculations'!$A:$A,"=2500",'Busbar Calculations'!P:P)+SUMIF('Busbar Calculations'!$A:$A,"=2500",'Busbar Calculations'!R:R)</f>
        <v>0</v>
      </c>
      <c r="AE34" s="234">
        <v>1016279</v>
      </c>
      <c r="AF34" s="244">
        <v>1016268</v>
      </c>
      <c r="AG34" s="243">
        <f>SUMIF('Busbar Calculations'!$A:$A,"=2500",'Busbar Calculations'!S:S)</f>
        <v>0</v>
      </c>
    </row>
    <row r="35" spans="1:33">
      <c r="A35" s="248">
        <v>3000</v>
      </c>
      <c r="B35" s="249">
        <f t="shared" si="14"/>
        <v>1.1764705882352942</v>
      </c>
      <c r="C35" s="250">
        <v>85</v>
      </c>
      <c r="D35" s="250">
        <v>10</v>
      </c>
      <c r="E35" s="251">
        <v>3</v>
      </c>
      <c r="F35" s="250">
        <v>55</v>
      </c>
      <c r="G35" s="250">
        <v>10</v>
      </c>
      <c r="H35" s="251">
        <v>2</v>
      </c>
      <c r="I35" s="250">
        <v>55</v>
      </c>
      <c r="J35" s="250">
        <v>10</v>
      </c>
      <c r="K35" s="251">
        <v>1</v>
      </c>
      <c r="L35" s="240">
        <f t="shared" si="25"/>
        <v>3</v>
      </c>
      <c r="M35" s="240">
        <f t="shared" si="26"/>
        <v>2550</v>
      </c>
      <c r="N35" s="241">
        <f t="shared" si="15"/>
        <v>0</v>
      </c>
      <c r="O35" s="241">
        <f t="shared" si="16"/>
        <v>1100</v>
      </c>
      <c r="P35" s="241">
        <f t="shared" si="17"/>
        <v>0</v>
      </c>
      <c r="Q35" s="242">
        <f t="shared" si="18"/>
        <v>0</v>
      </c>
      <c r="R35" s="242">
        <f t="shared" si="19"/>
        <v>550</v>
      </c>
      <c r="S35" s="240">
        <f t="shared" si="27"/>
        <v>570</v>
      </c>
      <c r="T35" s="241">
        <f t="shared" si="20"/>
        <v>0</v>
      </c>
      <c r="U35" s="241">
        <f t="shared" si="21"/>
        <v>260</v>
      </c>
      <c r="V35" s="241">
        <f t="shared" si="22"/>
        <v>0</v>
      </c>
      <c r="W35" s="242">
        <f t="shared" si="23"/>
        <v>0</v>
      </c>
      <c r="X35" s="242">
        <f t="shared" si="24"/>
        <v>130</v>
      </c>
      <c r="Y35" s="234">
        <v>1016280</v>
      </c>
      <c r="Z35" s="236">
        <v>1016269</v>
      </c>
      <c r="AA35" s="243">
        <f>SUMIF('Busbar Calculations'!$A:$A,"=3000",'Busbar Calculations'!N:N)+SUMIF('Busbar Calculations'!$A:$A,"=3000",'Busbar Calculations'!O:O)+SUMIF('Busbar Calculations'!$A:$A,"=3000",'Busbar Calculations'!Q:Q)</f>
        <v>0</v>
      </c>
      <c r="AB35" s="245">
        <v>1016279</v>
      </c>
      <c r="AC35" s="236">
        <v>1016268</v>
      </c>
      <c r="AD35" s="243">
        <f>SUMIF('Busbar Calculations'!$A:$A,"=3000",'Busbar Calculations'!P:P)+SUMIF('Busbar Calculations'!$A:$A,"=3000",'Busbar Calculations'!R:R)</f>
        <v>0</v>
      </c>
      <c r="AE35" s="234">
        <v>1016279</v>
      </c>
      <c r="AF35" s="244">
        <v>1016268</v>
      </c>
      <c r="AG35" s="243">
        <f>SUMIF('Busbar Calculations'!$A:$A,"=3000",'Busbar Calculations'!S:S)</f>
        <v>0</v>
      </c>
    </row>
    <row r="36" spans="1:33">
      <c r="A36" s="248">
        <v>3200</v>
      </c>
      <c r="B36" s="249">
        <f t="shared" si="14"/>
        <v>1.0666666666666667</v>
      </c>
      <c r="C36" s="250">
        <v>100</v>
      </c>
      <c r="D36" s="250">
        <v>10</v>
      </c>
      <c r="E36" s="251">
        <v>3</v>
      </c>
      <c r="F36" s="250">
        <v>55</v>
      </c>
      <c r="G36" s="250">
        <v>10</v>
      </c>
      <c r="H36" s="251">
        <v>2</v>
      </c>
      <c r="I36" s="250">
        <v>55</v>
      </c>
      <c r="J36" s="250">
        <v>10</v>
      </c>
      <c r="K36" s="251">
        <v>1</v>
      </c>
      <c r="L36" s="240">
        <f t="shared" si="25"/>
        <v>3</v>
      </c>
      <c r="M36" s="240">
        <f t="shared" si="26"/>
        <v>3000</v>
      </c>
      <c r="N36" s="241">
        <f t="shared" si="15"/>
        <v>0</v>
      </c>
      <c r="O36" s="241">
        <f t="shared" si="16"/>
        <v>1100</v>
      </c>
      <c r="P36" s="241">
        <f t="shared" si="17"/>
        <v>0</v>
      </c>
      <c r="Q36" s="242">
        <f t="shared" si="18"/>
        <v>0</v>
      </c>
      <c r="R36" s="242">
        <f t="shared" si="19"/>
        <v>550</v>
      </c>
      <c r="S36" s="240">
        <f t="shared" si="27"/>
        <v>660</v>
      </c>
      <c r="T36" s="241">
        <f t="shared" si="20"/>
        <v>0</v>
      </c>
      <c r="U36" s="241">
        <f t="shared" si="21"/>
        <v>260</v>
      </c>
      <c r="V36" s="241">
        <f t="shared" si="22"/>
        <v>0</v>
      </c>
      <c r="W36" s="242">
        <f t="shared" si="23"/>
        <v>0</v>
      </c>
      <c r="X36" s="242">
        <f t="shared" si="24"/>
        <v>130</v>
      </c>
      <c r="Y36" s="234">
        <v>1016276</v>
      </c>
      <c r="Z36" s="236">
        <v>1016267</v>
      </c>
      <c r="AA36" s="243">
        <f>SUMIF('Busbar Calculations'!$A:$A,"=3200",'Busbar Calculations'!N:N)+SUMIF('Busbar Calculations'!$A:$A,"=3200",'Busbar Calculations'!O:O)+SUMIF('Busbar Calculations'!$A:$A,"=3200",'Busbar Calculations'!Q:Q)</f>
        <v>0</v>
      </c>
      <c r="AB36" s="245">
        <v>1016279</v>
      </c>
      <c r="AC36" s="236">
        <v>1016268</v>
      </c>
      <c r="AD36" s="243">
        <f>SUMIF('Busbar Calculations'!$A:$A,"=3200",'Busbar Calculations'!P:P)+SUMIF('Busbar Calculations'!$A:$A,"=3200",'Busbar Calculations'!R:R)</f>
        <v>0</v>
      </c>
      <c r="AE36" s="234">
        <v>1016279</v>
      </c>
      <c r="AF36" s="244">
        <v>1016268</v>
      </c>
      <c r="AG36" s="243">
        <f>SUMIF('Busbar Calculations'!$A:$A,"=3200",'Busbar Calculations'!S:S)</f>
        <v>0</v>
      </c>
    </row>
    <row r="37" spans="1:33">
      <c r="A37" s="248">
        <v>4000</v>
      </c>
      <c r="B37" s="249">
        <f t="shared" si="14"/>
        <v>1</v>
      </c>
      <c r="C37" s="250">
        <v>100</v>
      </c>
      <c r="D37" s="250">
        <v>10</v>
      </c>
      <c r="E37" s="251">
        <v>4</v>
      </c>
      <c r="F37" s="250">
        <v>70</v>
      </c>
      <c r="G37" s="250">
        <v>10</v>
      </c>
      <c r="H37" s="251">
        <v>2</v>
      </c>
      <c r="I37" s="250">
        <v>70</v>
      </c>
      <c r="J37" s="250">
        <v>10</v>
      </c>
      <c r="K37" s="251">
        <v>1</v>
      </c>
      <c r="L37" s="240">
        <f t="shared" si="25"/>
        <v>3</v>
      </c>
      <c r="M37" s="240">
        <f t="shared" si="26"/>
        <v>4000</v>
      </c>
      <c r="N37" s="241">
        <f t="shared" si="15"/>
        <v>0</v>
      </c>
      <c r="O37" s="241">
        <f t="shared" si="16"/>
        <v>1400</v>
      </c>
      <c r="P37" s="241">
        <f t="shared" si="17"/>
        <v>0</v>
      </c>
      <c r="Q37" s="242">
        <f t="shared" si="18"/>
        <v>0</v>
      </c>
      <c r="R37" s="242">
        <f t="shared" si="19"/>
        <v>700</v>
      </c>
      <c r="S37" s="240">
        <f t="shared" si="27"/>
        <v>880</v>
      </c>
      <c r="T37" s="241">
        <f t="shared" si="20"/>
        <v>0</v>
      </c>
      <c r="U37" s="241">
        <f t="shared" si="21"/>
        <v>320</v>
      </c>
      <c r="V37" s="241">
        <f t="shared" si="22"/>
        <v>0</v>
      </c>
      <c r="W37" s="242">
        <f t="shared" si="23"/>
        <v>0</v>
      </c>
      <c r="X37" s="242">
        <f t="shared" si="24"/>
        <v>160</v>
      </c>
      <c r="Y37" s="234">
        <v>1016276</v>
      </c>
      <c r="Z37" s="236">
        <v>1016267</v>
      </c>
      <c r="AA37" s="243">
        <f>SUMIF('Busbar Calculations'!$A:$A,"=4000",'Busbar Calculations'!N:N)+SUMIF('Busbar Calculations'!$A:$A,"=4000",'Busbar Calculations'!O:O)+SUMIF('Busbar Calculations'!$A:$A,"=4000",'Busbar Calculations'!Q:Q)</f>
        <v>380.47500000000008</v>
      </c>
      <c r="AB37" s="245">
        <v>1016275</v>
      </c>
      <c r="AC37" s="236">
        <v>1016266</v>
      </c>
      <c r="AD37" s="243">
        <f>SUMIF('Busbar Calculations'!$A:$A,"=4000",'Busbar Calculations'!P:P)+SUMIF('Busbar Calculations'!$A:$A,"=4000",'Busbar Calculations'!R:R)</f>
        <v>32.396000000000001</v>
      </c>
      <c r="AE37" s="234">
        <v>1016275</v>
      </c>
      <c r="AF37" s="244">
        <v>1016266</v>
      </c>
      <c r="AG37" s="243">
        <f>SUMIF('Busbar Calculations'!$A:$A,"=4000",'Busbar Calculations'!S:S)</f>
        <v>16.198</v>
      </c>
    </row>
    <row r="38" spans="1:33">
      <c r="A38" s="248">
        <v>5000</v>
      </c>
      <c r="B38" s="249">
        <f t="shared" si="14"/>
        <v>0.83333333333333337</v>
      </c>
      <c r="C38" s="250">
        <v>100</v>
      </c>
      <c r="D38" s="250">
        <v>10</v>
      </c>
      <c r="E38" s="251">
        <v>6</v>
      </c>
      <c r="F38" s="250">
        <v>85</v>
      </c>
      <c r="G38" s="250">
        <v>10</v>
      </c>
      <c r="H38" s="251">
        <v>2</v>
      </c>
      <c r="I38" s="248">
        <v>85</v>
      </c>
      <c r="J38" s="250">
        <v>10</v>
      </c>
      <c r="K38" s="251">
        <v>1</v>
      </c>
      <c r="L38" s="240">
        <f t="shared" si="25"/>
        <v>3</v>
      </c>
      <c r="M38" s="240">
        <f t="shared" si="26"/>
        <v>6000</v>
      </c>
      <c r="N38" s="241">
        <f t="shared" si="15"/>
        <v>0</v>
      </c>
      <c r="O38" s="241">
        <f t="shared" si="16"/>
        <v>1700</v>
      </c>
      <c r="P38" s="241">
        <f t="shared" si="17"/>
        <v>0</v>
      </c>
      <c r="Q38" s="242">
        <f t="shared" si="18"/>
        <v>0</v>
      </c>
      <c r="R38" s="242">
        <f t="shared" si="19"/>
        <v>850</v>
      </c>
      <c r="S38" s="240">
        <f t="shared" si="27"/>
        <v>1320</v>
      </c>
      <c r="T38" s="241">
        <f t="shared" si="20"/>
        <v>0</v>
      </c>
      <c r="U38" s="241">
        <f t="shared" si="21"/>
        <v>380</v>
      </c>
      <c r="V38" s="241">
        <f t="shared" si="22"/>
        <v>0</v>
      </c>
      <c r="W38" s="242">
        <f t="shared" si="23"/>
        <v>0</v>
      </c>
      <c r="X38" s="242">
        <f t="shared" si="24"/>
        <v>190</v>
      </c>
      <c r="Y38" s="234">
        <v>1016276</v>
      </c>
      <c r="Z38" s="236">
        <v>1016267</v>
      </c>
      <c r="AA38" s="243">
        <f>SUMIF('Busbar Calculations'!$A:$A,"=5000",'Busbar Calculations'!N:N)+SUMIF('Busbar Calculations'!$A:$A,"=5000",'Busbar Calculations'!O:O)+SUMIF('Busbar Calculations'!$A:$A,"=5000",'Busbar Calculations'!Q:Q)</f>
        <v>0</v>
      </c>
      <c r="AB38" s="245">
        <v>1016280</v>
      </c>
      <c r="AC38" s="236">
        <v>1016269</v>
      </c>
      <c r="AD38" s="243">
        <f>SUMIF('Busbar Calculations'!$A:$A,"=5000",'Busbar Calculations'!P:P)+SUMIF('Busbar Calculations'!$A:$A,"=5000",'Busbar Calculations'!R:R)</f>
        <v>0</v>
      </c>
      <c r="AE38" s="234">
        <v>1016280</v>
      </c>
      <c r="AF38" s="244">
        <v>1016269</v>
      </c>
      <c r="AG38" s="243">
        <f>SUMIF('Busbar Calculations'!$A:$A,"=5000",'Busbar Calculations'!S:S)</f>
        <v>0</v>
      </c>
    </row>
    <row r="39" spans="1:33" ht="15" thickBot="1">
      <c r="A39" s="253">
        <v>6300</v>
      </c>
      <c r="B39" s="254">
        <f t="shared" si="14"/>
        <v>0.78749999999999998</v>
      </c>
      <c r="C39" s="255">
        <v>100</v>
      </c>
      <c r="D39" s="255">
        <v>10</v>
      </c>
      <c r="E39" s="256">
        <v>8</v>
      </c>
      <c r="F39" s="255">
        <v>100</v>
      </c>
      <c r="G39" s="255">
        <v>10</v>
      </c>
      <c r="H39" s="256">
        <v>3</v>
      </c>
      <c r="I39" s="253">
        <v>55</v>
      </c>
      <c r="J39" s="255">
        <v>10</v>
      </c>
      <c r="K39" s="256">
        <v>2</v>
      </c>
      <c r="L39" s="268">
        <f t="shared" si="25"/>
        <v>3</v>
      </c>
      <c r="M39" s="240">
        <f t="shared" si="26"/>
        <v>8000</v>
      </c>
      <c r="N39" s="241">
        <f t="shared" si="15"/>
        <v>0</v>
      </c>
      <c r="O39" s="241">
        <f t="shared" si="16"/>
        <v>3000</v>
      </c>
      <c r="P39" s="241">
        <f t="shared" si="17"/>
        <v>0</v>
      </c>
      <c r="Q39" s="242">
        <f t="shared" si="18"/>
        <v>0</v>
      </c>
      <c r="R39" s="242">
        <f t="shared" si="19"/>
        <v>1100</v>
      </c>
      <c r="S39" s="258">
        <f t="shared" si="27"/>
        <v>1760</v>
      </c>
      <c r="T39" s="259">
        <f t="shared" si="20"/>
        <v>0</v>
      </c>
      <c r="U39" s="259">
        <f t="shared" si="21"/>
        <v>660</v>
      </c>
      <c r="V39" s="259">
        <f t="shared" si="22"/>
        <v>0</v>
      </c>
      <c r="W39" s="260">
        <f t="shared" si="23"/>
        <v>0</v>
      </c>
      <c r="X39" s="260">
        <f t="shared" si="24"/>
        <v>260</v>
      </c>
      <c r="Y39" s="261">
        <v>1016276</v>
      </c>
      <c r="Z39" s="262">
        <v>1016267</v>
      </c>
      <c r="AA39" s="263">
        <f>SUMIF('Busbar Calculations'!$A:$A,"=6300",'Busbar Calculations'!N:N)+SUMIF('Busbar Calculations'!$A:$A,"=6300",'Busbar Calculations'!O:O)+SUMIF('Busbar Calculations'!$A:$A,"=6300",'Busbar Calculations'!Q:Q)</f>
        <v>0</v>
      </c>
      <c r="AB39" s="264">
        <v>1016276</v>
      </c>
      <c r="AC39" s="262">
        <v>1016267</v>
      </c>
      <c r="AD39" s="263">
        <f>SUMIF('Busbar Calculations'!$A:$A,"=6300",'Busbar Calculations'!P:P)+SUMIF('Busbar Calculations'!$A:$A,"=6300",'Busbar Calculations'!R:R)</f>
        <v>0</v>
      </c>
      <c r="AE39" s="261">
        <v>1016279</v>
      </c>
      <c r="AF39" s="265">
        <v>1016268</v>
      </c>
      <c r="AG39" s="263">
        <f>SUMIF('Busbar Calculations'!$A:$A,"=6300",'Busbar Calculations'!S:S)</f>
        <v>0</v>
      </c>
    </row>
    <row r="41" spans="1:33">
      <c r="G41" s="230"/>
      <c r="H41" s="230"/>
      <c r="I41" s="230"/>
      <c r="J41" s="230"/>
      <c r="K41" s="230"/>
    </row>
    <row r="42" spans="1:33">
      <c r="A42" s="269">
        <v>1</v>
      </c>
      <c r="B42" s="270" t="s">
        <v>56</v>
      </c>
      <c r="C42" s="91"/>
      <c r="D42" s="269">
        <f>VLOOKUP(I42,G42:H43,2,0)</f>
        <v>1</v>
      </c>
      <c r="G42" s="270" t="s">
        <v>56</v>
      </c>
      <c r="H42" s="269">
        <v>1</v>
      </c>
      <c r="I42" s="270" t="str">
        <f>'BUSBAR 2013'!D2</f>
        <v>AS PER OLD IEC</v>
      </c>
      <c r="J42" s="230"/>
      <c r="K42" s="230"/>
      <c r="L42" s="230"/>
      <c r="M42" s="230"/>
    </row>
    <row r="43" spans="1:33">
      <c r="A43" s="269">
        <v>2</v>
      </c>
      <c r="B43" s="270" t="s">
        <v>57</v>
      </c>
      <c r="C43" s="91"/>
      <c r="D43" s="125"/>
      <c r="G43" s="270" t="s">
        <v>57</v>
      </c>
      <c r="H43" s="269">
        <v>2</v>
      </c>
      <c r="I43" s="294"/>
      <c r="J43" s="230"/>
      <c r="K43" s="230"/>
      <c r="L43" s="230"/>
      <c r="M43" s="230"/>
    </row>
    <row r="44" spans="1:33">
      <c r="A44" s="271">
        <v>1</v>
      </c>
      <c r="B44" s="272" t="s">
        <v>49</v>
      </c>
      <c r="C44" s="91"/>
      <c r="D44" s="271">
        <f>VLOOKUP(I44,G44:H45,2,0)</f>
        <v>1</v>
      </c>
      <c r="G44" s="272" t="s">
        <v>49</v>
      </c>
      <c r="H44" s="271">
        <v>1</v>
      </c>
      <c r="I44" s="272" t="str">
        <f>'BUSBAR 2013'!D4</f>
        <v>FORM1 / FORM2</v>
      </c>
      <c r="J44" s="230"/>
      <c r="K44" s="230"/>
      <c r="L44" s="230"/>
      <c r="M44" s="230"/>
    </row>
    <row r="45" spans="1:33">
      <c r="A45" s="271">
        <v>2</v>
      </c>
      <c r="B45" s="272" t="s">
        <v>50</v>
      </c>
      <c r="C45" s="91"/>
      <c r="D45" s="125"/>
      <c r="G45" s="272" t="s">
        <v>50</v>
      </c>
      <c r="H45" s="271">
        <v>2</v>
      </c>
      <c r="I45" s="295"/>
      <c r="J45" s="230"/>
      <c r="K45" s="230"/>
      <c r="L45" s="230"/>
      <c r="M45" s="230"/>
    </row>
    <row r="46" spans="1:33">
      <c r="A46" s="273">
        <v>1</v>
      </c>
      <c r="B46" s="274" t="s">
        <v>45</v>
      </c>
      <c r="C46" s="91"/>
      <c r="D46" s="275">
        <f>VLOOKUP(I46,G46:H49,2,0)</f>
        <v>1</v>
      </c>
      <c r="G46" s="274" t="s">
        <v>45</v>
      </c>
      <c r="H46" s="273">
        <v>1</v>
      </c>
      <c r="I46" s="274" t="str">
        <f>'BUSBAR 2013'!D6</f>
        <v>TIN</v>
      </c>
      <c r="J46" s="230"/>
      <c r="K46" s="230"/>
      <c r="L46" s="230"/>
      <c r="M46" s="230"/>
    </row>
    <row r="47" spans="1:33">
      <c r="A47" s="273">
        <v>2</v>
      </c>
      <c r="B47" s="274" t="s">
        <v>46</v>
      </c>
      <c r="C47" s="91"/>
      <c r="D47" s="276"/>
      <c r="G47" s="274" t="s">
        <v>46</v>
      </c>
      <c r="H47" s="273">
        <v>2</v>
      </c>
      <c r="I47" s="295"/>
      <c r="J47" s="230"/>
      <c r="K47" s="230"/>
      <c r="L47" s="230"/>
      <c r="M47" s="230"/>
    </row>
    <row r="48" spans="1:33">
      <c r="A48" s="273">
        <v>3</v>
      </c>
      <c r="B48" s="274" t="s">
        <v>47</v>
      </c>
      <c r="C48" s="91"/>
      <c r="D48" s="277"/>
      <c r="G48" s="274" t="s">
        <v>47</v>
      </c>
      <c r="H48" s="273">
        <v>3</v>
      </c>
      <c r="I48" s="295"/>
      <c r="J48" s="230"/>
      <c r="K48" s="230"/>
      <c r="L48" s="230"/>
      <c r="M48" s="230"/>
    </row>
    <row r="49" spans="1:13">
      <c r="A49" s="273">
        <v>4</v>
      </c>
      <c r="B49" s="274" t="s">
        <v>48</v>
      </c>
      <c r="C49" s="91"/>
      <c r="D49" s="278"/>
      <c r="G49" s="274" t="s">
        <v>48</v>
      </c>
      <c r="H49" s="273">
        <v>4</v>
      </c>
      <c r="I49" s="295"/>
      <c r="J49" s="230"/>
      <c r="K49" s="230"/>
      <c r="L49" s="230"/>
      <c r="M49" s="230"/>
    </row>
    <row r="50" spans="1:13">
      <c r="A50" s="279">
        <v>1</v>
      </c>
      <c r="B50" s="280" t="s">
        <v>65</v>
      </c>
      <c r="C50" s="91"/>
      <c r="D50" s="281">
        <f>VLOOKUP(I50,G50:H51,2,0)</f>
        <v>1</v>
      </c>
      <c r="G50" s="280" t="s">
        <v>65</v>
      </c>
      <c r="H50" s="279">
        <v>1</v>
      </c>
      <c r="I50" s="280" t="str">
        <f>'BUSBAR 2013'!K2</f>
        <v>3 Pole</v>
      </c>
      <c r="J50" s="230"/>
      <c r="K50" s="230"/>
      <c r="L50" s="230"/>
      <c r="M50" s="230"/>
    </row>
    <row r="51" spans="1:13">
      <c r="A51" s="279">
        <v>2</v>
      </c>
      <c r="B51" s="280" t="s">
        <v>66</v>
      </c>
      <c r="C51" s="91"/>
      <c r="D51" s="125"/>
      <c r="G51" s="280" t="s">
        <v>66</v>
      </c>
      <c r="H51" s="279">
        <v>2</v>
      </c>
      <c r="I51" s="295"/>
      <c r="J51" s="230"/>
      <c r="K51" s="230"/>
      <c r="L51" s="230"/>
      <c r="M51" s="230"/>
    </row>
    <row r="52" spans="1:13">
      <c r="A52" s="282">
        <v>1</v>
      </c>
      <c r="B52" s="283" t="s">
        <v>51</v>
      </c>
      <c r="C52" s="91"/>
      <c r="D52" s="282">
        <f>VLOOKUP(I52,G52:H53,2,0)</f>
        <v>1</v>
      </c>
      <c r="G52" s="283" t="s">
        <v>51</v>
      </c>
      <c r="H52" s="282">
        <v>1</v>
      </c>
      <c r="I52" s="296" t="str">
        <f>'BUSBAR 2013'!K4</f>
        <v>50% OF MAIN B.B</v>
      </c>
      <c r="J52" s="230"/>
      <c r="K52" s="230"/>
      <c r="L52" s="230"/>
      <c r="M52" s="230"/>
    </row>
    <row r="53" spans="1:13">
      <c r="A53" s="282">
        <v>2</v>
      </c>
      <c r="B53" s="283" t="s">
        <v>52</v>
      </c>
      <c r="C53" s="91"/>
      <c r="D53" s="125"/>
      <c r="G53" s="283" t="s">
        <v>52</v>
      </c>
      <c r="H53" s="282">
        <v>2</v>
      </c>
      <c r="I53" s="295"/>
      <c r="J53" s="230"/>
      <c r="K53" s="230"/>
      <c r="L53" s="230"/>
      <c r="M53" s="230"/>
    </row>
    <row r="54" spans="1:13">
      <c r="A54" s="284">
        <v>1</v>
      </c>
      <c r="B54" s="285" t="s">
        <v>53</v>
      </c>
      <c r="C54" s="91"/>
      <c r="D54" s="284">
        <f>VLOOKUP(I54,G54:H55,2,0)</f>
        <v>1</v>
      </c>
      <c r="G54" s="285" t="s">
        <v>53</v>
      </c>
      <c r="H54" s="284">
        <v>1</v>
      </c>
      <c r="I54" s="285" t="str">
        <f>'BUSBAR 2013'!K6</f>
        <v>50% OF MAIN N.B</v>
      </c>
      <c r="J54" s="230"/>
      <c r="K54" s="230"/>
      <c r="L54" s="230"/>
      <c r="M54" s="230"/>
    </row>
    <row r="55" spans="1:13">
      <c r="A55" s="284">
        <v>2</v>
      </c>
      <c r="B55" s="285" t="s">
        <v>54</v>
      </c>
      <c r="C55" s="91"/>
      <c r="D55" s="276"/>
      <c r="G55" s="285" t="s">
        <v>54</v>
      </c>
      <c r="H55" s="284">
        <v>2</v>
      </c>
    </row>
    <row r="56" spans="1:13">
      <c r="D56" s="286"/>
    </row>
    <row r="58" spans="1:13" ht="15" thickBot="1"/>
    <row r="59" spans="1:13" ht="18.75" thickBot="1">
      <c r="A59" s="521" t="s">
        <v>414</v>
      </c>
      <c r="B59" s="521"/>
      <c r="C59" s="346">
        <f>(F60+F61)*(3.756/1000)</f>
        <v>26.179319999999997</v>
      </c>
      <c r="E59" s="522" t="s">
        <v>477</v>
      </c>
      <c r="F59" s="523"/>
    </row>
    <row r="60" spans="1:13" ht="18.75" thickBot="1">
      <c r="A60" s="521" t="s">
        <v>85</v>
      </c>
      <c r="B60" s="521" t="s">
        <v>85</v>
      </c>
      <c r="C60" s="346">
        <f>F62*(3.756/1000)</f>
        <v>0.75119999999999998</v>
      </c>
      <c r="E60" s="421" t="s">
        <v>478</v>
      </c>
      <c r="F60" s="422">
        <v>6300</v>
      </c>
    </row>
    <row r="61" spans="1:13" ht="15.75" thickBot="1">
      <c r="A61" s="347"/>
      <c r="B61" s="348"/>
      <c r="C61" s="347"/>
      <c r="E61" s="421" t="s">
        <v>479</v>
      </c>
      <c r="F61" s="422">
        <v>670</v>
      </c>
    </row>
    <row r="62" spans="1:13" s="287" customFormat="1" ht="18.75" thickBot="1">
      <c r="A62" s="521" t="s">
        <v>482</v>
      </c>
      <c r="B62" s="521"/>
      <c r="C62" s="346"/>
      <c r="E62" s="421" t="s">
        <v>480</v>
      </c>
      <c r="F62" s="422">
        <v>200</v>
      </c>
    </row>
    <row r="63" spans="1:13" s="374" customFormat="1" ht="18.75" thickBot="1">
      <c r="A63" s="371">
        <v>1059245</v>
      </c>
      <c r="B63" s="372" t="s">
        <v>334</v>
      </c>
      <c r="C63" s="373">
        <v>875</v>
      </c>
      <c r="E63" s="421"/>
      <c r="F63" s="421"/>
    </row>
    <row r="64" spans="1:13" s="374" customFormat="1" ht="18">
      <c r="A64" s="371">
        <v>1077467</v>
      </c>
      <c r="B64" s="372" t="s">
        <v>481</v>
      </c>
      <c r="C64" s="373">
        <v>9.8000000000000007</v>
      </c>
    </row>
    <row r="65" spans="1:18" s="374" customFormat="1" ht="18">
      <c r="A65" s="371">
        <v>1077468</v>
      </c>
      <c r="B65" s="372" t="s">
        <v>41</v>
      </c>
      <c r="C65" s="373">
        <v>350</v>
      </c>
    </row>
    <row r="66" spans="1:18" s="374" customFormat="1" ht="18.75">
      <c r="A66" s="425"/>
      <c r="B66" s="426"/>
      <c r="C66" s="427"/>
    </row>
    <row r="67" spans="1:18" s="374" customFormat="1" ht="18">
      <c r="A67" s="521" t="s">
        <v>335</v>
      </c>
      <c r="B67" s="521"/>
      <c r="C67" s="369"/>
    </row>
    <row r="68" spans="1:18" s="374" customFormat="1" ht="18.75">
      <c r="A68" s="375">
        <v>1014755</v>
      </c>
      <c r="B68" s="376" t="s">
        <v>79</v>
      </c>
      <c r="C68" s="373">
        <v>10</v>
      </c>
    </row>
    <row r="69" spans="1:18" s="374" customFormat="1" ht="18.75">
      <c r="A69" s="375">
        <v>1014756</v>
      </c>
      <c r="B69" s="376" t="s">
        <v>80</v>
      </c>
      <c r="C69" s="373">
        <v>10</v>
      </c>
    </row>
    <row r="70" spans="1:18" s="374" customFormat="1" ht="18.75">
      <c r="A70" s="375">
        <v>1014757</v>
      </c>
      <c r="B70" s="376" t="s">
        <v>81</v>
      </c>
      <c r="C70" s="373">
        <v>6</v>
      </c>
    </row>
    <row r="71" spans="1:18" s="374" customFormat="1" ht="18.75">
      <c r="A71" s="377">
        <v>1059137</v>
      </c>
      <c r="B71" s="378" t="s">
        <v>82</v>
      </c>
      <c r="C71" s="373">
        <v>31</v>
      </c>
    </row>
    <row r="72" spans="1:18" s="374" customFormat="1" ht="18.75">
      <c r="A72" s="377">
        <v>1059138</v>
      </c>
      <c r="B72" s="378" t="s">
        <v>83</v>
      </c>
      <c r="C72" s="373">
        <v>40</v>
      </c>
    </row>
    <row r="73" spans="1:18" s="374" customFormat="1" ht="18.75">
      <c r="A73" s="377">
        <v>1059139</v>
      </c>
      <c r="B73" s="378" t="s">
        <v>78</v>
      </c>
      <c r="C73" s="373">
        <v>24</v>
      </c>
    </row>
    <row r="74" spans="1:18" s="374" customFormat="1" ht="18.75">
      <c r="A74" s="379">
        <v>1077468</v>
      </c>
      <c r="B74" s="380" t="s">
        <v>41</v>
      </c>
      <c r="C74" s="373">
        <v>350</v>
      </c>
    </row>
    <row r="75" spans="1:18" s="384" customFormat="1" ht="20.25">
      <c r="A75" s="381">
        <v>1040806</v>
      </c>
      <c r="B75" s="382" t="s">
        <v>382</v>
      </c>
      <c r="C75" s="373">
        <v>80</v>
      </c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</row>
  </sheetData>
  <mergeCells count="23">
    <mergeCell ref="C22:E22"/>
    <mergeCell ref="F22:H22"/>
    <mergeCell ref="I22:K22"/>
    <mergeCell ref="A62:B62"/>
    <mergeCell ref="A67:B67"/>
    <mergeCell ref="A60:B60"/>
    <mergeCell ref="A59:B59"/>
    <mergeCell ref="E59:F59"/>
    <mergeCell ref="Y22:AA22"/>
    <mergeCell ref="AB22:AD22"/>
    <mergeCell ref="AE22:AG22"/>
    <mergeCell ref="S2:X2"/>
    <mergeCell ref="M2:R2"/>
    <mergeCell ref="AE2:AG2"/>
    <mergeCell ref="AB2:AD2"/>
    <mergeCell ref="Y2:AA2"/>
    <mergeCell ref="M22:R22"/>
    <mergeCell ref="S22:X22"/>
    <mergeCell ref="A1:K1"/>
    <mergeCell ref="C2:E2"/>
    <mergeCell ref="F2:H2"/>
    <mergeCell ref="I2:K2"/>
    <mergeCell ref="A21:K21"/>
  </mergeCells>
  <conditionalFormatting sqref="B63 B68:B74">
    <cfRule type="duplicateValues" dxfId="32" priority="30"/>
  </conditionalFormatting>
  <conditionalFormatting sqref="A63 A68:A74">
    <cfRule type="duplicateValues" dxfId="31" priority="29"/>
  </conditionalFormatting>
  <conditionalFormatting sqref="B62:C62">
    <cfRule type="duplicateValues" dxfId="30" priority="28"/>
  </conditionalFormatting>
  <conditionalFormatting sqref="A62">
    <cfRule type="duplicateValues" dxfId="29" priority="27"/>
  </conditionalFormatting>
  <conditionalFormatting sqref="A68:A74 A62:A63">
    <cfRule type="duplicateValues" dxfId="28" priority="26"/>
  </conditionalFormatting>
  <conditionalFormatting sqref="B67">
    <cfRule type="duplicateValues" dxfId="27" priority="25"/>
  </conditionalFormatting>
  <conditionalFormatting sqref="A67">
    <cfRule type="duplicateValues" dxfId="26" priority="24"/>
  </conditionalFormatting>
  <conditionalFormatting sqref="A67">
    <cfRule type="duplicateValues" dxfId="25" priority="23"/>
  </conditionalFormatting>
  <conditionalFormatting sqref="B60">
    <cfRule type="duplicateValues" dxfId="24" priority="21"/>
  </conditionalFormatting>
  <conditionalFormatting sqref="A60">
    <cfRule type="duplicateValues" dxfId="23" priority="20"/>
  </conditionalFormatting>
  <conditionalFormatting sqref="A60">
    <cfRule type="duplicateValues" dxfId="22" priority="19"/>
  </conditionalFormatting>
  <conditionalFormatting sqref="C59:C60">
    <cfRule type="duplicateValues" dxfId="21" priority="18"/>
  </conditionalFormatting>
  <conditionalFormatting sqref="B59">
    <cfRule type="duplicateValues" dxfId="20" priority="17"/>
  </conditionalFormatting>
  <conditionalFormatting sqref="A59">
    <cfRule type="duplicateValues" dxfId="19" priority="16"/>
  </conditionalFormatting>
  <conditionalFormatting sqref="A59">
    <cfRule type="duplicateValues" dxfId="18" priority="15"/>
  </conditionalFormatting>
  <conditionalFormatting sqref="B61">
    <cfRule type="duplicateValues" dxfId="17" priority="14"/>
  </conditionalFormatting>
  <conditionalFormatting sqref="A61">
    <cfRule type="duplicateValues" dxfId="16" priority="13"/>
  </conditionalFormatting>
  <conditionalFormatting sqref="A61">
    <cfRule type="duplicateValues" dxfId="15" priority="12"/>
  </conditionalFormatting>
  <conditionalFormatting sqref="A66">
    <cfRule type="duplicateValues" dxfId="14" priority="6"/>
  </conditionalFormatting>
  <conditionalFormatting sqref="B66">
    <cfRule type="duplicateValues" dxfId="13" priority="7"/>
  </conditionalFormatting>
  <conditionalFormatting sqref="A66">
    <cfRule type="duplicateValues" dxfId="12" priority="5"/>
  </conditionalFormatting>
  <conditionalFormatting sqref="B64:B65">
    <cfRule type="duplicateValues" dxfId="11" priority="3"/>
  </conditionalFormatting>
  <conditionalFormatting sqref="A64:A65">
    <cfRule type="duplicateValues" dxfId="10" priority="2"/>
  </conditionalFormatting>
  <conditionalFormatting sqref="A64:A65">
    <cfRule type="duplicateValues" dxfId="9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6"/>
  <sheetViews>
    <sheetView topLeftCell="A53" zoomScale="70" zoomScaleNormal="70" workbookViewId="0">
      <selection activeCell="A89" sqref="A89"/>
    </sheetView>
  </sheetViews>
  <sheetFormatPr defaultRowHeight="12.75"/>
  <cols>
    <col min="1" max="1" width="78.140625" customWidth="1"/>
    <col min="2" max="2" width="14.5703125" customWidth="1"/>
    <col min="3" max="3" width="19.28515625" customWidth="1"/>
    <col min="4" max="4" width="24.7109375" bestFit="1" customWidth="1"/>
    <col min="5" max="5" width="13.5703125" customWidth="1"/>
    <col min="6" max="6" width="25.42578125" bestFit="1" customWidth="1"/>
    <col min="7" max="7" width="18.85546875" customWidth="1"/>
    <col min="8" max="8" width="34.28515625" customWidth="1"/>
    <col min="9" max="9" width="21.7109375" customWidth="1"/>
  </cols>
  <sheetData>
    <row r="1" spans="1:9" ht="26.25" customHeight="1" thickBot="1"/>
    <row r="2" spans="1:9" s="17" customFormat="1" ht="54.75" thickBot="1">
      <c r="A2" s="399" t="s">
        <v>95</v>
      </c>
      <c r="B2" s="400" t="s">
        <v>96</v>
      </c>
      <c r="C2" s="400" t="s">
        <v>97</v>
      </c>
      <c r="D2" s="400" t="s">
        <v>98</v>
      </c>
      <c r="E2" s="400" t="s">
        <v>40</v>
      </c>
      <c r="F2" s="400" t="s">
        <v>99</v>
      </c>
      <c r="G2" s="390" t="s">
        <v>464</v>
      </c>
      <c r="H2" s="390" t="s">
        <v>465</v>
      </c>
      <c r="I2" s="390" t="s">
        <v>100</v>
      </c>
    </row>
    <row r="3" spans="1:9" ht="16.5" thickBot="1">
      <c r="A3" s="6" t="s">
        <v>474</v>
      </c>
      <c r="B3" s="7" t="s">
        <v>101</v>
      </c>
      <c r="C3" s="56">
        <v>1.2</v>
      </c>
      <c r="D3" s="56">
        <v>0.25</v>
      </c>
      <c r="E3" s="56">
        <v>0.2</v>
      </c>
      <c r="F3" s="18">
        <f>SUM('BUSBAR 2013'!B11:I14)</f>
        <v>0</v>
      </c>
      <c r="G3" s="7">
        <f>(C3+D3)*F3</f>
        <v>0</v>
      </c>
      <c r="H3" s="7">
        <f>F3*D3</f>
        <v>0</v>
      </c>
      <c r="I3" s="7">
        <f>E3*F3</f>
        <v>0</v>
      </c>
    </row>
    <row r="4" spans="1:9" ht="16.5" thickBot="1">
      <c r="A4" s="6" t="s">
        <v>102</v>
      </c>
      <c r="B4" s="7" t="s">
        <v>103</v>
      </c>
      <c r="C4" s="56">
        <v>2.2000000000000002</v>
      </c>
      <c r="D4" s="56">
        <v>0.5</v>
      </c>
      <c r="E4" s="56">
        <v>0.35</v>
      </c>
      <c r="F4" s="18">
        <f>SUM('BUSBAR 2013'!J11:L14)</f>
        <v>0</v>
      </c>
      <c r="G4" s="7">
        <f t="shared" ref="G4:G25" si="0">(C4+D4)*F4</f>
        <v>0</v>
      </c>
      <c r="H4" s="7">
        <f t="shared" ref="H4:H25" si="1">F4*D4</f>
        <v>0</v>
      </c>
      <c r="I4" s="7">
        <f>E4*F4</f>
        <v>0</v>
      </c>
    </row>
    <row r="5" spans="1:9" ht="16.5" thickBot="1">
      <c r="A5" s="6" t="s">
        <v>104</v>
      </c>
      <c r="B5" s="7" t="s">
        <v>105</v>
      </c>
      <c r="C5" s="56">
        <v>4</v>
      </c>
      <c r="D5" s="56">
        <v>1.25</v>
      </c>
      <c r="E5" s="56">
        <v>0.55000000000000004</v>
      </c>
      <c r="F5" s="18">
        <f>SUM('BUSBAR 2013'!M11:O14)</f>
        <v>3</v>
      </c>
      <c r="G5" s="7">
        <f t="shared" si="0"/>
        <v>15.75</v>
      </c>
      <c r="H5" s="7">
        <f t="shared" si="1"/>
        <v>3.75</v>
      </c>
      <c r="I5" s="7">
        <f t="shared" ref="I5:I31" si="2">E5*F5</f>
        <v>1.6500000000000001</v>
      </c>
    </row>
    <row r="6" spans="1:9" ht="16.5" thickBot="1">
      <c r="A6" s="6" t="s">
        <v>106</v>
      </c>
      <c r="B6" s="7" t="s">
        <v>107</v>
      </c>
      <c r="C6" s="56">
        <v>5.25</v>
      </c>
      <c r="D6" s="56">
        <v>2.5</v>
      </c>
      <c r="E6" s="56">
        <v>0.75</v>
      </c>
      <c r="F6" s="18">
        <f>SUM('BUSBAR 2013'!P11:P14)</f>
        <v>0</v>
      </c>
      <c r="G6" s="7">
        <f t="shared" si="0"/>
        <v>0</v>
      </c>
      <c r="H6" s="7">
        <f t="shared" si="1"/>
        <v>0</v>
      </c>
      <c r="I6" s="7">
        <f t="shared" si="2"/>
        <v>0</v>
      </c>
    </row>
    <row r="7" spans="1:9" ht="16.5" thickBot="1">
      <c r="A7" s="6" t="s">
        <v>108</v>
      </c>
      <c r="B7" s="7" t="s">
        <v>109</v>
      </c>
      <c r="C7" s="56">
        <v>7.25</v>
      </c>
      <c r="D7" s="56">
        <v>3.5</v>
      </c>
      <c r="E7" s="56">
        <v>0.9</v>
      </c>
      <c r="F7" s="18">
        <f>SUM('BUSBAR 2013'!Q11:Q14)</f>
        <v>0</v>
      </c>
      <c r="G7" s="7">
        <f t="shared" si="0"/>
        <v>0</v>
      </c>
      <c r="H7" s="7">
        <f t="shared" si="1"/>
        <v>0</v>
      </c>
      <c r="I7" s="7">
        <f t="shared" si="2"/>
        <v>0</v>
      </c>
    </row>
    <row r="8" spans="1:9" ht="16.5" thickBot="1">
      <c r="A8" s="6"/>
      <c r="B8" s="7"/>
      <c r="C8" s="56"/>
      <c r="D8" s="56"/>
      <c r="E8" s="56"/>
      <c r="F8" s="7"/>
      <c r="G8" s="7"/>
      <c r="H8" s="7"/>
      <c r="I8" s="7"/>
    </row>
    <row r="9" spans="1:9" ht="16.5" thickBot="1">
      <c r="A9" s="6" t="s">
        <v>415</v>
      </c>
      <c r="B9" s="7" t="s">
        <v>110</v>
      </c>
      <c r="C9" s="56">
        <v>0.5</v>
      </c>
      <c r="D9" s="56">
        <v>0.35</v>
      </c>
      <c r="E9" s="56">
        <v>0.25</v>
      </c>
      <c r="F9" s="18">
        <f>SUM('BUSBAR 2013'!B18:I18)</f>
        <v>4</v>
      </c>
      <c r="G9" s="7">
        <f t="shared" si="0"/>
        <v>3.4</v>
      </c>
      <c r="H9" s="7">
        <f t="shared" si="1"/>
        <v>1.4</v>
      </c>
      <c r="I9" s="7">
        <f t="shared" si="2"/>
        <v>1</v>
      </c>
    </row>
    <row r="10" spans="1:9" ht="16.5" thickBot="1">
      <c r="A10" s="6" t="s">
        <v>111</v>
      </c>
      <c r="B10" s="7" t="s">
        <v>112</v>
      </c>
      <c r="C10" s="56">
        <v>1.25</v>
      </c>
      <c r="D10" s="56">
        <v>0.7</v>
      </c>
      <c r="E10" s="56">
        <v>0.3</v>
      </c>
      <c r="F10" s="18">
        <f>SUM('BUSBAR 2013'!J18:L18)</f>
        <v>0</v>
      </c>
      <c r="G10" s="7">
        <f t="shared" si="0"/>
        <v>0</v>
      </c>
      <c r="H10" s="7">
        <f t="shared" si="1"/>
        <v>0</v>
      </c>
      <c r="I10" s="7">
        <f t="shared" si="2"/>
        <v>0</v>
      </c>
    </row>
    <row r="11" spans="1:9" ht="16.5" thickBot="1">
      <c r="A11" s="6" t="s">
        <v>113</v>
      </c>
      <c r="B11" s="7" t="s">
        <v>114</v>
      </c>
      <c r="C11" s="56">
        <v>3.5</v>
      </c>
      <c r="D11" s="56">
        <v>1.2</v>
      </c>
      <c r="E11" s="56">
        <v>0.35</v>
      </c>
      <c r="F11" s="18">
        <f>SUM('BUSBAR 2013'!M18:O18)</f>
        <v>1</v>
      </c>
      <c r="G11" s="7">
        <f t="shared" si="0"/>
        <v>4.7</v>
      </c>
      <c r="H11" s="7">
        <f t="shared" si="1"/>
        <v>1.2</v>
      </c>
      <c r="I11" s="7">
        <f t="shared" si="2"/>
        <v>0.35</v>
      </c>
    </row>
    <row r="12" spans="1:9" ht="16.5" thickBot="1">
      <c r="A12" s="6" t="s">
        <v>115</v>
      </c>
      <c r="B12" s="7" t="s">
        <v>116</v>
      </c>
      <c r="C12" s="56">
        <v>5</v>
      </c>
      <c r="D12" s="56">
        <v>1.7</v>
      </c>
      <c r="E12" s="56">
        <v>0.5</v>
      </c>
      <c r="F12" s="18">
        <f>'BUSBAR 2013'!P18</f>
        <v>0</v>
      </c>
      <c r="G12" s="7">
        <f t="shared" si="0"/>
        <v>0</v>
      </c>
      <c r="H12" s="7">
        <f t="shared" si="1"/>
        <v>0</v>
      </c>
      <c r="I12" s="7">
        <f t="shared" si="2"/>
        <v>0</v>
      </c>
    </row>
    <row r="13" spans="1:9" ht="16.5" thickBot="1">
      <c r="A13" s="6" t="s">
        <v>117</v>
      </c>
      <c r="B13" s="7" t="s">
        <v>118</v>
      </c>
      <c r="C13" s="56">
        <v>7</v>
      </c>
      <c r="D13" s="56">
        <v>2.5</v>
      </c>
      <c r="E13" s="56">
        <v>0.55000000000000004</v>
      </c>
      <c r="F13" s="18">
        <f>'BUSBAR 2013'!Q18</f>
        <v>0</v>
      </c>
      <c r="G13" s="7">
        <f t="shared" si="0"/>
        <v>0</v>
      </c>
      <c r="H13" s="7">
        <f t="shared" si="1"/>
        <v>0</v>
      </c>
      <c r="I13" s="7">
        <f t="shared" si="2"/>
        <v>0</v>
      </c>
    </row>
    <row r="14" spans="1:9" ht="16.5" thickBot="1">
      <c r="A14" s="6"/>
      <c r="B14" s="7"/>
      <c r="C14" s="56"/>
      <c r="D14" s="56"/>
      <c r="E14" s="56"/>
      <c r="F14" s="7"/>
      <c r="G14" s="7"/>
      <c r="H14" s="7"/>
      <c r="I14" s="7"/>
    </row>
    <row r="15" spans="1:9" ht="16.5" thickBot="1">
      <c r="A15" s="6" t="s">
        <v>475</v>
      </c>
      <c r="B15" s="7" t="s">
        <v>110</v>
      </c>
      <c r="C15" s="56">
        <v>1.1499999999999999</v>
      </c>
      <c r="D15" s="56">
        <v>0.6</v>
      </c>
      <c r="E15" s="56">
        <v>0.25</v>
      </c>
      <c r="F15" s="18">
        <f>SUM('BUSBAR 2013'!B22:I25)</f>
        <v>5</v>
      </c>
      <c r="G15" s="7">
        <f t="shared" si="0"/>
        <v>8.75</v>
      </c>
      <c r="H15" s="7">
        <f t="shared" si="1"/>
        <v>3</v>
      </c>
      <c r="I15" s="7">
        <f t="shared" si="2"/>
        <v>1.25</v>
      </c>
    </row>
    <row r="16" spans="1:9" ht="16.5" thickBot="1">
      <c r="A16" s="6" t="s">
        <v>119</v>
      </c>
      <c r="B16" s="7" t="s">
        <v>112</v>
      </c>
      <c r="C16" s="56">
        <v>2.5</v>
      </c>
      <c r="D16" s="56">
        <v>1</v>
      </c>
      <c r="E16" s="56">
        <v>0.3</v>
      </c>
      <c r="F16" s="18">
        <f>SUM('BUSBAR 2013'!J22:L25)</f>
        <v>0</v>
      </c>
      <c r="G16" s="7">
        <f t="shared" si="0"/>
        <v>0</v>
      </c>
      <c r="H16" s="7">
        <f t="shared" si="1"/>
        <v>0</v>
      </c>
      <c r="I16" s="7">
        <f t="shared" si="2"/>
        <v>0</v>
      </c>
    </row>
    <row r="17" spans="1:9" ht="16.5" thickBot="1">
      <c r="A17" s="6" t="s">
        <v>120</v>
      </c>
      <c r="B17" s="7" t="s">
        <v>114</v>
      </c>
      <c r="C17" s="56">
        <v>5</v>
      </c>
      <c r="D17" s="56">
        <v>1.5</v>
      </c>
      <c r="E17" s="56">
        <v>0.35</v>
      </c>
      <c r="F17" s="18">
        <f>SUM('BUSBAR 2013'!M22:O25)</f>
        <v>1</v>
      </c>
      <c r="G17" s="7">
        <f t="shared" si="0"/>
        <v>6.5</v>
      </c>
      <c r="H17" s="7">
        <f t="shared" si="1"/>
        <v>1.5</v>
      </c>
      <c r="I17" s="7">
        <f t="shared" si="2"/>
        <v>0.35</v>
      </c>
    </row>
    <row r="18" spans="1:9" ht="16.5" thickBot="1">
      <c r="A18" s="6" t="s">
        <v>121</v>
      </c>
      <c r="B18" s="7" t="s">
        <v>116</v>
      </c>
      <c r="C18" s="56">
        <v>6</v>
      </c>
      <c r="D18" s="56">
        <v>2.5</v>
      </c>
      <c r="E18" s="56">
        <v>0.5</v>
      </c>
      <c r="F18" s="18">
        <f>SUM('BUSBAR 2013'!P22:P25)</f>
        <v>0</v>
      </c>
      <c r="G18" s="7">
        <f t="shared" si="0"/>
        <v>0</v>
      </c>
      <c r="H18" s="7">
        <f t="shared" si="1"/>
        <v>0</v>
      </c>
      <c r="I18" s="7">
        <f t="shared" si="2"/>
        <v>0</v>
      </c>
    </row>
    <row r="19" spans="1:9" ht="16.5" thickBot="1">
      <c r="A19" s="6" t="s">
        <v>122</v>
      </c>
      <c r="B19" s="7" t="s">
        <v>118</v>
      </c>
      <c r="C19" s="56">
        <v>8</v>
      </c>
      <c r="D19" s="56">
        <v>3.5</v>
      </c>
      <c r="E19" s="56">
        <v>0.55000000000000004</v>
      </c>
      <c r="F19" s="18">
        <f>SUM('BUSBAR 2013'!Q22:Q25)</f>
        <v>0</v>
      </c>
      <c r="G19" s="7">
        <f t="shared" si="0"/>
        <v>0</v>
      </c>
      <c r="H19" s="7">
        <f t="shared" si="1"/>
        <v>0</v>
      </c>
      <c r="I19" s="7">
        <f t="shared" si="2"/>
        <v>0</v>
      </c>
    </row>
    <row r="20" spans="1:9" ht="16.5" thickBot="1">
      <c r="A20" s="6"/>
      <c r="B20" s="7"/>
      <c r="C20" s="56"/>
      <c r="D20" s="56"/>
      <c r="E20" s="56"/>
      <c r="F20" s="7"/>
      <c r="G20" s="7"/>
      <c r="H20" s="7"/>
      <c r="I20" s="7">
        <f t="shared" si="2"/>
        <v>0</v>
      </c>
    </row>
    <row r="21" spans="1:9" ht="16.5" thickBot="1">
      <c r="A21" s="6" t="s">
        <v>476</v>
      </c>
      <c r="B21" s="7" t="s">
        <v>110</v>
      </c>
      <c r="C21" s="56">
        <v>2</v>
      </c>
      <c r="D21" s="56">
        <v>1.25</v>
      </c>
      <c r="E21" s="56">
        <v>0.35</v>
      </c>
      <c r="F21" s="18">
        <f>SUM('BUSBAR 2013'!B29:I32)</f>
        <v>0</v>
      </c>
      <c r="G21" s="7">
        <f t="shared" si="0"/>
        <v>0</v>
      </c>
      <c r="H21" s="7">
        <f t="shared" si="1"/>
        <v>0</v>
      </c>
      <c r="I21" s="7">
        <f t="shared" si="2"/>
        <v>0</v>
      </c>
    </row>
    <row r="22" spans="1:9" ht="16.5" thickBot="1">
      <c r="A22" s="6" t="s">
        <v>123</v>
      </c>
      <c r="B22" s="7" t="s">
        <v>112</v>
      </c>
      <c r="C22" s="56">
        <v>4</v>
      </c>
      <c r="D22" s="56">
        <v>2.4</v>
      </c>
      <c r="E22" s="56">
        <v>0.5</v>
      </c>
      <c r="F22" s="18">
        <f>SUM('BUSBAR 2013'!J29:L32)</f>
        <v>0</v>
      </c>
      <c r="G22" s="7">
        <f t="shared" si="0"/>
        <v>0</v>
      </c>
      <c r="H22" s="7">
        <f t="shared" si="1"/>
        <v>0</v>
      </c>
      <c r="I22" s="7">
        <f t="shared" si="2"/>
        <v>0</v>
      </c>
    </row>
    <row r="23" spans="1:9" ht="16.5" thickBot="1">
      <c r="A23" s="6" t="s">
        <v>124</v>
      </c>
      <c r="B23" s="7" t="s">
        <v>114</v>
      </c>
      <c r="C23" s="56">
        <v>7</v>
      </c>
      <c r="D23" s="56">
        <v>4</v>
      </c>
      <c r="E23" s="56">
        <v>1</v>
      </c>
      <c r="F23" s="18">
        <f>SUM('BUSBAR 2013'!M29:O32)</f>
        <v>0</v>
      </c>
      <c r="G23" s="7">
        <f t="shared" si="0"/>
        <v>0</v>
      </c>
      <c r="H23" s="7">
        <f t="shared" si="1"/>
        <v>0</v>
      </c>
      <c r="I23" s="7">
        <f t="shared" si="2"/>
        <v>0</v>
      </c>
    </row>
    <row r="24" spans="1:9" ht="16.5" thickBot="1">
      <c r="A24" s="6" t="s">
        <v>125</v>
      </c>
      <c r="B24" s="7" t="s">
        <v>116</v>
      </c>
      <c r="C24" s="56">
        <v>10</v>
      </c>
      <c r="D24" s="56">
        <v>5</v>
      </c>
      <c r="E24" s="56">
        <v>1.5</v>
      </c>
      <c r="F24" s="18">
        <f>SUM('BUSBAR 2013'!P29:P32)</f>
        <v>0</v>
      </c>
      <c r="G24" s="7">
        <f t="shared" si="0"/>
        <v>0</v>
      </c>
      <c r="H24" s="7">
        <f t="shared" si="1"/>
        <v>0</v>
      </c>
      <c r="I24" s="7">
        <f t="shared" si="2"/>
        <v>0</v>
      </c>
    </row>
    <row r="25" spans="1:9" ht="16.5" thickBot="1">
      <c r="A25" s="6" t="s">
        <v>126</v>
      </c>
      <c r="B25" s="7" t="s">
        <v>118</v>
      </c>
      <c r="C25" s="56">
        <v>13</v>
      </c>
      <c r="D25" s="56">
        <v>5.5</v>
      </c>
      <c r="E25" s="56">
        <v>2</v>
      </c>
      <c r="F25" s="18">
        <f>SUM('BUSBAR 2013'!Q29:Q32)</f>
        <v>0</v>
      </c>
      <c r="G25" s="7">
        <f t="shared" si="0"/>
        <v>0</v>
      </c>
      <c r="H25" s="7">
        <f t="shared" si="1"/>
        <v>0</v>
      </c>
      <c r="I25" s="7">
        <f t="shared" si="2"/>
        <v>0</v>
      </c>
    </row>
    <row r="26" spans="1:9" ht="16.5" thickBot="1">
      <c r="A26" s="6"/>
      <c r="B26" s="7"/>
      <c r="C26" s="56"/>
      <c r="D26" s="56"/>
      <c r="E26" s="56"/>
      <c r="F26" s="7"/>
      <c r="G26" s="7"/>
      <c r="H26" s="7"/>
      <c r="I26" s="7">
        <f t="shared" si="2"/>
        <v>0</v>
      </c>
    </row>
    <row r="27" spans="1:9" ht="16.5" thickBot="1">
      <c r="A27" s="6"/>
      <c r="B27" s="7"/>
      <c r="C27" s="56"/>
      <c r="D27" s="56"/>
      <c r="E27" s="56"/>
      <c r="F27" s="18"/>
      <c r="G27" s="7"/>
      <c r="H27" s="7"/>
      <c r="I27" s="7"/>
    </row>
    <row r="28" spans="1:9" ht="16.5" thickBot="1">
      <c r="A28" s="6" t="s">
        <v>416</v>
      </c>
      <c r="B28" s="7" t="s">
        <v>110</v>
      </c>
      <c r="C28" s="56">
        <v>0.25</v>
      </c>
      <c r="D28" s="56">
        <v>0</v>
      </c>
      <c r="E28" s="56">
        <v>0</v>
      </c>
      <c r="F28" s="18">
        <f>SUM('BUSBAR 2013'!$C$37:$E$37)</f>
        <v>0</v>
      </c>
      <c r="G28" s="7">
        <f t="shared" ref="G28:G30" si="3">(C28+D28)*F28</f>
        <v>0</v>
      </c>
      <c r="H28" s="7">
        <f t="shared" ref="H28:H31" si="4">F28*D28</f>
        <v>0</v>
      </c>
      <c r="I28" s="7">
        <f>E28*F28</f>
        <v>0</v>
      </c>
    </row>
    <row r="29" spans="1:9" ht="16.5" thickBot="1">
      <c r="A29" s="6" t="s">
        <v>417</v>
      </c>
      <c r="B29" s="7" t="s">
        <v>110</v>
      </c>
      <c r="C29" s="56">
        <v>0.5</v>
      </c>
      <c r="D29" s="56">
        <v>0.35</v>
      </c>
      <c r="E29" s="56">
        <v>0.2</v>
      </c>
      <c r="F29" s="18">
        <f>SUM('BUSBAR 2013'!$F$37:$I$37)</f>
        <v>0</v>
      </c>
      <c r="G29" s="7">
        <f t="shared" si="3"/>
        <v>0</v>
      </c>
      <c r="H29" s="7">
        <f t="shared" si="4"/>
        <v>0</v>
      </c>
      <c r="I29" s="7">
        <f t="shared" si="2"/>
        <v>0</v>
      </c>
    </row>
    <row r="30" spans="1:9" ht="16.5" thickBot="1">
      <c r="A30" s="6" t="s">
        <v>418</v>
      </c>
      <c r="B30" s="7" t="s">
        <v>110</v>
      </c>
      <c r="C30" s="56">
        <v>0.5</v>
      </c>
      <c r="D30" s="56">
        <v>0.35</v>
      </c>
      <c r="E30" s="56">
        <v>0.2</v>
      </c>
      <c r="F30" s="18">
        <f>SUM('BUSBAR 2013'!$J$37:$P$37)</f>
        <v>0</v>
      </c>
      <c r="G30" s="7">
        <f t="shared" si="3"/>
        <v>0</v>
      </c>
      <c r="H30" s="7">
        <f t="shared" si="4"/>
        <v>0</v>
      </c>
      <c r="I30" s="7">
        <f>E30*F30</f>
        <v>0</v>
      </c>
    </row>
    <row r="31" spans="1:9" ht="16.5" thickBot="1">
      <c r="A31" s="6"/>
      <c r="B31" s="7"/>
      <c r="C31" s="8"/>
      <c r="D31" s="8"/>
      <c r="E31" s="8"/>
      <c r="F31" s="8"/>
      <c r="G31" s="7"/>
      <c r="H31" s="7">
        <f t="shared" si="4"/>
        <v>0</v>
      </c>
      <c r="I31" s="7">
        <f t="shared" si="2"/>
        <v>0</v>
      </c>
    </row>
    <row r="32" spans="1:9" ht="18.75" thickBot="1">
      <c r="A32" s="3"/>
      <c r="B32" s="4"/>
      <c r="C32" s="4"/>
      <c r="D32" s="4"/>
      <c r="E32" s="4"/>
      <c r="F32" s="4"/>
      <c r="G32" s="389">
        <f>SUM(G3:G31)</f>
        <v>39.099999999999994</v>
      </c>
      <c r="H32" s="389">
        <f>SUM(H3:H31)</f>
        <v>10.850000000000001</v>
      </c>
      <c r="I32" s="389">
        <f>SUM(I3:I31)</f>
        <v>4.5999999999999996</v>
      </c>
    </row>
    <row r="33" spans="1:9" ht="15.75" thickBot="1">
      <c r="A33" s="3"/>
      <c r="B33" s="4"/>
      <c r="C33" s="4"/>
      <c r="D33" s="4"/>
      <c r="E33" s="4"/>
      <c r="F33" s="4"/>
      <c r="G33" s="4"/>
      <c r="H33" s="4"/>
      <c r="I33" s="4"/>
    </row>
    <row r="34" spans="1:9" ht="37.5" customHeight="1" thickBot="1">
      <c r="A34" s="397" t="s">
        <v>127</v>
      </c>
      <c r="B34" s="398" t="s">
        <v>99</v>
      </c>
      <c r="C34" s="398" t="s">
        <v>128</v>
      </c>
      <c r="D34" s="398" t="s">
        <v>422</v>
      </c>
      <c r="E34" s="398" t="s">
        <v>66</v>
      </c>
      <c r="F34" s="398" t="s">
        <v>129</v>
      </c>
      <c r="G34" s="390" t="s">
        <v>462</v>
      </c>
      <c r="H34" s="390" t="s">
        <v>463</v>
      </c>
      <c r="I34" s="4"/>
    </row>
    <row r="35" spans="1:9" ht="19.5" thickBot="1">
      <c r="A35" s="391" t="s">
        <v>130</v>
      </c>
      <c r="B35" s="392">
        <f>IF(OR('Steel Calculations'!$AE$19=1,'Steel Calculations'!$AE$19=2),SUM(datatable1),0)</f>
        <v>3</v>
      </c>
      <c r="C35" s="393">
        <v>7.5</v>
      </c>
      <c r="D35" s="394"/>
      <c r="E35" s="394"/>
      <c r="F35" s="394"/>
      <c r="G35" s="392">
        <f>C35*B35</f>
        <v>22.5</v>
      </c>
      <c r="H35" s="392">
        <f>C35*B35</f>
        <v>22.5</v>
      </c>
      <c r="I35" s="4"/>
    </row>
    <row r="36" spans="1:9" ht="19.5" thickBot="1">
      <c r="A36" s="391" t="s">
        <v>131</v>
      </c>
      <c r="B36" s="392">
        <f>IF(OR('Steel Calculations'!$AE$19=3,'Steel Calculations'!$AE$19=4),SUM(datatable2),0)</f>
        <v>0</v>
      </c>
      <c r="C36" s="393">
        <v>8.5</v>
      </c>
      <c r="D36" s="394"/>
      <c r="E36" s="394"/>
      <c r="F36" s="394"/>
      <c r="G36" s="392">
        <f>C36*B36</f>
        <v>0</v>
      </c>
      <c r="H36" s="392">
        <f>C36*B36</f>
        <v>0</v>
      </c>
      <c r="I36" s="4"/>
    </row>
    <row r="37" spans="1:9" ht="19.5" thickBot="1">
      <c r="A37" s="391"/>
      <c r="B37" s="392"/>
      <c r="C37" s="393"/>
      <c r="D37" s="394"/>
      <c r="E37" s="394"/>
      <c r="F37" s="394"/>
      <c r="G37" s="394"/>
      <c r="H37" s="394"/>
      <c r="I37" s="4"/>
    </row>
    <row r="38" spans="1:9" ht="19.5" thickBot="1">
      <c r="A38" s="391" t="s">
        <v>420</v>
      </c>
      <c r="B38" s="395">
        <f>SUM('BUSBAR 2013'!$F$22:$I$25)</f>
        <v>4</v>
      </c>
      <c r="C38" s="393">
        <v>10</v>
      </c>
      <c r="D38" s="392">
        <f>0.3*C38*B38</f>
        <v>12</v>
      </c>
      <c r="E38" s="392">
        <f>IF('BUSBAR DATA'!$D$50=2,1,0)*C38*B38*0.1</f>
        <v>0</v>
      </c>
      <c r="F38" s="392">
        <f>(C38*0+C38*0.1)*B38</f>
        <v>4</v>
      </c>
      <c r="G38" s="392">
        <f>C38*B38+SUM(D38:F38)</f>
        <v>56</v>
      </c>
      <c r="H38" s="392">
        <f>C38*B38+SUM(E38:F38)</f>
        <v>44</v>
      </c>
      <c r="I38" s="4"/>
    </row>
    <row r="39" spans="1:9" ht="19.5" thickBot="1">
      <c r="A39" s="391" t="s">
        <v>132</v>
      </c>
      <c r="B39" s="395">
        <f>SUM('BUSBAR 2013'!$J$22:$L$25)</f>
        <v>0</v>
      </c>
      <c r="C39" s="393">
        <v>10</v>
      </c>
      <c r="D39" s="392">
        <f t="shared" ref="D39:D44" si="5">0.3*C39*B39</f>
        <v>0</v>
      </c>
      <c r="E39" s="392">
        <f>IF('BUSBAR DATA'!$D$50=2,1,0)*C39*B39*0.1</f>
        <v>0</v>
      </c>
      <c r="F39" s="392">
        <f>(C39*0.8+C39*0.3)*B39</f>
        <v>0</v>
      </c>
      <c r="G39" s="392">
        <f t="shared" ref="G39:G44" si="6">C39*B39+SUM(D39:F39)</f>
        <v>0</v>
      </c>
      <c r="H39" s="392">
        <f t="shared" ref="H39:H44" si="7">C39*B39+SUM(E39:F39)</f>
        <v>0</v>
      </c>
      <c r="I39" s="4"/>
    </row>
    <row r="40" spans="1:9" ht="19.5" thickBot="1">
      <c r="A40" s="391" t="s">
        <v>133</v>
      </c>
      <c r="B40" s="395">
        <f>SUM('BUSBAR 2013'!$M$22:$N$25)</f>
        <v>0</v>
      </c>
      <c r="C40" s="393">
        <v>10</v>
      </c>
      <c r="D40" s="392">
        <f t="shared" si="5"/>
        <v>0</v>
      </c>
      <c r="E40" s="392">
        <f>IF('BUSBAR DATA'!$D$50=2,1,0)*C40*B40*0.1</f>
        <v>0</v>
      </c>
      <c r="F40" s="392">
        <f>(C40*1.2+C40*0.3)*B40</f>
        <v>0</v>
      </c>
      <c r="G40" s="392">
        <f t="shared" si="6"/>
        <v>0</v>
      </c>
      <c r="H40" s="392">
        <f t="shared" si="7"/>
        <v>0</v>
      </c>
      <c r="I40" s="4"/>
    </row>
    <row r="41" spans="1:9" ht="19.5" thickBot="1">
      <c r="A41" s="391" t="s">
        <v>134</v>
      </c>
      <c r="B41" s="395">
        <f>SUM('BUSBAR 2013'!$O$22:$Q$25)</f>
        <v>1</v>
      </c>
      <c r="C41" s="393">
        <v>10</v>
      </c>
      <c r="D41" s="392">
        <f t="shared" si="5"/>
        <v>3</v>
      </c>
      <c r="E41" s="392">
        <f>IF('BUSBAR DATA'!$D$50=2,1,0)*C41*B41*0.1</f>
        <v>0</v>
      </c>
      <c r="F41" s="392">
        <f>(C41*1.4+C41*0.4)*B41</f>
        <v>18</v>
      </c>
      <c r="G41" s="392">
        <f t="shared" si="6"/>
        <v>31</v>
      </c>
      <c r="H41" s="392">
        <f t="shared" si="7"/>
        <v>28</v>
      </c>
      <c r="I41" s="4"/>
    </row>
    <row r="42" spans="1:9" ht="19.5" thickBot="1">
      <c r="A42" s="391" t="s">
        <v>459</v>
      </c>
      <c r="B42" s="395">
        <f>SUM('BUSBAR 2013'!$B$22:$E$25)+SUM('BUSBAR 2013'!$J$37:$P$37)</f>
        <v>1</v>
      </c>
      <c r="C42" s="393">
        <v>2.5</v>
      </c>
      <c r="D42" s="392">
        <f t="shared" si="5"/>
        <v>0.75</v>
      </c>
      <c r="E42" s="392">
        <f>IF('BUSBAR DATA'!$D$50=2,1,0)*C42*B42*0.1</f>
        <v>0</v>
      </c>
      <c r="F42" s="392">
        <f>(C42*0+C42*0.1)*B42</f>
        <v>0.25</v>
      </c>
      <c r="G42" s="392">
        <f t="shared" si="6"/>
        <v>3.5</v>
      </c>
      <c r="H42" s="392">
        <f t="shared" si="7"/>
        <v>2.75</v>
      </c>
      <c r="I42" s="4"/>
    </row>
    <row r="43" spans="1:9" ht="19.5" thickBot="1">
      <c r="A43" s="391" t="s">
        <v>460</v>
      </c>
      <c r="B43" s="395">
        <f>SUM('BUSBAR 2013'!$F$37:$I$37)</f>
        <v>0</v>
      </c>
      <c r="C43" s="393">
        <v>2.5</v>
      </c>
      <c r="D43" s="392">
        <f t="shared" si="5"/>
        <v>0</v>
      </c>
      <c r="E43" s="392">
        <f>IF('BUSBAR DATA'!$D$50=2,1,0)*C43*B43*0.1</f>
        <v>0</v>
      </c>
      <c r="F43" s="392">
        <v>0</v>
      </c>
      <c r="G43" s="392">
        <f>C43*B43+SUM(D43:F43)</f>
        <v>0</v>
      </c>
      <c r="H43" s="392">
        <f t="shared" si="7"/>
        <v>0</v>
      </c>
      <c r="I43" s="4"/>
    </row>
    <row r="44" spans="1:9" ht="19.5" thickBot="1">
      <c r="A44" s="391" t="s">
        <v>461</v>
      </c>
      <c r="B44" s="395">
        <f>SUM('BUSBAR 2013'!$C$37:$E$37)</f>
        <v>0</v>
      </c>
      <c r="C44" s="393">
        <v>0.5</v>
      </c>
      <c r="D44" s="392">
        <f t="shared" si="5"/>
        <v>0</v>
      </c>
      <c r="E44" s="392">
        <f>IF('BUSBAR DATA'!$D$50=2,1,0)*C44*B44*0.1</f>
        <v>0</v>
      </c>
      <c r="F44" s="392">
        <v>0</v>
      </c>
      <c r="G44" s="392">
        <f t="shared" si="6"/>
        <v>0</v>
      </c>
      <c r="H44" s="392">
        <f t="shared" si="7"/>
        <v>0</v>
      </c>
      <c r="I44" s="4"/>
    </row>
    <row r="45" spans="1:9" ht="19.5" thickBot="1">
      <c r="A45" s="391"/>
      <c r="B45" s="392"/>
      <c r="C45" s="396"/>
      <c r="D45" s="394"/>
      <c r="E45" s="394"/>
      <c r="F45" s="394"/>
      <c r="G45" s="394"/>
      <c r="H45" s="394"/>
      <c r="I45" s="4"/>
    </row>
    <row r="46" spans="1:9" ht="18.75" thickBot="1">
      <c r="A46" s="5"/>
      <c r="B46" s="5"/>
      <c r="C46" s="5"/>
      <c r="D46" s="388"/>
      <c r="E46" s="4"/>
      <c r="F46" s="4"/>
      <c r="G46" s="389">
        <f>SUM(G35:G45)</f>
        <v>113</v>
      </c>
      <c r="H46" s="389">
        <f>SUM(H35:H45)</f>
        <v>97.25</v>
      </c>
      <c r="I46" s="4"/>
    </row>
    <row r="47" spans="1:9" ht="15">
      <c r="A47" s="9" t="s">
        <v>135</v>
      </c>
      <c r="B47" s="5"/>
      <c r="C47" s="5"/>
      <c r="D47" s="5"/>
      <c r="E47" s="4"/>
      <c r="F47" s="4"/>
      <c r="G47" s="4"/>
      <c r="H47" s="4"/>
      <c r="I47" s="4"/>
    </row>
    <row r="48" spans="1:9" ht="15">
      <c r="A48" s="10" t="s">
        <v>136</v>
      </c>
      <c r="B48" s="5"/>
      <c r="C48" s="5"/>
      <c r="D48" s="5"/>
      <c r="E48" s="4"/>
      <c r="F48" s="4"/>
      <c r="G48" s="4"/>
      <c r="H48" s="4"/>
      <c r="I48" s="4"/>
    </row>
    <row r="49" spans="1:9" ht="15">
      <c r="A49" s="10" t="s">
        <v>419</v>
      </c>
      <c r="B49" s="5"/>
      <c r="C49" s="5"/>
      <c r="D49" s="5"/>
      <c r="E49" s="4"/>
      <c r="F49" s="4"/>
      <c r="G49" s="4"/>
      <c r="H49" s="4"/>
      <c r="I49" s="4"/>
    </row>
    <row r="50" spans="1:9" ht="15">
      <c r="A50" s="10" t="s">
        <v>138</v>
      </c>
      <c r="B50" s="5"/>
      <c r="C50" s="5"/>
      <c r="D50" s="5"/>
      <c r="E50" s="4"/>
      <c r="F50" s="4"/>
      <c r="G50" s="4"/>
      <c r="H50" s="4"/>
      <c r="I50" s="4"/>
    </row>
    <row r="51" spans="1:9" ht="15">
      <c r="A51" s="10" t="s">
        <v>137</v>
      </c>
      <c r="B51" s="5"/>
      <c r="C51" s="5"/>
      <c r="D51" s="5"/>
      <c r="E51" s="4"/>
      <c r="F51" s="4"/>
      <c r="G51" s="4"/>
      <c r="H51" s="4"/>
      <c r="I51" s="4"/>
    </row>
    <row r="52" spans="1:9" ht="15">
      <c r="A52" s="10" t="s">
        <v>139</v>
      </c>
      <c r="B52" s="5"/>
      <c r="C52" s="5"/>
      <c r="D52" s="5"/>
      <c r="E52" s="4"/>
      <c r="F52" s="4"/>
      <c r="G52" s="4"/>
      <c r="H52" s="4"/>
      <c r="I52" s="4"/>
    </row>
    <row r="53" spans="1:9" ht="15">
      <c r="A53" s="10" t="s">
        <v>140</v>
      </c>
      <c r="B53" s="5"/>
      <c r="C53" s="5"/>
      <c r="D53" s="5"/>
      <c r="E53" s="4"/>
      <c r="F53" s="4"/>
      <c r="G53" s="4"/>
      <c r="H53" s="4"/>
      <c r="I53" s="4"/>
    </row>
    <row r="54" spans="1:9">
      <c r="A54" s="11"/>
      <c r="B54" s="5"/>
      <c r="C54" s="5"/>
      <c r="D54" s="5"/>
      <c r="E54" s="4"/>
      <c r="F54" s="4"/>
      <c r="G54" s="4"/>
      <c r="H54" s="4"/>
      <c r="I54" s="4"/>
    </row>
    <row r="55" spans="1:9" ht="15">
      <c r="A55" s="10" t="s">
        <v>141</v>
      </c>
    </row>
    <row r="56" spans="1:9" ht="15">
      <c r="A56" s="10" t="s">
        <v>142</v>
      </c>
    </row>
    <row r="59" spans="1:9">
      <c r="A59" s="12" t="s">
        <v>143</v>
      </c>
      <c r="F59" s="12" t="s">
        <v>144</v>
      </c>
    </row>
    <row r="60" spans="1:9">
      <c r="A60" s="1" t="s">
        <v>145</v>
      </c>
      <c r="D60" s="57"/>
      <c r="F60" s="1" t="s">
        <v>146</v>
      </c>
    </row>
    <row r="61" spans="1:9">
      <c r="A61" s="1" t="s">
        <v>147</v>
      </c>
      <c r="F61" s="1" t="s">
        <v>148</v>
      </c>
    </row>
    <row r="62" spans="1:9" ht="16.5" thickBot="1">
      <c r="A62" s="443" t="s">
        <v>149</v>
      </c>
      <c r="B62" s="443"/>
      <c r="C62" s="443"/>
      <c r="D62" s="443"/>
      <c r="E62" s="4"/>
      <c r="F62" s="4"/>
      <c r="G62" s="4"/>
      <c r="H62" s="4"/>
      <c r="I62" s="4"/>
    </row>
    <row r="63" spans="1:9" ht="16.5" thickBot="1">
      <c r="A63" s="13" t="s">
        <v>150</v>
      </c>
      <c r="B63" s="14" t="s">
        <v>99</v>
      </c>
      <c r="C63" s="14" t="s">
        <v>151</v>
      </c>
      <c r="D63" s="2" t="s">
        <v>152</v>
      </c>
      <c r="E63" s="4"/>
      <c r="F63" s="4"/>
      <c r="G63" s="4"/>
      <c r="H63" s="4"/>
      <c r="I63" s="4"/>
    </row>
    <row r="64" spans="1:9">
      <c r="A64" s="304" t="s">
        <v>503</v>
      </c>
      <c r="B64" s="303">
        <f>'WIRING 2013'!$B2</f>
        <v>0</v>
      </c>
      <c r="C64" s="344">
        <v>3</v>
      </c>
      <c r="D64" s="345">
        <f t="shared" ref="D64:D125" si="8">C64*B64</f>
        <v>0</v>
      </c>
      <c r="E64" s="4"/>
      <c r="F64" s="4"/>
      <c r="G64" s="4"/>
      <c r="H64" s="4"/>
      <c r="I64" s="4"/>
    </row>
    <row r="65" spans="1:9">
      <c r="A65" s="304" t="s">
        <v>160</v>
      </c>
      <c r="B65" s="303">
        <f>'WIRING 2013'!$B3</f>
        <v>1</v>
      </c>
      <c r="C65" s="344">
        <v>4.5</v>
      </c>
      <c r="D65" s="345">
        <f t="shared" si="8"/>
        <v>4.5</v>
      </c>
      <c r="E65" s="4"/>
      <c r="F65" s="4"/>
      <c r="G65" s="4"/>
      <c r="H65" s="4"/>
      <c r="I65" s="4"/>
    </row>
    <row r="66" spans="1:9">
      <c r="A66" s="304" t="s">
        <v>162</v>
      </c>
      <c r="B66" s="303">
        <f>'WIRING 2013'!$B4</f>
        <v>0</v>
      </c>
      <c r="C66" s="344">
        <v>4.5</v>
      </c>
      <c r="D66" s="345">
        <f t="shared" si="8"/>
        <v>0</v>
      </c>
      <c r="E66" s="4"/>
      <c r="F66" s="4"/>
      <c r="G66" s="4"/>
      <c r="H66" s="4"/>
      <c r="I66" s="4"/>
    </row>
    <row r="67" spans="1:9">
      <c r="A67" s="304" t="s">
        <v>161</v>
      </c>
      <c r="B67" s="303">
        <f>'WIRING 2013'!$B5</f>
        <v>0</v>
      </c>
      <c r="C67" s="344">
        <v>4.5</v>
      </c>
      <c r="D67" s="345">
        <f t="shared" si="8"/>
        <v>0</v>
      </c>
      <c r="E67" s="4"/>
      <c r="F67" s="4"/>
      <c r="G67" s="4"/>
      <c r="H67" s="4"/>
      <c r="I67" s="4"/>
    </row>
    <row r="68" spans="1:9">
      <c r="A68" s="304" t="s">
        <v>176</v>
      </c>
      <c r="B68" s="303">
        <f>'WIRING 2013'!$B6</f>
        <v>0</v>
      </c>
      <c r="C68" s="344">
        <v>0.5</v>
      </c>
      <c r="D68" s="345">
        <f t="shared" si="8"/>
        <v>0</v>
      </c>
      <c r="E68" s="4"/>
      <c r="F68" s="4"/>
      <c r="G68" s="4"/>
      <c r="H68" s="4"/>
      <c r="I68" s="4"/>
    </row>
    <row r="69" spans="1:9">
      <c r="A69" s="304" t="s">
        <v>153</v>
      </c>
      <c r="B69" s="303">
        <f>'WIRING 2013'!$B7</f>
        <v>0</v>
      </c>
      <c r="C69" s="344">
        <v>1</v>
      </c>
      <c r="D69" s="345">
        <f t="shared" si="8"/>
        <v>0</v>
      </c>
      <c r="E69" s="4"/>
      <c r="F69" s="4"/>
      <c r="G69" s="4"/>
      <c r="H69" s="4"/>
      <c r="I69" s="4"/>
    </row>
    <row r="70" spans="1:9">
      <c r="A70" s="304" t="s">
        <v>154</v>
      </c>
      <c r="B70" s="303">
        <f>'WIRING 2013'!$B8</f>
        <v>0</v>
      </c>
      <c r="C70" s="344">
        <v>1</v>
      </c>
      <c r="D70" s="345">
        <f t="shared" si="8"/>
        <v>0</v>
      </c>
      <c r="E70" s="4"/>
      <c r="F70" s="4"/>
      <c r="G70" s="4"/>
      <c r="H70" s="4"/>
      <c r="I70" s="4"/>
    </row>
    <row r="71" spans="1:9">
      <c r="A71" s="304" t="s">
        <v>155</v>
      </c>
      <c r="B71" s="303">
        <f>'WIRING 2013'!$B9</f>
        <v>0</v>
      </c>
      <c r="C71" s="344">
        <v>4</v>
      </c>
      <c r="D71" s="345">
        <f t="shared" si="8"/>
        <v>0</v>
      </c>
      <c r="E71" s="4"/>
      <c r="F71" s="4"/>
      <c r="G71" s="4"/>
      <c r="H71" s="4"/>
      <c r="I71" s="4"/>
    </row>
    <row r="72" spans="1:9">
      <c r="A72" s="304" t="s">
        <v>502</v>
      </c>
      <c r="B72" s="303">
        <f>'WIRING 2013'!$B10</f>
        <v>0</v>
      </c>
      <c r="C72" s="344">
        <f>9/4</f>
        <v>2.25</v>
      </c>
      <c r="D72" s="345">
        <f t="shared" si="8"/>
        <v>0</v>
      </c>
      <c r="E72" s="4"/>
      <c r="F72" s="4"/>
      <c r="G72" s="4"/>
      <c r="H72" s="4"/>
      <c r="I72" s="4"/>
    </row>
    <row r="73" spans="1:9">
      <c r="A73" s="304" t="s">
        <v>156</v>
      </c>
      <c r="B73" s="303">
        <f>'WIRING 2013'!$B11</f>
        <v>0</v>
      </c>
      <c r="C73" s="344">
        <v>3.25</v>
      </c>
      <c r="D73" s="345">
        <f t="shared" si="8"/>
        <v>0</v>
      </c>
      <c r="E73" s="4"/>
      <c r="F73" s="4"/>
      <c r="G73" s="4"/>
      <c r="H73" s="4"/>
      <c r="I73" s="4"/>
    </row>
    <row r="74" spans="1:9">
      <c r="A74" s="304" t="s">
        <v>510</v>
      </c>
      <c r="B74" s="303">
        <f>'WIRING 2013'!$B12</f>
        <v>0</v>
      </c>
      <c r="C74" s="344">
        <v>0.75</v>
      </c>
      <c r="D74" s="345">
        <f t="shared" si="8"/>
        <v>0</v>
      </c>
      <c r="E74" s="4"/>
      <c r="F74" s="4"/>
      <c r="G74" s="4"/>
      <c r="H74" s="4"/>
      <c r="I74" s="4"/>
    </row>
    <row r="75" spans="1:9">
      <c r="A75" s="304" t="s">
        <v>509</v>
      </c>
      <c r="B75" s="303">
        <f>'WIRING 2013'!$B13</f>
        <v>0</v>
      </c>
      <c r="C75" s="344">
        <v>1</v>
      </c>
      <c r="D75" s="345">
        <f t="shared" si="8"/>
        <v>0</v>
      </c>
      <c r="E75" s="4"/>
      <c r="F75" s="4"/>
      <c r="G75" s="4"/>
      <c r="H75" s="4"/>
      <c r="I75" s="4"/>
    </row>
    <row r="76" spans="1:9">
      <c r="A76" s="304" t="s">
        <v>504</v>
      </c>
      <c r="B76" s="303">
        <f>'WIRING 2013'!$B14</f>
        <v>0</v>
      </c>
      <c r="C76" s="344">
        <v>1</v>
      </c>
      <c r="D76" s="345">
        <f t="shared" si="8"/>
        <v>0</v>
      </c>
      <c r="E76" s="4"/>
      <c r="F76" s="4"/>
      <c r="G76" s="4"/>
      <c r="H76" s="4"/>
      <c r="I76" s="4"/>
    </row>
    <row r="77" spans="1:9">
      <c r="A77" s="304" t="s">
        <v>505</v>
      </c>
      <c r="B77" s="303">
        <f>'WIRING 2013'!$B15</f>
        <v>0</v>
      </c>
      <c r="C77" s="344">
        <v>1.5</v>
      </c>
      <c r="D77" s="345">
        <f t="shared" si="8"/>
        <v>0</v>
      </c>
      <c r="E77" s="4"/>
      <c r="F77" s="4"/>
      <c r="G77" s="4"/>
      <c r="H77" s="4"/>
      <c r="I77" s="4"/>
    </row>
    <row r="78" spans="1:9">
      <c r="A78" s="304" t="s">
        <v>508</v>
      </c>
      <c r="B78" s="303">
        <f>'WIRING 2013'!$B16</f>
        <v>0</v>
      </c>
      <c r="C78" s="344">
        <v>0.75</v>
      </c>
      <c r="D78" s="345">
        <f t="shared" si="8"/>
        <v>0</v>
      </c>
      <c r="E78" s="4"/>
      <c r="F78" s="4"/>
      <c r="G78" s="4"/>
      <c r="H78" s="4"/>
      <c r="I78" s="4"/>
    </row>
    <row r="79" spans="1:9">
      <c r="A79" s="304" t="s">
        <v>506</v>
      </c>
      <c r="B79" s="303">
        <f>'WIRING 2013'!$B17</f>
        <v>0</v>
      </c>
      <c r="C79" s="344">
        <v>2</v>
      </c>
      <c r="D79" s="345">
        <f t="shared" si="8"/>
        <v>0</v>
      </c>
      <c r="E79" s="4"/>
      <c r="F79" s="4"/>
      <c r="G79" s="4"/>
      <c r="H79" s="4"/>
      <c r="I79" s="4"/>
    </row>
    <row r="80" spans="1:9">
      <c r="A80" s="304" t="s">
        <v>507</v>
      </c>
      <c r="B80" s="303">
        <f>'WIRING 2013'!$B18</f>
        <v>0</v>
      </c>
      <c r="C80" s="344">
        <v>0.75</v>
      </c>
      <c r="D80" s="345">
        <f t="shared" si="8"/>
        <v>0</v>
      </c>
      <c r="E80" s="4"/>
      <c r="F80" s="4"/>
      <c r="G80" s="4"/>
      <c r="H80" s="4"/>
      <c r="I80" s="4"/>
    </row>
    <row r="81" spans="1:9" ht="14.25">
      <c r="A81" s="307" t="s">
        <v>401</v>
      </c>
      <c r="B81" s="343"/>
      <c r="C81" s="343"/>
      <c r="D81" s="343"/>
      <c r="E81" s="4"/>
      <c r="F81" s="4"/>
      <c r="G81" s="4"/>
      <c r="H81" s="4"/>
      <c r="I81" s="4"/>
    </row>
    <row r="82" spans="1:9">
      <c r="A82" s="304" t="s">
        <v>172</v>
      </c>
      <c r="B82" s="303">
        <f>'WIRING 2013'!$B20</f>
        <v>0</v>
      </c>
      <c r="C82" s="344">
        <v>6</v>
      </c>
      <c r="D82" s="345">
        <f t="shared" si="8"/>
        <v>0</v>
      </c>
      <c r="E82" s="4"/>
      <c r="F82" s="4"/>
      <c r="G82" s="4"/>
      <c r="H82" s="4"/>
      <c r="I82" s="4"/>
    </row>
    <row r="83" spans="1:9">
      <c r="A83" s="304" t="s">
        <v>171</v>
      </c>
      <c r="B83" s="303">
        <f>'WIRING 2013'!$B21</f>
        <v>0</v>
      </c>
      <c r="C83" s="344">
        <v>6</v>
      </c>
      <c r="D83" s="345">
        <f t="shared" si="8"/>
        <v>0</v>
      </c>
      <c r="E83" s="15"/>
      <c r="F83" s="16"/>
      <c r="G83" s="4"/>
      <c r="H83" s="4"/>
      <c r="I83" s="4"/>
    </row>
    <row r="84" spans="1:9">
      <c r="A84" s="304" t="s">
        <v>167</v>
      </c>
      <c r="B84" s="303">
        <f>'WIRING 2013'!$B22</f>
        <v>0</v>
      </c>
      <c r="C84" s="344">
        <v>5</v>
      </c>
      <c r="D84" s="345">
        <f t="shared" si="8"/>
        <v>0</v>
      </c>
      <c r="E84" s="15"/>
      <c r="F84" s="16"/>
      <c r="G84" s="4"/>
      <c r="H84" s="4"/>
      <c r="I84" s="4"/>
    </row>
    <row r="85" spans="1:9">
      <c r="A85" s="304" t="s">
        <v>169</v>
      </c>
      <c r="B85" s="303">
        <f>'WIRING 2013'!$B23</f>
        <v>0</v>
      </c>
      <c r="C85" s="344">
        <v>5</v>
      </c>
      <c r="D85" s="345">
        <f t="shared" si="8"/>
        <v>0</v>
      </c>
      <c r="E85" s="4"/>
      <c r="F85" s="4"/>
      <c r="G85" s="4"/>
      <c r="H85" s="4"/>
      <c r="I85" s="4"/>
    </row>
    <row r="86" spans="1:9">
      <c r="A86" s="304" t="s">
        <v>168</v>
      </c>
      <c r="B86" s="303">
        <f>'WIRING 2013'!$B24</f>
        <v>0</v>
      </c>
      <c r="C86" s="344">
        <v>6.5</v>
      </c>
      <c r="D86" s="345">
        <f t="shared" si="8"/>
        <v>0</v>
      </c>
      <c r="E86" s="4"/>
      <c r="F86" s="4"/>
      <c r="G86" s="4"/>
      <c r="H86" s="4"/>
      <c r="I86" s="4"/>
    </row>
    <row r="87" spans="1:9">
      <c r="A87" s="304" t="s">
        <v>170</v>
      </c>
      <c r="B87" s="303">
        <f>'WIRING 2013'!$B25</f>
        <v>0</v>
      </c>
      <c r="C87" s="344">
        <v>6.5</v>
      </c>
      <c r="D87" s="345">
        <f t="shared" si="8"/>
        <v>0</v>
      </c>
      <c r="E87" s="4"/>
      <c r="F87" s="4"/>
      <c r="G87" s="4"/>
      <c r="H87" s="4"/>
      <c r="I87" s="4"/>
    </row>
    <row r="88" spans="1:9">
      <c r="A88" s="304" t="s">
        <v>173</v>
      </c>
      <c r="B88" s="303">
        <f>'WIRING 2013'!$B26</f>
        <v>0</v>
      </c>
      <c r="C88" s="344">
        <v>5</v>
      </c>
      <c r="D88" s="345">
        <f t="shared" si="8"/>
        <v>0</v>
      </c>
      <c r="E88" s="4"/>
      <c r="F88" s="4"/>
      <c r="G88" s="4"/>
      <c r="H88" s="4"/>
      <c r="I88" s="4"/>
    </row>
    <row r="89" spans="1:9">
      <c r="A89" s="304" t="s">
        <v>174</v>
      </c>
      <c r="B89" s="303">
        <f>'WIRING 2013'!$B27</f>
        <v>0</v>
      </c>
      <c r="C89" s="344">
        <v>5</v>
      </c>
      <c r="D89" s="345">
        <f t="shared" si="8"/>
        <v>0</v>
      </c>
      <c r="E89" s="4"/>
      <c r="F89" s="4"/>
      <c r="G89" s="4"/>
      <c r="H89" s="4"/>
      <c r="I89" s="4"/>
    </row>
    <row r="90" spans="1:9">
      <c r="A90" s="304" t="s">
        <v>175</v>
      </c>
      <c r="B90" s="303">
        <f>'WIRING 2013'!$B28</f>
        <v>0</v>
      </c>
      <c r="C90" s="344">
        <v>5</v>
      </c>
      <c r="D90" s="345">
        <f t="shared" si="8"/>
        <v>0</v>
      </c>
      <c r="E90" s="4"/>
      <c r="F90" s="4"/>
      <c r="G90" s="4"/>
      <c r="H90" s="4"/>
      <c r="I90" s="4"/>
    </row>
    <row r="91" spans="1:9">
      <c r="A91" s="304" t="s">
        <v>184</v>
      </c>
      <c r="B91" s="303">
        <f>'WIRING 2013'!$B29</f>
        <v>0</v>
      </c>
      <c r="C91" s="344">
        <v>1</v>
      </c>
      <c r="D91" s="345">
        <f t="shared" si="8"/>
        <v>0</v>
      </c>
      <c r="E91" s="4"/>
      <c r="F91" s="4"/>
      <c r="G91" s="4"/>
      <c r="H91" s="4"/>
      <c r="I91" s="4"/>
    </row>
    <row r="92" spans="1:9" ht="14.25">
      <c r="A92" s="307" t="s">
        <v>406</v>
      </c>
      <c r="B92" s="343"/>
      <c r="C92" s="343"/>
      <c r="D92" s="343"/>
    </row>
    <row r="93" spans="1:9">
      <c r="A93" s="304" t="s">
        <v>407</v>
      </c>
      <c r="B93" s="303">
        <f>'WIRING 2013'!$B31</f>
        <v>0</v>
      </c>
      <c r="C93" s="344">
        <v>11</v>
      </c>
      <c r="D93" s="345">
        <f t="shared" si="8"/>
        <v>0</v>
      </c>
    </row>
    <row r="94" spans="1:9">
      <c r="A94" s="304" t="s">
        <v>408</v>
      </c>
      <c r="B94" s="303">
        <f>'WIRING 2013'!$B32</f>
        <v>0</v>
      </c>
      <c r="C94" s="344">
        <v>45</v>
      </c>
      <c r="D94" s="345">
        <f t="shared" si="8"/>
        <v>0</v>
      </c>
    </row>
    <row r="95" spans="1:9">
      <c r="A95" s="304" t="s">
        <v>409</v>
      </c>
      <c r="B95" s="303">
        <f>'WIRING 2013'!$B33</f>
        <v>0</v>
      </c>
      <c r="C95" s="344">
        <v>133</v>
      </c>
      <c r="D95" s="345">
        <f t="shared" si="8"/>
        <v>0</v>
      </c>
    </row>
    <row r="96" spans="1:9" ht="14.25">
      <c r="A96" s="307" t="s">
        <v>397</v>
      </c>
      <c r="B96" s="343"/>
      <c r="C96" s="343"/>
      <c r="D96" s="343"/>
      <c r="E96" s="4"/>
      <c r="F96" s="4"/>
      <c r="G96" s="4"/>
      <c r="H96" s="4"/>
      <c r="I96" s="4"/>
    </row>
    <row r="97" spans="1:9">
      <c r="A97" s="304" t="s">
        <v>186</v>
      </c>
      <c r="B97" s="303">
        <f>'WIRING 2013'!$B35</f>
        <v>0</v>
      </c>
      <c r="C97" s="344">
        <v>0.35</v>
      </c>
      <c r="D97" s="345">
        <f t="shared" si="8"/>
        <v>0</v>
      </c>
      <c r="E97" s="4"/>
      <c r="F97" s="4"/>
      <c r="G97" s="4"/>
      <c r="H97" s="4"/>
      <c r="I97" s="4"/>
    </row>
    <row r="98" spans="1:9">
      <c r="A98" s="304" t="s">
        <v>185</v>
      </c>
      <c r="B98" s="303">
        <f>'WIRING 2013'!$B36</f>
        <v>0</v>
      </c>
      <c r="C98" s="344">
        <v>0.5</v>
      </c>
      <c r="D98" s="345">
        <f t="shared" si="8"/>
        <v>0</v>
      </c>
      <c r="E98" s="4"/>
      <c r="F98" s="4"/>
      <c r="G98" s="4"/>
      <c r="H98" s="4"/>
      <c r="I98" s="4"/>
    </row>
    <row r="99" spans="1:9">
      <c r="A99" s="304" t="s">
        <v>187</v>
      </c>
      <c r="B99" s="303">
        <f>'WIRING 2013'!$B37</f>
        <v>0</v>
      </c>
      <c r="C99" s="344">
        <v>0.35</v>
      </c>
      <c r="D99" s="345">
        <f t="shared" si="8"/>
        <v>0</v>
      </c>
      <c r="E99" s="4"/>
      <c r="F99" s="4"/>
      <c r="G99" s="4"/>
      <c r="H99" s="4"/>
      <c r="I99" s="4"/>
    </row>
    <row r="100" spans="1:9">
      <c r="A100" s="304" t="s">
        <v>188</v>
      </c>
      <c r="B100" s="303">
        <f>'WIRING 2013'!$B38</f>
        <v>0</v>
      </c>
      <c r="C100" s="344">
        <v>1.25</v>
      </c>
      <c r="D100" s="345">
        <f t="shared" si="8"/>
        <v>0</v>
      </c>
      <c r="E100" s="4"/>
      <c r="F100" s="4"/>
      <c r="G100" s="4"/>
      <c r="H100" s="4"/>
      <c r="I100" s="4"/>
    </row>
    <row r="101" spans="1:9" ht="14.25">
      <c r="A101" s="307" t="s">
        <v>398</v>
      </c>
      <c r="B101" s="343"/>
      <c r="C101" s="343"/>
      <c r="D101" s="343"/>
      <c r="E101" s="4"/>
      <c r="F101" s="4"/>
      <c r="G101" s="4"/>
      <c r="H101" s="4"/>
      <c r="I101" s="4"/>
    </row>
    <row r="102" spans="1:9">
      <c r="A102" s="304" t="s">
        <v>163</v>
      </c>
      <c r="B102" s="303">
        <f>'WIRING 2013'!$B40</f>
        <v>0</v>
      </c>
      <c r="C102" s="344">
        <v>0.55000000000000004</v>
      </c>
      <c r="D102" s="345">
        <f t="shared" si="8"/>
        <v>0</v>
      </c>
      <c r="E102" s="4"/>
      <c r="F102" s="4"/>
      <c r="G102" s="4"/>
      <c r="H102" s="4"/>
      <c r="I102" s="4"/>
    </row>
    <row r="103" spans="1:9">
      <c r="A103" s="304" t="s">
        <v>164</v>
      </c>
      <c r="B103" s="303">
        <f>'WIRING 2013'!$B41</f>
        <v>0</v>
      </c>
      <c r="C103" s="344">
        <v>0.5</v>
      </c>
      <c r="D103" s="345">
        <f t="shared" si="8"/>
        <v>0</v>
      </c>
      <c r="E103" s="4"/>
      <c r="F103" s="4"/>
      <c r="G103" s="4"/>
      <c r="H103" s="4"/>
      <c r="I103" s="4"/>
    </row>
    <row r="104" spans="1:9">
      <c r="A104" s="304" t="s">
        <v>165</v>
      </c>
      <c r="B104" s="303">
        <f>'WIRING 2013'!$B42</f>
        <v>0</v>
      </c>
      <c r="C104" s="344">
        <v>1.5</v>
      </c>
      <c r="D104" s="345">
        <f t="shared" si="8"/>
        <v>0</v>
      </c>
      <c r="E104" s="4"/>
      <c r="F104" s="4"/>
      <c r="G104" s="4"/>
      <c r="H104" s="4"/>
      <c r="I104" s="4"/>
    </row>
    <row r="105" spans="1:9">
      <c r="A105" s="304" t="s">
        <v>166</v>
      </c>
      <c r="B105" s="303">
        <f>'WIRING 2013'!$B43</f>
        <v>0</v>
      </c>
      <c r="C105" s="344">
        <v>2</v>
      </c>
      <c r="D105" s="345">
        <f t="shared" si="8"/>
        <v>0</v>
      </c>
      <c r="E105" s="4"/>
      <c r="F105" s="4"/>
      <c r="G105" s="4"/>
      <c r="H105" s="4"/>
      <c r="I105" s="4"/>
    </row>
    <row r="106" spans="1:9" ht="14.25">
      <c r="A106" s="307" t="s">
        <v>399</v>
      </c>
      <c r="B106" s="343"/>
      <c r="C106" s="343"/>
      <c r="D106" s="343"/>
      <c r="E106" s="4"/>
      <c r="F106" s="4"/>
      <c r="G106" s="4"/>
      <c r="H106" s="4"/>
      <c r="I106" s="4"/>
    </row>
    <row r="107" spans="1:9">
      <c r="A107" s="304" t="s">
        <v>177</v>
      </c>
      <c r="B107" s="303">
        <f>'WIRING 2013'!$B45</f>
        <v>0</v>
      </c>
      <c r="C107" s="344">
        <v>15</v>
      </c>
      <c r="D107" s="345">
        <f t="shared" si="8"/>
        <v>0</v>
      </c>
      <c r="E107" s="4"/>
      <c r="F107" s="4"/>
      <c r="G107" s="4"/>
      <c r="H107" s="4"/>
      <c r="I107" s="4"/>
    </row>
    <row r="108" spans="1:9">
      <c r="A108" s="304" t="s">
        <v>178</v>
      </c>
      <c r="B108" s="303">
        <f>'WIRING 2013'!$B46</f>
        <v>0</v>
      </c>
      <c r="C108" s="344">
        <v>17</v>
      </c>
      <c r="D108" s="345">
        <f t="shared" si="8"/>
        <v>0</v>
      </c>
      <c r="E108" s="4"/>
      <c r="F108" s="4"/>
      <c r="G108" s="4"/>
      <c r="H108" s="4"/>
      <c r="I108" s="4"/>
    </row>
    <row r="109" spans="1:9">
      <c r="A109" s="304" t="s">
        <v>179</v>
      </c>
      <c r="B109" s="303">
        <f>'WIRING 2013'!$B47</f>
        <v>0</v>
      </c>
      <c r="C109" s="344">
        <v>20</v>
      </c>
      <c r="D109" s="345">
        <f t="shared" si="8"/>
        <v>0</v>
      </c>
      <c r="E109" s="4"/>
      <c r="F109" s="4"/>
      <c r="G109" s="4"/>
      <c r="H109" s="4"/>
      <c r="I109" s="4"/>
    </row>
    <row r="110" spans="1:9">
      <c r="A110" s="304" t="s">
        <v>180</v>
      </c>
      <c r="B110" s="303">
        <f>'WIRING 2013'!$B48</f>
        <v>0</v>
      </c>
      <c r="C110" s="344">
        <v>25</v>
      </c>
      <c r="D110" s="345">
        <f t="shared" si="8"/>
        <v>0</v>
      </c>
      <c r="E110" s="4"/>
      <c r="F110" s="4"/>
      <c r="G110" s="4"/>
      <c r="H110" s="4"/>
      <c r="I110" s="4"/>
    </row>
    <row r="111" spans="1:9">
      <c r="A111" s="304" t="s">
        <v>181</v>
      </c>
      <c r="B111" s="303">
        <f>'WIRING 2013'!$B49</f>
        <v>0</v>
      </c>
      <c r="C111" s="344">
        <v>2</v>
      </c>
      <c r="D111" s="345">
        <f t="shared" si="8"/>
        <v>0</v>
      </c>
      <c r="E111" s="4"/>
      <c r="F111" s="4"/>
      <c r="G111" s="4"/>
      <c r="H111" s="4"/>
      <c r="I111" s="4"/>
    </row>
    <row r="112" spans="1:9">
      <c r="A112" s="304" t="s">
        <v>182</v>
      </c>
      <c r="B112" s="303">
        <f>'WIRING 2013'!$B50</f>
        <v>0</v>
      </c>
      <c r="C112" s="344">
        <v>3.5</v>
      </c>
      <c r="D112" s="345">
        <f t="shared" si="8"/>
        <v>0</v>
      </c>
      <c r="E112" s="4"/>
      <c r="F112" s="4"/>
      <c r="G112" s="4"/>
      <c r="H112" s="4"/>
      <c r="I112" s="4"/>
    </row>
    <row r="113" spans="1:9">
      <c r="A113" s="304" t="s">
        <v>183</v>
      </c>
      <c r="B113" s="303">
        <f>'WIRING 2013'!$B51</f>
        <v>0</v>
      </c>
      <c r="C113" s="344">
        <v>2</v>
      </c>
      <c r="D113" s="345">
        <f t="shared" si="8"/>
        <v>0</v>
      </c>
      <c r="E113" s="4"/>
      <c r="F113" s="4"/>
      <c r="G113" s="4"/>
      <c r="H113" s="4"/>
      <c r="I113" s="4"/>
    </row>
    <row r="114" spans="1:9" ht="14.25">
      <c r="A114" s="307" t="s">
        <v>402</v>
      </c>
      <c r="B114" s="343"/>
      <c r="C114" s="343"/>
      <c r="D114" s="343"/>
      <c r="E114" s="4"/>
      <c r="F114" s="4"/>
      <c r="G114" s="4"/>
      <c r="H114" s="4"/>
      <c r="I114" s="4"/>
    </row>
    <row r="115" spans="1:9">
      <c r="A115" s="304" t="s">
        <v>157</v>
      </c>
      <c r="B115" s="303">
        <f>'WIRING 2013'!$B53</f>
        <v>0</v>
      </c>
      <c r="C115" s="344">
        <v>0.55000000000000004</v>
      </c>
      <c r="D115" s="345">
        <f t="shared" si="8"/>
        <v>0</v>
      </c>
    </row>
    <row r="116" spans="1:9">
      <c r="A116" s="304" t="s">
        <v>159</v>
      </c>
      <c r="B116" s="303">
        <f>'WIRING 2013'!$B54</f>
        <v>0</v>
      </c>
      <c r="C116" s="344">
        <v>0.55000000000000004</v>
      </c>
      <c r="D116" s="345">
        <f t="shared" si="8"/>
        <v>0</v>
      </c>
    </row>
    <row r="117" spans="1:9">
      <c r="A117" s="304" t="s">
        <v>158</v>
      </c>
      <c r="B117" s="303">
        <f>'WIRING 2013'!$B55</f>
        <v>0</v>
      </c>
      <c r="C117" s="344">
        <v>0.55000000000000004</v>
      </c>
      <c r="D117" s="345">
        <f t="shared" si="8"/>
        <v>0</v>
      </c>
    </row>
    <row r="118" spans="1:9">
      <c r="A118" s="304" t="s">
        <v>496</v>
      </c>
      <c r="B118" s="303">
        <f>'WIRING 2013'!$B56</f>
        <v>0</v>
      </c>
      <c r="C118" s="344">
        <v>0.96</v>
      </c>
      <c r="D118" s="345">
        <f t="shared" si="8"/>
        <v>0</v>
      </c>
    </row>
    <row r="119" spans="1:9">
      <c r="A119" s="304" t="s">
        <v>497</v>
      </c>
      <c r="B119" s="303">
        <f>'WIRING 2013'!$B57</f>
        <v>0</v>
      </c>
      <c r="C119" s="344">
        <v>1.2</v>
      </c>
      <c r="D119" s="345">
        <f t="shared" si="8"/>
        <v>0</v>
      </c>
    </row>
    <row r="120" spans="1:9">
      <c r="A120" s="304" t="s">
        <v>498</v>
      </c>
      <c r="B120" s="303">
        <f>'WIRING 2013'!$B58</f>
        <v>0</v>
      </c>
      <c r="C120" s="344">
        <v>0.6</v>
      </c>
      <c r="D120" s="345">
        <f t="shared" si="8"/>
        <v>0</v>
      </c>
    </row>
    <row r="121" spans="1:9">
      <c r="A121" s="304" t="s">
        <v>499</v>
      </c>
      <c r="B121" s="303">
        <f>'WIRING 2013'!$B59</f>
        <v>0</v>
      </c>
      <c r="C121" s="344">
        <v>0.6</v>
      </c>
      <c r="D121" s="345">
        <f t="shared" si="8"/>
        <v>0</v>
      </c>
    </row>
    <row r="122" spans="1:9" ht="14.25">
      <c r="A122" s="307" t="s">
        <v>400</v>
      </c>
      <c r="B122" s="343"/>
      <c r="C122" s="343"/>
      <c r="D122" s="343"/>
    </row>
    <row r="123" spans="1:9">
      <c r="A123" s="304" t="s">
        <v>189</v>
      </c>
      <c r="B123" s="303">
        <f>'WIRING 2013'!$B61</f>
        <v>0</v>
      </c>
      <c r="C123" s="344">
        <v>3.5</v>
      </c>
      <c r="D123" s="345">
        <f t="shared" si="8"/>
        <v>0</v>
      </c>
      <c r="E123" s="4"/>
      <c r="F123" s="4"/>
      <c r="G123" s="4"/>
      <c r="H123" s="4"/>
      <c r="I123" s="4"/>
    </row>
    <row r="124" spans="1:9">
      <c r="A124" s="304" t="s">
        <v>191</v>
      </c>
      <c r="B124" s="303">
        <f>'WIRING 2013'!$B62</f>
        <v>0</v>
      </c>
      <c r="C124" s="344">
        <v>0.05</v>
      </c>
      <c r="D124" s="345">
        <f t="shared" si="8"/>
        <v>0</v>
      </c>
    </row>
    <row r="125" spans="1:9" ht="13.5" thickBot="1">
      <c r="A125" s="304" t="s">
        <v>500</v>
      </c>
      <c r="B125" s="303">
        <f>'WIRING 2013'!$B63</f>
        <v>0</v>
      </c>
      <c r="C125" s="344">
        <v>110</v>
      </c>
      <c r="D125" s="345">
        <f t="shared" si="8"/>
        <v>0</v>
      </c>
    </row>
    <row r="126" spans="1:9" ht="18.75" thickBot="1">
      <c r="A126" s="4"/>
      <c r="B126" s="4"/>
      <c r="C126" s="4"/>
      <c r="D126" s="389">
        <f>SUM(D63:D125)</f>
        <v>4.5</v>
      </c>
    </row>
    <row r="127" spans="1:9" ht="16.5" thickBot="1">
      <c r="A127" s="526" t="s">
        <v>458</v>
      </c>
      <c r="B127" s="527"/>
      <c r="C127" s="527"/>
      <c r="D127" s="527"/>
      <c r="E127" s="527"/>
      <c r="F127" s="528"/>
    </row>
    <row r="128" spans="1:9" ht="16.5">
      <c r="A128" s="524" t="s">
        <v>269</v>
      </c>
      <c r="B128" s="85" t="s">
        <v>270</v>
      </c>
      <c r="C128" s="85" t="s">
        <v>271</v>
      </c>
      <c r="D128" s="85" t="s">
        <v>272</v>
      </c>
      <c r="E128" s="85" t="s">
        <v>274</v>
      </c>
      <c r="F128" s="86" t="s">
        <v>273</v>
      </c>
    </row>
    <row r="129" spans="1:7" ht="16.5">
      <c r="A129" s="525"/>
      <c r="B129" s="87" t="s">
        <v>275</v>
      </c>
      <c r="C129" s="87" t="s">
        <v>276</v>
      </c>
      <c r="D129" s="87" t="s">
        <v>277</v>
      </c>
      <c r="E129" s="87" t="s">
        <v>279</v>
      </c>
      <c r="F129" s="88" t="s">
        <v>278</v>
      </c>
    </row>
    <row r="130" spans="1:7" ht="16.5">
      <c r="A130" s="98" t="s">
        <v>280</v>
      </c>
      <c r="B130" s="444">
        <v>18</v>
      </c>
      <c r="C130" s="444">
        <v>49</v>
      </c>
      <c r="D130" s="444">
        <v>18</v>
      </c>
      <c r="E130" s="444">
        <v>21</v>
      </c>
      <c r="F130" s="444">
        <v>18</v>
      </c>
    </row>
    <row r="131" spans="1:7" ht="16.5">
      <c r="A131" s="98" t="s">
        <v>281</v>
      </c>
      <c r="B131" s="444">
        <v>8</v>
      </c>
      <c r="C131" s="444">
        <v>57</v>
      </c>
      <c r="D131" s="444">
        <v>8</v>
      </c>
      <c r="E131" s="444">
        <v>2</v>
      </c>
      <c r="F131" s="444">
        <v>8</v>
      </c>
    </row>
    <row r="132" spans="1:7" ht="16.5">
      <c r="A132" s="89" t="s">
        <v>336</v>
      </c>
      <c r="B132" s="93">
        <f>$G$46</f>
        <v>113</v>
      </c>
      <c r="C132" s="93">
        <f>$I$32</f>
        <v>4.5999999999999996</v>
      </c>
      <c r="D132" s="93">
        <f>$D$126</f>
        <v>4.5</v>
      </c>
      <c r="E132" s="93">
        <f>$G$32</f>
        <v>39.099999999999994</v>
      </c>
      <c r="F132" s="94">
        <f>IF('Steel Calculations'!$AB$4&gt;0,IF('Steel Calculations'!$AB$4&lt;=10,0.5,1),0)</f>
        <v>0.5</v>
      </c>
      <c r="G132" s="97"/>
    </row>
    <row r="133" spans="1:7" ht="17.25" thickBot="1">
      <c r="A133" s="90" t="s">
        <v>337</v>
      </c>
      <c r="B133" s="95">
        <f>B132</f>
        <v>113</v>
      </c>
      <c r="C133" s="95">
        <f>C132</f>
        <v>4.5999999999999996</v>
      </c>
      <c r="D133" s="95">
        <f>D132</f>
        <v>4.5</v>
      </c>
      <c r="E133" s="95">
        <f>E132</f>
        <v>39.099999999999994</v>
      </c>
      <c r="F133" s="96">
        <f>F132</f>
        <v>0.5</v>
      </c>
    </row>
    <row r="134" spans="1:7" ht="16.5">
      <c r="A134" s="100" t="s">
        <v>339</v>
      </c>
      <c r="B134" s="93">
        <f>B130*B132</f>
        <v>2034</v>
      </c>
      <c r="C134" s="93">
        <f>C130*C132</f>
        <v>225.39999999999998</v>
      </c>
      <c r="D134" s="93">
        <f t="shared" ref="B134:F135" si="9">D130*D132</f>
        <v>81</v>
      </c>
      <c r="E134" s="93">
        <f t="shared" si="9"/>
        <v>821.09999999999991</v>
      </c>
      <c r="F134" s="94">
        <f t="shared" si="9"/>
        <v>9</v>
      </c>
      <c r="G134" s="87">
        <f>SUM(B134:F134)</f>
        <v>3170.5</v>
      </c>
    </row>
    <row r="135" spans="1:7" ht="17.25" thickBot="1">
      <c r="A135" s="90" t="s">
        <v>338</v>
      </c>
      <c r="B135" s="95">
        <f t="shared" si="9"/>
        <v>904</v>
      </c>
      <c r="C135" s="95">
        <f t="shared" si="9"/>
        <v>262.2</v>
      </c>
      <c r="D135" s="95">
        <f t="shared" si="9"/>
        <v>36</v>
      </c>
      <c r="E135" s="95">
        <f t="shared" si="9"/>
        <v>78.199999999999989</v>
      </c>
      <c r="F135" s="96">
        <f t="shared" si="9"/>
        <v>4</v>
      </c>
      <c r="G135" s="87">
        <f>SUM(B135:F135)</f>
        <v>1284.4000000000001</v>
      </c>
    </row>
    <row r="137" spans="1:7" ht="13.5" thickBot="1"/>
    <row r="138" spans="1:7" ht="16.5" thickBot="1">
      <c r="A138" s="526" t="s">
        <v>457</v>
      </c>
      <c r="B138" s="527"/>
      <c r="C138" s="527"/>
      <c r="D138" s="527"/>
      <c r="E138" s="527"/>
      <c r="F138" s="528"/>
    </row>
    <row r="139" spans="1:7" ht="16.5">
      <c r="A139" s="524" t="s">
        <v>269</v>
      </c>
      <c r="B139" s="85" t="s">
        <v>270</v>
      </c>
      <c r="C139" s="85" t="s">
        <v>271</v>
      </c>
      <c r="D139" s="85" t="s">
        <v>272</v>
      </c>
      <c r="E139" s="85" t="s">
        <v>274</v>
      </c>
      <c r="F139" s="86" t="s">
        <v>273</v>
      </c>
    </row>
    <row r="140" spans="1:7" ht="16.5">
      <c r="A140" s="525"/>
      <c r="B140" s="87" t="s">
        <v>275</v>
      </c>
      <c r="C140" s="87" t="s">
        <v>276</v>
      </c>
      <c r="D140" s="87" t="s">
        <v>277</v>
      </c>
      <c r="E140" s="87" t="s">
        <v>279</v>
      </c>
      <c r="F140" s="88" t="s">
        <v>278</v>
      </c>
    </row>
    <row r="141" spans="1:7" ht="16.5">
      <c r="A141" s="98" t="s">
        <v>280</v>
      </c>
      <c r="B141" s="99">
        <v>18</v>
      </c>
      <c r="C141" s="99">
        <v>49</v>
      </c>
      <c r="D141" s="99">
        <v>18</v>
      </c>
      <c r="E141" s="99">
        <v>21</v>
      </c>
      <c r="F141" s="99">
        <v>18</v>
      </c>
    </row>
    <row r="142" spans="1:7" ht="16.5">
      <c r="A142" s="98" t="s">
        <v>281</v>
      </c>
      <c r="B142" s="99">
        <v>8</v>
      </c>
      <c r="C142" s="99">
        <v>57</v>
      </c>
      <c r="D142" s="99">
        <v>8</v>
      </c>
      <c r="E142" s="99">
        <v>2</v>
      </c>
      <c r="F142" s="99">
        <v>8</v>
      </c>
    </row>
    <row r="143" spans="1:7" ht="16.5">
      <c r="A143" s="89" t="s">
        <v>336</v>
      </c>
      <c r="B143" s="93">
        <f>$H$46</f>
        <v>97.25</v>
      </c>
      <c r="C143" s="93">
        <f>$I$32</f>
        <v>4.5999999999999996</v>
      </c>
      <c r="D143" s="93">
        <f>$D$126</f>
        <v>4.5</v>
      </c>
      <c r="E143" s="93">
        <f>$H$32</f>
        <v>10.850000000000001</v>
      </c>
      <c r="F143" s="94">
        <f>IF('Steel Calculations'!$AB$4&gt;0,IF('Steel Calculations'!$AB$4&lt;=10,0.5,1),0)</f>
        <v>0.5</v>
      </c>
    </row>
    <row r="144" spans="1:7" ht="17.25" thickBot="1">
      <c r="A144" s="90" t="s">
        <v>337</v>
      </c>
      <c r="B144" s="95">
        <f>B143</f>
        <v>97.25</v>
      </c>
      <c r="C144" s="95">
        <f>C143</f>
        <v>4.5999999999999996</v>
      </c>
      <c r="D144" s="95">
        <f>D143</f>
        <v>4.5</v>
      </c>
      <c r="E144" s="95">
        <f>E143</f>
        <v>10.850000000000001</v>
      </c>
      <c r="F144" s="96">
        <f>F143</f>
        <v>0.5</v>
      </c>
    </row>
    <row r="145" spans="1:7" ht="16.5">
      <c r="A145" s="100" t="s">
        <v>339</v>
      </c>
      <c r="B145" s="93">
        <f>B141*B143</f>
        <v>1750.5</v>
      </c>
      <c r="C145" s="93">
        <f t="shared" ref="C145:E145" si="10">C141*C143</f>
        <v>225.39999999999998</v>
      </c>
      <c r="D145" s="93">
        <f t="shared" si="10"/>
        <v>81</v>
      </c>
      <c r="E145" s="93">
        <f t="shared" si="10"/>
        <v>227.85000000000002</v>
      </c>
      <c r="F145" s="94">
        <f>F141*F143</f>
        <v>9</v>
      </c>
      <c r="G145" s="87">
        <f>SUM(B145:F145)</f>
        <v>2293.75</v>
      </c>
    </row>
    <row r="146" spans="1:7" ht="17.25" thickBot="1">
      <c r="A146" s="90" t="s">
        <v>338</v>
      </c>
      <c r="B146" s="95">
        <f t="shared" ref="B146:F146" si="11">B142*B144</f>
        <v>778</v>
      </c>
      <c r="C146" s="95">
        <f t="shared" si="11"/>
        <v>262.2</v>
      </c>
      <c r="D146" s="95">
        <f t="shared" si="11"/>
        <v>36</v>
      </c>
      <c r="E146" s="95">
        <f t="shared" si="11"/>
        <v>21.700000000000003</v>
      </c>
      <c r="F146" s="96">
        <f t="shared" si="11"/>
        <v>4</v>
      </c>
      <c r="G146" s="87">
        <f>SUM(B146:F146)</f>
        <v>1101.9000000000001</v>
      </c>
    </row>
  </sheetData>
  <mergeCells count="4">
    <mergeCell ref="A128:A129"/>
    <mergeCell ref="A138:F138"/>
    <mergeCell ref="A139:A140"/>
    <mergeCell ref="A127:F127"/>
  </mergeCells>
  <conditionalFormatting sqref="A130:A133">
    <cfRule type="duplicateValues" dxfId="8" priority="50" stopIfTrue="1"/>
  </conditionalFormatting>
  <conditionalFormatting sqref="A134:A135">
    <cfRule type="duplicateValues" dxfId="7" priority="29" stopIfTrue="1"/>
  </conditionalFormatting>
  <conditionalFormatting sqref="A141:A144">
    <cfRule type="duplicateValues" dxfId="6" priority="23" stopIfTrue="1"/>
  </conditionalFormatting>
  <conditionalFormatting sqref="A145:A146">
    <cfRule type="duplicateValues" dxfId="5" priority="22" stopIfTrue="1"/>
  </conditionalFormatting>
  <conditionalFormatting sqref="B64:B80 B123:B125 B115:B121 B107:B113 B102:B105 B97:B100 B93:B95 B82:B91">
    <cfRule type="cellIs" dxfId="4" priority="7" operator="greaterThan">
      <formula>0</formula>
    </cfRule>
  </conditionalFormatting>
  <pageMargins left="0.7" right="0.7" top="0.75" bottom="0.75" header="0.3" footer="0.3"/>
  <pageSetup orientation="portrait" r:id="rId1"/>
  <ignoredErrors>
    <ignoredError sqref="F10:F1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7"/>
  <sheetViews>
    <sheetView topLeftCell="A22" zoomScale="85" zoomScaleNormal="85" workbookViewId="0">
      <selection activeCell="K58" sqref="K58"/>
    </sheetView>
  </sheetViews>
  <sheetFormatPr defaultColWidth="9.140625" defaultRowHeight="12.75"/>
  <cols>
    <col min="1" max="16384" width="9.140625" style="19"/>
  </cols>
  <sheetData>
    <row r="1" spans="1:21" ht="15.75" customHeight="1" thickBot="1">
      <c r="A1" s="533" t="s">
        <v>193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</row>
    <row r="2" spans="1:21" ht="13.5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1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1" ht="26.25" thickBot="1">
      <c r="A4" s="25" t="s">
        <v>203</v>
      </c>
      <c r="B4" s="26">
        <f>D4/1.6</f>
        <v>120</v>
      </c>
      <c r="C4" s="27">
        <v>176</v>
      </c>
      <c r="D4" s="27">
        <v>192</v>
      </c>
      <c r="E4" s="27">
        <v>208</v>
      </c>
      <c r="F4" s="28">
        <v>224</v>
      </c>
      <c r="G4" s="26">
        <f>I4/1.6</f>
        <v>123.75</v>
      </c>
      <c r="H4" s="27">
        <v>182</v>
      </c>
      <c r="I4" s="27">
        <v>198</v>
      </c>
      <c r="J4" s="27">
        <v>215</v>
      </c>
      <c r="K4" s="28">
        <v>232</v>
      </c>
      <c r="L4" s="29">
        <f>N4/1.6</f>
        <v>131.875</v>
      </c>
      <c r="M4" s="27">
        <v>195</v>
      </c>
      <c r="N4" s="27">
        <v>211</v>
      </c>
      <c r="O4" s="27">
        <v>229</v>
      </c>
      <c r="P4" s="30">
        <v>247</v>
      </c>
      <c r="Q4" s="26">
        <f>S4/1.6</f>
        <v>135.625</v>
      </c>
      <c r="R4" s="27">
        <f>195+6</f>
        <v>201</v>
      </c>
      <c r="S4" s="27">
        <f>211+6</f>
        <v>217</v>
      </c>
      <c r="T4" s="27">
        <f>229+7</f>
        <v>236</v>
      </c>
      <c r="U4" s="28">
        <f>247+8</f>
        <v>255</v>
      </c>
    </row>
    <row r="5" spans="1:21" ht="26.25" thickBot="1">
      <c r="A5" s="25" t="s">
        <v>204</v>
      </c>
      <c r="B5" s="26">
        <f>D5/1.6</f>
        <v>129.375</v>
      </c>
      <c r="C5" s="27">
        <v>191</v>
      </c>
      <c r="D5" s="27">
        <v>207</v>
      </c>
      <c r="E5" s="27">
        <v>225</v>
      </c>
      <c r="F5" s="28">
        <v>242</v>
      </c>
      <c r="G5" s="26">
        <f>I5/1.6</f>
        <v>135.625</v>
      </c>
      <c r="H5" s="27">
        <v>201</v>
      </c>
      <c r="I5" s="27">
        <v>217</v>
      </c>
      <c r="J5" s="27">
        <v>233</v>
      </c>
      <c r="K5" s="28">
        <v>251</v>
      </c>
      <c r="L5" s="29">
        <f>N5/1.6</f>
        <v>143.75</v>
      </c>
      <c r="M5" s="27">
        <v>214</v>
      </c>
      <c r="N5" s="27">
        <v>230</v>
      </c>
      <c r="O5" s="27">
        <v>249</v>
      </c>
      <c r="P5" s="30">
        <v>267</v>
      </c>
      <c r="Q5" s="26">
        <f>S5/1.6</f>
        <v>150</v>
      </c>
      <c r="R5" s="27">
        <f>214+10</f>
        <v>224</v>
      </c>
      <c r="S5" s="27">
        <f>230+10</f>
        <v>240</v>
      </c>
      <c r="T5" s="27">
        <f>249+8</f>
        <v>257</v>
      </c>
      <c r="U5" s="28">
        <f>267+9</f>
        <v>276</v>
      </c>
    </row>
    <row r="6" spans="1:21" ht="26.25" thickBot="1">
      <c r="A6" s="25" t="s">
        <v>205</v>
      </c>
      <c r="B6" s="26">
        <f>D6/1.6</f>
        <v>142.5</v>
      </c>
      <c r="C6" s="27">
        <v>212</v>
      </c>
      <c r="D6" s="27">
        <v>228</v>
      </c>
      <c r="E6" s="27">
        <v>247</v>
      </c>
      <c r="F6" s="28">
        <v>265</v>
      </c>
      <c r="G6" s="26">
        <f>I6/1.6</f>
        <v>148.125</v>
      </c>
      <c r="H6" s="27">
        <v>221</v>
      </c>
      <c r="I6" s="27">
        <v>237</v>
      </c>
      <c r="J6" s="27">
        <v>256</v>
      </c>
      <c r="K6" s="28">
        <v>276</v>
      </c>
      <c r="L6" s="29">
        <f>N6/1.6</f>
        <v>158.75</v>
      </c>
      <c r="M6" s="27">
        <v>238</v>
      </c>
      <c r="N6" s="27">
        <v>254</v>
      </c>
      <c r="O6" s="27">
        <v>274</v>
      </c>
      <c r="P6" s="30">
        <v>294</v>
      </c>
      <c r="Q6" s="26">
        <f>S6/1.6</f>
        <v>164.375</v>
      </c>
      <c r="R6" s="27">
        <f>238+9</f>
        <v>247</v>
      </c>
      <c r="S6" s="27">
        <f>254+9</f>
        <v>263</v>
      </c>
      <c r="T6" s="27">
        <f>274+9</f>
        <v>283</v>
      </c>
      <c r="U6" s="28">
        <f>294+11</f>
        <v>305</v>
      </c>
    </row>
    <row r="7" spans="1:21" ht="26.25" thickBot="1">
      <c r="A7" s="25" t="s">
        <v>206</v>
      </c>
      <c r="B7" s="26">
        <f>D7/1.6</f>
        <v>152.5</v>
      </c>
      <c r="C7" s="27">
        <v>228</v>
      </c>
      <c r="D7" s="27">
        <v>244</v>
      </c>
      <c r="E7" s="27">
        <v>263</v>
      </c>
      <c r="F7" s="28">
        <v>281</v>
      </c>
      <c r="G7" s="26">
        <f>I7/1.6</f>
        <v>158.125</v>
      </c>
      <c r="H7" s="27">
        <v>237</v>
      </c>
      <c r="I7" s="27">
        <v>253</v>
      </c>
      <c r="J7" s="27">
        <v>272</v>
      </c>
      <c r="K7" s="28">
        <v>292</v>
      </c>
      <c r="L7" s="29">
        <f>N7/1.6</f>
        <v>168.75</v>
      </c>
      <c r="M7" s="27">
        <v>254</v>
      </c>
      <c r="N7" s="27">
        <v>270</v>
      </c>
      <c r="O7" s="27">
        <v>290</v>
      </c>
      <c r="P7" s="30">
        <v>310</v>
      </c>
      <c r="Q7" s="26">
        <f>S7/1.6</f>
        <v>174.375</v>
      </c>
      <c r="R7" s="27">
        <f>254+9</f>
        <v>263</v>
      </c>
      <c r="S7" s="27">
        <f>270+9</f>
        <v>279</v>
      </c>
      <c r="T7" s="27">
        <f>290+9</f>
        <v>299</v>
      </c>
      <c r="U7" s="28">
        <f>310+11</f>
        <v>321</v>
      </c>
    </row>
    <row r="8" spans="1:21" ht="26.25" thickBot="1">
      <c r="A8" s="25" t="s">
        <v>207</v>
      </c>
      <c r="B8" s="26">
        <f>B7+20</f>
        <v>172.5</v>
      </c>
      <c r="C8" s="27">
        <f t="shared" ref="C8:U8" si="0">C7+20</f>
        <v>248</v>
      </c>
      <c r="D8" s="27">
        <f t="shared" si="0"/>
        <v>264</v>
      </c>
      <c r="E8" s="27">
        <f t="shared" si="0"/>
        <v>283</v>
      </c>
      <c r="F8" s="28">
        <f t="shared" si="0"/>
        <v>301</v>
      </c>
      <c r="G8" s="26">
        <f t="shared" si="0"/>
        <v>178.125</v>
      </c>
      <c r="H8" s="27">
        <f t="shared" si="0"/>
        <v>257</v>
      </c>
      <c r="I8" s="27">
        <f t="shared" si="0"/>
        <v>273</v>
      </c>
      <c r="J8" s="27">
        <f t="shared" si="0"/>
        <v>292</v>
      </c>
      <c r="K8" s="28">
        <f t="shared" si="0"/>
        <v>312</v>
      </c>
      <c r="L8" s="29">
        <f t="shared" si="0"/>
        <v>188.75</v>
      </c>
      <c r="M8" s="27">
        <f t="shared" si="0"/>
        <v>274</v>
      </c>
      <c r="N8" s="27">
        <f t="shared" si="0"/>
        <v>290</v>
      </c>
      <c r="O8" s="27">
        <f t="shared" si="0"/>
        <v>310</v>
      </c>
      <c r="P8" s="30">
        <f t="shared" si="0"/>
        <v>330</v>
      </c>
      <c r="Q8" s="26">
        <f t="shared" si="0"/>
        <v>194.375</v>
      </c>
      <c r="R8" s="27">
        <f t="shared" si="0"/>
        <v>283</v>
      </c>
      <c r="S8" s="27">
        <f t="shared" si="0"/>
        <v>299</v>
      </c>
      <c r="T8" s="27">
        <f t="shared" si="0"/>
        <v>319</v>
      </c>
      <c r="U8" s="28">
        <f t="shared" si="0"/>
        <v>341</v>
      </c>
    </row>
    <row r="9" spans="1:2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1" ht="15.75" customHeight="1" thickBot="1">
      <c r="A10" s="533" t="s">
        <v>208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1" ht="13.5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1" ht="13.5" thickBot="1">
      <c r="A12" s="21"/>
      <c r="B12" s="22" t="s">
        <v>198</v>
      </c>
      <c r="C12" s="22" t="s">
        <v>199</v>
      </c>
      <c r="D12" s="22" t="s">
        <v>200</v>
      </c>
      <c r="E12" s="22" t="s">
        <v>201</v>
      </c>
      <c r="F12" s="23" t="s">
        <v>202</v>
      </c>
      <c r="G12" s="22" t="s">
        <v>198</v>
      </c>
      <c r="H12" s="22" t="s">
        <v>199</v>
      </c>
      <c r="I12" s="22" t="s">
        <v>200</v>
      </c>
      <c r="J12" s="22" t="s">
        <v>201</v>
      </c>
      <c r="K12" s="22" t="s">
        <v>202</v>
      </c>
      <c r="L12" s="24" t="s">
        <v>198</v>
      </c>
      <c r="M12" s="22" t="s">
        <v>199</v>
      </c>
      <c r="N12" s="22" t="s">
        <v>200</v>
      </c>
      <c r="O12" s="22" t="s">
        <v>201</v>
      </c>
      <c r="P12" s="22" t="s">
        <v>202</v>
      </c>
      <c r="Q12" s="22" t="s">
        <v>198</v>
      </c>
      <c r="R12" s="22" t="s">
        <v>199</v>
      </c>
      <c r="S12" s="22" t="s">
        <v>200</v>
      </c>
      <c r="T12" s="22" t="s">
        <v>201</v>
      </c>
      <c r="U12" s="22" t="s">
        <v>202</v>
      </c>
    </row>
    <row r="13" spans="1:21" ht="26.25" thickBot="1">
      <c r="A13" s="25" t="s">
        <v>203</v>
      </c>
      <c r="B13" s="26">
        <f>B4*1.15</f>
        <v>138</v>
      </c>
      <c r="C13" s="27">
        <f t="shared" ref="C13:U17" si="1">C4*1.15</f>
        <v>202.39999999999998</v>
      </c>
      <c r="D13" s="27">
        <f t="shared" si="1"/>
        <v>220.79999999999998</v>
      </c>
      <c r="E13" s="27">
        <f t="shared" si="1"/>
        <v>239.2</v>
      </c>
      <c r="F13" s="28">
        <f t="shared" si="1"/>
        <v>257.59999999999997</v>
      </c>
      <c r="G13" s="26">
        <f t="shared" si="1"/>
        <v>142.3125</v>
      </c>
      <c r="H13" s="27">
        <f t="shared" si="1"/>
        <v>209.29999999999998</v>
      </c>
      <c r="I13" s="27">
        <f t="shared" si="1"/>
        <v>227.7</v>
      </c>
      <c r="J13" s="27">
        <f t="shared" si="1"/>
        <v>247.24999999999997</v>
      </c>
      <c r="K13" s="28">
        <f t="shared" si="1"/>
        <v>266.79999999999995</v>
      </c>
      <c r="L13" s="29">
        <f t="shared" si="1"/>
        <v>151.65625</v>
      </c>
      <c r="M13" s="27">
        <f t="shared" si="1"/>
        <v>224.24999999999997</v>
      </c>
      <c r="N13" s="27">
        <f t="shared" si="1"/>
        <v>242.64999999999998</v>
      </c>
      <c r="O13" s="27">
        <f t="shared" si="1"/>
        <v>263.34999999999997</v>
      </c>
      <c r="P13" s="30">
        <f t="shared" si="1"/>
        <v>284.04999999999995</v>
      </c>
      <c r="Q13" s="26">
        <f t="shared" si="1"/>
        <v>155.96875</v>
      </c>
      <c r="R13" s="27">
        <f t="shared" si="1"/>
        <v>231.14999999999998</v>
      </c>
      <c r="S13" s="27">
        <f t="shared" si="1"/>
        <v>249.54999999999998</v>
      </c>
      <c r="T13" s="27">
        <f t="shared" si="1"/>
        <v>271.39999999999998</v>
      </c>
      <c r="U13" s="28">
        <f t="shared" si="1"/>
        <v>293.25</v>
      </c>
    </row>
    <row r="14" spans="1:21" ht="26.25" thickBot="1">
      <c r="A14" s="25" t="s">
        <v>204</v>
      </c>
      <c r="B14" s="26">
        <f>B5*1.15</f>
        <v>148.78125</v>
      </c>
      <c r="C14" s="27">
        <f t="shared" si="1"/>
        <v>219.64999999999998</v>
      </c>
      <c r="D14" s="27">
        <f t="shared" si="1"/>
        <v>238.04999999999998</v>
      </c>
      <c r="E14" s="27">
        <f t="shared" si="1"/>
        <v>258.75</v>
      </c>
      <c r="F14" s="28">
        <f t="shared" si="1"/>
        <v>278.29999999999995</v>
      </c>
      <c r="G14" s="26">
        <f t="shared" si="1"/>
        <v>155.96875</v>
      </c>
      <c r="H14" s="27">
        <f t="shared" si="1"/>
        <v>231.14999999999998</v>
      </c>
      <c r="I14" s="27">
        <f t="shared" si="1"/>
        <v>249.54999999999998</v>
      </c>
      <c r="J14" s="27">
        <f t="shared" si="1"/>
        <v>267.95</v>
      </c>
      <c r="K14" s="28">
        <f t="shared" si="1"/>
        <v>288.64999999999998</v>
      </c>
      <c r="L14" s="29">
        <f t="shared" si="1"/>
        <v>165.3125</v>
      </c>
      <c r="M14" s="27">
        <f t="shared" si="1"/>
        <v>246.1</v>
      </c>
      <c r="N14" s="27">
        <f t="shared" si="1"/>
        <v>264.5</v>
      </c>
      <c r="O14" s="27">
        <f t="shared" si="1"/>
        <v>286.34999999999997</v>
      </c>
      <c r="P14" s="30">
        <f t="shared" si="1"/>
        <v>307.04999999999995</v>
      </c>
      <c r="Q14" s="26">
        <f t="shared" si="1"/>
        <v>172.5</v>
      </c>
      <c r="R14" s="27">
        <f t="shared" si="1"/>
        <v>257.59999999999997</v>
      </c>
      <c r="S14" s="27">
        <f t="shared" si="1"/>
        <v>276</v>
      </c>
      <c r="T14" s="27">
        <f t="shared" si="1"/>
        <v>295.54999999999995</v>
      </c>
      <c r="U14" s="28">
        <f t="shared" si="1"/>
        <v>317.39999999999998</v>
      </c>
    </row>
    <row r="15" spans="1:21" ht="26.25" thickBot="1">
      <c r="A15" s="25" t="s">
        <v>205</v>
      </c>
      <c r="B15" s="26">
        <f>B6*1.15</f>
        <v>163.875</v>
      </c>
      <c r="C15" s="27">
        <f t="shared" si="1"/>
        <v>243.79999999999998</v>
      </c>
      <c r="D15" s="27">
        <f t="shared" si="1"/>
        <v>262.2</v>
      </c>
      <c r="E15" s="27">
        <f t="shared" si="1"/>
        <v>284.04999999999995</v>
      </c>
      <c r="F15" s="28">
        <f t="shared" si="1"/>
        <v>304.75</v>
      </c>
      <c r="G15" s="26">
        <f t="shared" si="1"/>
        <v>170.34375</v>
      </c>
      <c r="H15" s="27">
        <f t="shared" si="1"/>
        <v>254.14999999999998</v>
      </c>
      <c r="I15" s="27">
        <f t="shared" si="1"/>
        <v>272.54999999999995</v>
      </c>
      <c r="J15" s="27">
        <f t="shared" si="1"/>
        <v>294.39999999999998</v>
      </c>
      <c r="K15" s="28">
        <f t="shared" si="1"/>
        <v>317.39999999999998</v>
      </c>
      <c r="L15" s="29">
        <f t="shared" si="1"/>
        <v>182.5625</v>
      </c>
      <c r="M15" s="27">
        <f t="shared" si="1"/>
        <v>273.7</v>
      </c>
      <c r="N15" s="27">
        <f t="shared" si="1"/>
        <v>292.09999999999997</v>
      </c>
      <c r="O15" s="27">
        <f t="shared" si="1"/>
        <v>315.09999999999997</v>
      </c>
      <c r="P15" s="30">
        <f t="shared" si="1"/>
        <v>338.09999999999997</v>
      </c>
      <c r="Q15" s="26">
        <f t="shared" si="1"/>
        <v>189.03124999999997</v>
      </c>
      <c r="R15" s="27">
        <f t="shared" si="1"/>
        <v>284.04999999999995</v>
      </c>
      <c r="S15" s="27">
        <f t="shared" si="1"/>
        <v>302.45</v>
      </c>
      <c r="T15" s="27">
        <f t="shared" si="1"/>
        <v>325.45</v>
      </c>
      <c r="U15" s="28">
        <f t="shared" si="1"/>
        <v>350.75</v>
      </c>
    </row>
    <row r="16" spans="1:21" ht="26.25" thickBot="1">
      <c r="A16" s="25" t="s">
        <v>206</v>
      </c>
      <c r="B16" s="26">
        <f>B7*1.15</f>
        <v>175.375</v>
      </c>
      <c r="C16" s="27">
        <f t="shared" si="1"/>
        <v>262.2</v>
      </c>
      <c r="D16" s="27">
        <f t="shared" si="1"/>
        <v>280.59999999999997</v>
      </c>
      <c r="E16" s="27">
        <f t="shared" si="1"/>
        <v>302.45</v>
      </c>
      <c r="F16" s="28">
        <f t="shared" si="1"/>
        <v>323.14999999999998</v>
      </c>
      <c r="G16" s="26">
        <f t="shared" si="1"/>
        <v>181.84375</v>
      </c>
      <c r="H16" s="27">
        <f t="shared" si="1"/>
        <v>272.54999999999995</v>
      </c>
      <c r="I16" s="27">
        <f t="shared" si="1"/>
        <v>290.95</v>
      </c>
      <c r="J16" s="27">
        <f t="shared" si="1"/>
        <v>312.79999999999995</v>
      </c>
      <c r="K16" s="28">
        <f t="shared" si="1"/>
        <v>335.79999999999995</v>
      </c>
      <c r="L16" s="29">
        <f t="shared" si="1"/>
        <v>194.06249999999997</v>
      </c>
      <c r="M16" s="27">
        <f t="shared" si="1"/>
        <v>292.09999999999997</v>
      </c>
      <c r="N16" s="27">
        <f t="shared" si="1"/>
        <v>310.5</v>
      </c>
      <c r="O16" s="27">
        <f t="shared" si="1"/>
        <v>333.5</v>
      </c>
      <c r="P16" s="30">
        <f t="shared" si="1"/>
        <v>356.5</v>
      </c>
      <c r="Q16" s="26">
        <f t="shared" si="1"/>
        <v>200.53124999999997</v>
      </c>
      <c r="R16" s="27">
        <f t="shared" si="1"/>
        <v>302.45</v>
      </c>
      <c r="S16" s="27">
        <f t="shared" si="1"/>
        <v>320.84999999999997</v>
      </c>
      <c r="T16" s="27">
        <f t="shared" si="1"/>
        <v>343.84999999999997</v>
      </c>
      <c r="U16" s="28">
        <f t="shared" si="1"/>
        <v>369.15</v>
      </c>
    </row>
    <row r="17" spans="1:21" ht="26.25" thickBot="1">
      <c r="A17" s="25" t="s">
        <v>207</v>
      </c>
      <c r="B17" s="26">
        <f>B8*1.15</f>
        <v>198.37499999999997</v>
      </c>
      <c r="C17" s="27">
        <f t="shared" si="1"/>
        <v>285.2</v>
      </c>
      <c r="D17" s="27">
        <f t="shared" si="1"/>
        <v>303.59999999999997</v>
      </c>
      <c r="E17" s="27">
        <f t="shared" si="1"/>
        <v>325.45</v>
      </c>
      <c r="F17" s="28">
        <f t="shared" si="1"/>
        <v>346.15</v>
      </c>
      <c r="G17" s="26">
        <f t="shared" si="1"/>
        <v>204.84374999999997</v>
      </c>
      <c r="H17" s="27">
        <f t="shared" si="1"/>
        <v>295.54999999999995</v>
      </c>
      <c r="I17" s="27">
        <f t="shared" si="1"/>
        <v>313.95</v>
      </c>
      <c r="J17" s="27">
        <f t="shared" si="1"/>
        <v>335.79999999999995</v>
      </c>
      <c r="K17" s="28">
        <f t="shared" si="1"/>
        <v>358.79999999999995</v>
      </c>
      <c r="L17" s="29">
        <f t="shared" si="1"/>
        <v>217.06249999999997</v>
      </c>
      <c r="M17" s="27">
        <f t="shared" si="1"/>
        <v>315.09999999999997</v>
      </c>
      <c r="N17" s="27">
        <f t="shared" si="1"/>
        <v>333.5</v>
      </c>
      <c r="O17" s="27">
        <f t="shared" si="1"/>
        <v>356.5</v>
      </c>
      <c r="P17" s="30">
        <f t="shared" si="1"/>
        <v>379.49999999999994</v>
      </c>
      <c r="Q17" s="26">
        <f t="shared" si="1"/>
        <v>223.53124999999997</v>
      </c>
      <c r="R17" s="27">
        <f t="shared" si="1"/>
        <v>325.45</v>
      </c>
      <c r="S17" s="27">
        <f t="shared" si="1"/>
        <v>343.84999999999997</v>
      </c>
      <c r="T17" s="27">
        <f t="shared" si="1"/>
        <v>366.84999999999997</v>
      </c>
      <c r="U17" s="28">
        <f t="shared" si="1"/>
        <v>392.15</v>
      </c>
    </row>
    <row r="19" spans="1:21" ht="15.75" customHeight="1" thickBot="1">
      <c r="A19" s="533" t="s">
        <v>209</v>
      </c>
      <c r="B19" s="534"/>
      <c r="C19" s="534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1:21" ht="13.5" thickBot="1">
      <c r="A20" s="20" t="s">
        <v>0</v>
      </c>
      <c r="B20" s="529" t="s">
        <v>194</v>
      </c>
      <c r="C20" s="530"/>
      <c r="D20" s="530"/>
      <c r="E20" s="530"/>
      <c r="F20" s="531"/>
      <c r="G20" s="532" t="s">
        <v>195</v>
      </c>
      <c r="H20" s="530"/>
      <c r="I20" s="530"/>
      <c r="J20" s="530"/>
      <c r="K20" s="531"/>
      <c r="L20" s="532" t="s">
        <v>196</v>
      </c>
      <c r="M20" s="530"/>
      <c r="N20" s="530"/>
      <c r="O20" s="530"/>
      <c r="P20" s="531"/>
      <c r="Q20" s="532" t="s">
        <v>197</v>
      </c>
      <c r="R20" s="530"/>
      <c r="S20" s="530"/>
      <c r="T20" s="530"/>
      <c r="U20" s="531"/>
    </row>
    <row r="21" spans="1:21" ht="13.5" thickBot="1">
      <c r="A21" s="21"/>
      <c r="B21" s="22" t="s">
        <v>198</v>
      </c>
      <c r="C21" s="22" t="s">
        <v>199</v>
      </c>
      <c r="D21" s="22" t="s">
        <v>200</v>
      </c>
      <c r="E21" s="22" t="s">
        <v>201</v>
      </c>
      <c r="F21" s="23" t="s">
        <v>202</v>
      </c>
      <c r="G21" s="22" t="s">
        <v>198</v>
      </c>
      <c r="H21" s="22" t="s">
        <v>199</v>
      </c>
      <c r="I21" s="22" t="s">
        <v>200</v>
      </c>
      <c r="J21" s="22" t="s">
        <v>201</v>
      </c>
      <c r="K21" s="22" t="s">
        <v>202</v>
      </c>
      <c r="L21" s="24" t="s">
        <v>198</v>
      </c>
      <c r="M21" s="22" t="s">
        <v>199</v>
      </c>
      <c r="N21" s="22" t="s">
        <v>200</v>
      </c>
      <c r="O21" s="22" t="s">
        <v>201</v>
      </c>
      <c r="P21" s="22" t="s">
        <v>202</v>
      </c>
      <c r="Q21" s="22" t="s">
        <v>198</v>
      </c>
      <c r="R21" s="22" t="s">
        <v>199</v>
      </c>
      <c r="S21" s="22" t="s">
        <v>200</v>
      </c>
      <c r="T21" s="22" t="s">
        <v>201</v>
      </c>
      <c r="U21" s="22" t="s">
        <v>202</v>
      </c>
    </row>
    <row r="22" spans="1:21" ht="26.25" thickBot="1">
      <c r="A22" s="25" t="s">
        <v>203</v>
      </c>
      <c r="B22" s="26">
        <f t="shared" ref="B22:U26" si="2">B4*1.2</f>
        <v>144</v>
      </c>
      <c r="C22" s="27">
        <f t="shared" si="2"/>
        <v>211.2</v>
      </c>
      <c r="D22" s="27">
        <f t="shared" si="2"/>
        <v>230.39999999999998</v>
      </c>
      <c r="E22" s="27">
        <f t="shared" si="2"/>
        <v>249.6</v>
      </c>
      <c r="F22" s="28">
        <f t="shared" si="2"/>
        <v>268.8</v>
      </c>
      <c r="G22" s="26">
        <f t="shared" si="2"/>
        <v>148.5</v>
      </c>
      <c r="H22" s="27">
        <f t="shared" si="2"/>
        <v>218.4</v>
      </c>
      <c r="I22" s="27">
        <f t="shared" si="2"/>
        <v>237.6</v>
      </c>
      <c r="J22" s="27">
        <f t="shared" si="2"/>
        <v>258</v>
      </c>
      <c r="K22" s="28">
        <f t="shared" si="2"/>
        <v>278.39999999999998</v>
      </c>
      <c r="L22" s="29">
        <f t="shared" si="2"/>
        <v>158.25</v>
      </c>
      <c r="M22" s="27">
        <f t="shared" si="2"/>
        <v>234</v>
      </c>
      <c r="N22" s="27">
        <f t="shared" si="2"/>
        <v>253.2</v>
      </c>
      <c r="O22" s="27">
        <f t="shared" si="2"/>
        <v>274.8</v>
      </c>
      <c r="P22" s="30">
        <f t="shared" si="2"/>
        <v>296.39999999999998</v>
      </c>
      <c r="Q22" s="26">
        <f t="shared" si="2"/>
        <v>162.75</v>
      </c>
      <c r="R22" s="27">
        <f t="shared" si="2"/>
        <v>241.2</v>
      </c>
      <c r="S22" s="27">
        <f t="shared" si="2"/>
        <v>260.39999999999998</v>
      </c>
      <c r="T22" s="27">
        <f t="shared" si="2"/>
        <v>283.2</v>
      </c>
      <c r="U22" s="28">
        <f t="shared" si="2"/>
        <v>306</v>
      </c>
    </row>
    <row r="23" spans="1:21" ht="26.25" thickBot="1">
      <c r="A23" s="25" t="s">
        <v>204</v>
      </c>
      <c r="B23" s="26">
        <f t="shared" si="2"/>
        <v>155.25</v>
      </c>
      <c r="C23" s="27">
        <f t="shared" si="2"/>
        <v>229.2</v>
      </c>
      <c r="D23" s="27">
        <f t="shared" si="2"/>
        <v>248.39999999999998</v>
      </c>
      <c r="E23" s="27">
        <f t="shared" si="2"/>
        <v>270</v>
      </c>
      <c r="F23" s="28">
        <f t="shared" si="2"/>
        <v>290.39999999999998</v>
      </c>
      <c r="G23" s="26">
        <f t="shared" si="2"/>
        <v>162.75</v>
      </c>
      <c r="H23" s="27">
        <f t="shared" si="2"/>
        <v>241.2</v>
      </c>
      <c r="I23" s="27">
        <f t="shared" si="2"/>
        <v>260.39999999999998</v>
      </c>
      <c r="J23" s="27">
        <f t="shared" si="2"/>
        <v>279.59999999999997</v>
      </c>
      <c r="K23" s="28">
        <f t="shared" si="2"/>
        <v>301.2</v>
      </c>
      <c r="L23" s="29">
        <f t="shared" si="2"/>
        <v>172.5</v>
      </c>
      <c r="M23" s="27">
        <f t="shared" si="2"/>
        <v>256.8</v>
      </c>
      <c r="N23" s="27">
        <f t="shared" si="2"/>
        <v>276</v>
      </c>
      <c r="O23" s="27">
        <f t="shared" si="2"/>
        <v>298.8</v>
      </c>
      <c r="P23" s="30">
        <f t="shared" si="2"/>
        <v>320.39999999999998</v>
      </c>
      <c r="Q23" s="26">
        <f t="shared" si="2"/>
        <v>180</v>
      </c>
      <c r="R23" s="27">
        <f t="shared" si="2"/>
        <v>268.8</v>
      </c>
      <c r="S23" s="27">
        <f t="shared" si="2"/>
        <v>288</v>
      </c>
      <c r="T23" s="27">
        <f t="shared" si="2"/>
        <v>308.39999999999998</v>
      </c>
      <c r="U23" s="28">
        <f t="shared" si="2"/>
        <v>331.2</v>
      </c>
    </row>
    <row r="24" spans="1:21" ht="26.25" thickBot="1">
      <c r="A24" s="25" t="s">
        <v>205</v>
      </c>
      <c r="B24" s="26">
        <f t="shared" si="2"/>
        <v>171</v>
      </c>
      <c r="C24" s="27">
        <f t="shared" si="2"/>
        <v>254.39999999999998</v>
      </c>
      <c r="D24" s="27">
        <f t="shared" si="2"/>
        <v>273.59999999999997</v>
      </c>
      <c r="E24" s="27">
        <f t="shared" si="2"/>
        <v>296.39999999999998</v>
      </c>
      <c r="F24" s="28">
        <f t="shared" si="2"/>
        <v>318</v>
      </c>
      <c r="G24" s="26">
        <f t="shared" si="2"/>
        <v>177.75</v>
      </c>
      <c r="H24" s="27">
        <f t="shared" si="2"/>
        <v>265.2</v>
      </c>
      <c r="I24" s="27">
        <f t="shared" si="2"/>
        <v>284.39999999999998</v>
      </c>
      <c r="J24" s="27">
        <f t="shared" si="2"/>
        <v>307.2</v>
      </c>
      <c r="K24" s="28">
        <f t="shared" si="2"/>
        <v>331.2</v>
      </c>
      <c r="L24" s="29">
        <f t="shared" si="2"/>
        <v>190.5</v>
      </c>
      <c r="M24" s="27">
        <f t="shared" si="2"/>
        <v>285.59999999999997</v>
      </c>
      <c r="N24" s="27">
        <f t="shared" si="2"/>
        <v>304.8</v>
      </c>
      <c r="O24" s="27">
        <f t="shared" si="2"/>
        <v>328.8</v>
      </c>
      <c r="P24" s="30">
        <f t="shared" si="2"/>
        <v>352.8</v>
      </c>
      <c r="Q24" s="26">
        <f t="shared" si="2"/>
        <v>197.25</v>
      </c>
      <c r="R24" s="27">
        <f t="shared" si="2"/>
        <v>296.39999999999998</v>
      </c>
      <c r="S24" s="27">
        <f t="shared" si="2"/>
        <v>315.59999999999997</v>
      </c>
      <c r="T24" s="27">
        <f t="shared" si="2"/>
        <v>339.59999999999997</v>
      </c>
      <c r="U24" s="28">
        <f t="shared" si="2"/>
        <v>366</v>
      </c>
    </row>
    <row r="25" spans="1:21" ht="26.25" thickBot="1">
      <c r="A25" s="25" t="s">
        <v>206</v>
      </c>
      <c r="B25" s="26">
        <f t="shared" si="2"/>
        <v>183</v>
      </c>
      <c r="C25" s="27">
        <f t="shared" si="2"/>
        <v>273.59999999999997</v>
      </c>
      <c r="D25" s="27">
        <f t="shared" si="2"/>
        <v>292.8</v>
      </c>
      <c r="E25" s="27">
        <f t="shared" si="2"/>
        <v>315.59999999999997</v>
      </c>
      <c r="F25" s="28">
        <f t="shared" si="2"/>
        <v>337.2</v>
      </c>
      <c r="G25" s="26">
        <f t="shared" si="2"/>
        <v>189.75</v>
      </c>
      <c r="H25" s="27">
        <f t="shared" si="2"/>
        <v>284.39999999999998</v>
      </c>
      <c r="I25" s="27">
        <f t="shared" si="2"/>
        <v>303.59999999999997</v>
      </c>
      <c r="J25" s="27">
        <f t="shared" si="2"/>
        <v>326.39999999999998</v>
      </c>
      <c r="K25" s="28">
        <f t="shared" si="2"/>
        <v>350.4</v>
      </c>
      <c r="L25" s="29">
        <f t="shared" si="2"/>
        <v>202.5</v>
      </c>
      <c r="M25" s="27">
        <f t="shared" si="2"/>
        <v>304.8</v>
      </c>
      <c r="N25" s="27">
        <f t="shared" si="2"/>
        <v>324</v>
      </c>
      <c r="O25" s="27">
        <f t="shared" si="2"/>
        <v>348</v>
      </c>
      <c r="P25" s="30">
        <f t="shared" si="2"/>
        <v>372</v>
      </c>
      <c r="Q25" s="26">
        <f t="shared" si="2"/>
        <v>209.25</v>
      </c>
      <c r="R25" s="27">
        <f t="shared" si="2"/>
        <v>315.59999999999997</v>
      </c>
      <c r="S25" s="27">
        <f t="shared" si="2"/>
        <v>334.8</v>
      </c>
      <c r="T25" s="27">
        <f t="shared" si="2"/>
        <v>358.8</v>
      </c>
      <c r="U25" s="28">
        <f t="shared" si="2"/>
        <v>385.2</v>
      </c>
    </row>
    <row r="26" spans="1:21" ht="26.25" thickBot="1">
      <c r="A26" s="25" t="s">
        <v>207</v>
      </c>
      <c r="B26" s="26">
        <f t="shared" si="2"/>
        <v>207</v>
      </c>
      <c r="C26" s="27">
        <f t="shared" si="2"/>
        <v>297.59999999999997</v>
      </c>
      <c r="D26" s="27">
        <f t="shared" si="2"/>
        <v>316.8</v>
      </c>
      <c r="E26" s="27">
        <f t="shared" si="2"/>
        <v>339.59999999999997</v>
      </c>
      <c r="F26" s="28">
        <f t="shared" si="2"/>
        <v>361.2</v>
      </c>
      <c r="G26" s="26">
        <f t="shared" si="2"/>
        <v>213.75</v>
      </c>
      <c r="H26" s="27">
        <f t="shared" si="2"/>
        <v>308.39999999999998</v>
      </c>
      <c r="I26" s="27">
        <f t="shared" si="2"/>
        <v>327.59999999999997</v>
      </c>
      <c r="J26" s="27">
        <f t="shared" si="2"/>
        <v>350.4</v>
      </c>
      <c r="K26" s="28">
        <f t="shared" si="2"/>
        <v>374.4</v>
      </c>
      <c r="L26" s="29">
        <f t="shared" si="2"/>
        <v>226.5</v>
      </c>
      <c r="M26" s="27">
        <f t="shared" si="2"/>
        <v>328.8</v>
      </c>
      <c r="N26" s="27">
        <f t="shared" si="2"/>
        <v>348</v>
      </c>
      <c r="O26" s="27">
        <f t="shared" si="2"/>
        <v>372</v>
      </c>
      <c r="P26" s="30">
        <f t="shared" si="2"/>
        <v>396</v>
      </c>
      <c r="Q26" s="26">
        <f t="shared" si="2"/>
        <v>233.25</v>
      </c>
      <c r="R26" s="27">
        <f t="shared" si="2"/>
        <v>339.59999999999997</v>
      </c>
      <c r="S26" s="27">
        <f t="shared" si="2"/>
        <v>358.8</v>
      </c>
      <c r="T26" s="27">
        <f t="shared" si="2"/>
        <v>382.8</v>
      </c>
      <c r="U26" s="28">
        <f t="shared" si="2"/>
        <v>409.2</v>
      </c>
    </row>
    <row r="28" spans="1:21" ht="15.75" customHeight="1" thickBot="1">
      <c r="A28" s="533" t="s">
        <v>210</v>
      </c>
      <c r="B28" s="534"/>
      <c r="C28" s="534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1:21" ht="13.5" thickBot="1">
      <c r="A29" s="20" t="s">
        <v>0</v>
      </c>
      <c r="B29" s="529" t="s">
        <v>194</v>
      </c>
      <c r="C29" s="530"/>
      <c r="D29" s="530"/>
      <c r="E29" s="530"/>
      <c r="F29" s="531"/>
      <c r="G29" s="532" t="s">
        <v>195</v>
      </c>
      <c r="H29" s="530"/>
      <c r="I29" s="530"/>
      <c r="J29" s="530"/>
      <c r="K29" s="531"/>
      <c r="L29" s="532" t="s">
        <v>196</v>
      </c>
      <c r="M29" s="530"/>
      <c r="N29" s="530"/>
      <c r="O29" s="530"/>
      <c r="P29" s="531"/>
      <c r="Q29" s="532" t="s">
        <v>197</v>
      </c>
      <c r="R29" s="530"/>
      <c r="S29" s="530"/>
      <c r="T29" s="530"/>
      <c r="U29" s="531"/>
    </row>
    <row r="30" spans="1:21" ht="13.5" thickBot="1">
      <c r="A30" s="21"/>
      <c r="B30" s="22" t="s">
        <v>198</v>
      </c>
      <c r="C30" s="22" t="s">
        <v>199</v>
      </c>
      <c r="D30" s="22" t="s">
        <v>200</v>
      </c>
      <c r="E30" s="22" t="s">
        <v>201</v>
      </c>
      <c r="F30" s="23" t="s">
        <v>202</v>
      </c>
      <c r="G30" s="22" t="s">
        <v>198</v>
      </c>
      <c r="H30" s="22" t="s">
        <v>199</v>
      </c>
      <c r="I30" s="22" t="s">
        <v>200</v>
      </c>
      <c r="J30" s="22" t="s">
        <v>201</v>
      </c>
      <c r="K30" s="22" t="s">
        <v>202</v>
      </c>
      <c r="L30" s="24" t="s">
        <v>198</v>
      </c>
      <c r="M30" s="22" t="s">
        <v>199</v>
      </c>
      <c r="N30" s="22" t="s">
        <v>200</v>
      </c>
      <c r="O30" s="22" t="s">
        <v>201</v>
      </c>
      <c r="P30" s="22" t="s">
        <v>202</v>
      </c>
      <c r="Q30" s="22" t="s">
        <v>198</v>
      </c>
      <c r="R30" s="22" t="s">
        <v>199</v>
      </c>
      <c r="S30" s="22" t="s">
        <v>200</v>
      </c>
      <c r="T30" s="22" t="s">
        <v>201</v>
      </c>
      <c r="U30" s="22" t="s">
        <v>202</v>
      </c>
    </row>
    <row r="31" spans="1:21" ht="26.25" thickBot="1">
      <c r="A31" s="25" t="s">
        <v>203</v>
      </c>
      <c r="B31" s="26">
        <v>144</v>
      </c>
      <c r="C31" s="27">
        <v>211.2</v>
      </c>
      <c r="D31" s="27">
        <v>230.39999999999998</v>
      </c>
      <c r="E31" s="27">
        <v>249.6</v>
      </c>
      <c r="F31" s="28">
        <v>268.8</v>
      </c>
      <c r="G31" s="26">
        <v>148.5</v>
      </c>
      <c r="H31" s="27">
        <v>218.4</v>
      </c>
      <c r="I31" s="27">
        <v>237.6</v>
      </c>
      <c r="J31" s="27">
        <v>258</v>
      </c>
      <c r="K31" s="28">
        <v>278.39999999999998</v>
      </c>
      <c r="L31" s="29">
        <v>158.25</v>
      </c>
      <c r="M31" s="27">
        <v>234</v>
      </c>
      <c r="N31" s="27">
        <v>253.2</v>
      </c>
      <c r="O31" s="27">
        <v>274.8</v>
      </c>
      <c r="P31" s="30">
        <v>296.39999999999998</v>
      </c>
      <c r="Q31" s="26">
        <v>162.75</v>
      </c>
      <c r="R31" s="27">
        <v>241.2</v>
      </c>
      <c r="S31" s="27">
        <v>260.39999999999998</v>
      </c>
      <c r="T31" s="27">
        <v>283.2</v>
      </c>
      <c r="U31" s="28">
        <v>306</v>
      </c>
    </row>
    <row r="32" spans="1:21" ht="26.25" thickBot="1">
      <c r="A32" s="25" t="s">
        <v>204</v>
      </c>
      <c r="B32" s="26">
        <v>155.25</v>
      </c>
      <c r="C32" s="27">
        <v>229.2</v>
      </c>
      <c r="D32" s="27">
        <v>248.39999999999998</v>
      </c>
      <c r="E32" s="27">
        <v>270</v>
      </c>
      <c r="F32" s="28">
        <v>290.39999999999998</v>
      </c>
      <c r="G32" s="26">
        <v>162.75</v>
      </c>
      <c r="H32" s="27">
        <v>241.2</v>
      </c>
      <c r="I32" s="27">
        <v>260.39999999999998</v>
      </c>
      <c r="J32" s="27">
        <v>279.59999999999997</v>
      </c>
      <c r="K32" s="28">
        <v>301.2</v>
      </c>
      <c r="L32" s="29">
        <v>172.5</v>
      </c>
      <c r="M32" s="27">
        <v>256.8</v>
      </c>
      <c r="N32" s="27">
        <v>276</v>
      </c>
      <c r="O32" s="27">
        <v>298.8</v>
      </c>
      <c r="P32" s="30">
        <v>320.39999999999998</v>
      </c>
      <c r="Q32" s="26">
        <v>180</v>
      </c>
      <c r="R32" s="27">
        <v>268.8</v>
      </c>
      <c r="S32" s="27">
        <v>288</v>
      </c>
      <c r="T32" s="27">
        <v>308.39999999999998</v>
      </c>
      <c r="U32" s="28">
        <v>331.2</v>
      </c>
    </row>
    <row r="33" spans="1:21" ht="26.25" thickBot="1">
      <c r="A33" s="25" t="s">
        <v>205</v>
      </c>
      <c r="B33" s="26">
        <v>171</v>
      </c>
      <c r="C33" s="27">
        <v>254.39999999999998</v>
      </c>
      <c r="D33" s="27">
        <v>273.60000000000002</v>
      </c>
      <c r="E33" s="27">
        <v>296.39999999999998</v>
      </c>
      <c r="F33" s="28">
        <v>318</v>
      </c>
      <c r="G33" s="26">
        <v>177.75</v>
      </c>
      <c r="H33" s="27">
        <v>265.2</v>
      </c>
      <c r="I33" s="27">
        <v>284.39999999999998</v>
      </c>
      <c r="J33" s="27">
        <v>307.2</v>
      </c>
      <c r="K33" s="28">
        <v>331.2</v>
      </c>
      <c r="L33" s="29">
        <v>190.5</v>
      </c>
      <c r="M33" s="27">
        <v>285.59999999999997</v>
      </c>
      <c r="N33" s="27">
        <v>304.8</v>
      </c>
      <c r="O33" s="27">
        <v>328.8</v>
      </c>
      <c r="P33" s="30">
        <v>352.8</v>
      </c>
      <c r="Q33" s="26">
        <v>197.25</v>
      </c>
      <c r="R33" s="27">
        <v>296.39999999999998</v>
      </c>
      <c r="S33" s="27">
        <v>315.59999999999997</v>
      </c>
      <c r="T33" s="27">
        <v>339.59999999999997</v>
      </c>
      <c r="U33" s="28">
        <v>366</v>
      </c>
    </row>
    <row r="34" spans="1:21" ht="26.25" thickBot="1">
      <c r="A34" s="25" t="s">
        <v>206</v>
      </c>
      <c r="B34" s="26">
        <v>183</v>
      </c>
      <c r="C34" s="27">
        <v>273.59999999999997</v>
      </c>
      <c r="D34" s="27">
        <v>292.8</v>
      </c>
      <c r="E34" s="27">
        <v>315.59999999999997</v>
      </c>
      <c r="F34" s="28">
        <v>337.2</v>
      </c>
      <c r="G34" s="26">
        <v>189.75</v>
      </c>
      <c r="H34" s="27">
        <v>284.39999999999998</v>
      </c>
      <c r="I34" s="27">
        <v>303.59999999999997</v>
      </c>
      <c r="J34" s="27">
        <v>326.39999999999998</v>
      </c>
      <c r="K34" s="28">
        <v>350.4</v>
      </c>
      <c r="L34" s="29">
        <v>202.5</v>
      </c>
      <c r="M34" s="27">
        <v>304.8</v>
      </c>
      <c r="N34" s="27">
        <v>324</v>
      </c>
      <c r="O34" s="27">
        <v>348</v>
      </c>
      <c r="P34" s="30">
        <v>372</v>
      </c>
      <c r="Q34" s="26">
        <v>209.25</v>
      </c>
      <c r="R34" s="27">
        <v>315.59999999999997</v>
      </c>
      <c r="S34" s="27">
        <v>334.8</v>
      </c>
      <c r="T34" s="27">
        <v>358.8</v>
      </c>
      <c r="U34" s="28">
        <v>385.2</v>
      </c>
    </row>
    <row r="35" spans="1:21" ht="26.25" thickBot="1">
      <c r="A35" s="25" t="s">
        <v>207</v>
      </c>
      <c r="B35" s="26">
        <f t="shared" ref="B35:U35" si="3">B34+20</f>
        <v>203</v>
      </c>
      <c r="C35" s="27">
        <f t="shared" si="3"/>
        <v>293.59999999999997</v>
      </c>
      <c r="D35" s="27">
        <f t="shared" si="3"/>
        <v>312.8</v>
      </c>
      <c r="E35" s="27">
        <f t="shared" si="3"/>
        <v>335.59999999999997</v>
      </c>
      <c r="F35" s="28">
        <f t="shared" si="3"/>
        <v>357.2</v>
      </c>
      <c r="G35" s="26">
        <f t="shared" si="3"/>
        <v>209.75</v>
      </c>
      <c r="H35" s="27">
        <f t="shared" si="3"/>
        <v>304.39999999999998</v>
      </c>
      <c r="I35" s="27">
        <f t="shared" si="3"/>
        <v>323.59999999999997</v>
      </c>
      <c r="J35" s="27">
        <f t="shared" si="3"/>
        <v>346.4</v>
      </c>
      <c r="K35" s="28">
        <f t="shared" si="3"/>
        <v>370.4</v>
      </c>
      <c r="L35" s="29">
        <f t="shared" si="3"/>
        <v>222.5</v>
      </c>
      <c r="M35" s="27">
        <f t="shared" si="3"/>
        <v>324.8</v>
      </c>
      <c r="N35" s="27">
        <f t="shared" si="3"/>
        <v>344</v>
      </c>
      <c r="O35" s="27">
        <f t="shared" si="3"/>
        <v>368</v>
      </c>
      <c r="P35" s="30">
        <f t="shared" si="3"/>
        <v>392</v>
      </c>
      <c r="Q35" s="26">
        <f t="shared" si="3"/>
        <v>229.25</v>
      </c>
      <c r="R35" s="27">
        <f t="shared" si="3"/>
        <v>335.59999999999997</v>
      </c>
      <c r="S35" s="27">
        <f t="shared" si="3"/>
        <v>354.8</v>
      </c>
      <c r="T35" s="27">
        <f t="shared" si="3"/>
        <v>378.8</v>
      </c>
      <c r="U35" s="28">
        <f t="shared" si="3"/>
        <v>405.2</v>
      </c>
    </row>
    <row r="36" spans="1:2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ht="15.75" customHeight="1" thickBot="1">
      <c r="A37" s="533" t="s">
        <v>211</v>
      </c>
      <c r="B37" s="534"/>
      <c r="C37" s="534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1:21" ht="13.5" thickBot="1">
      <c r="A38" s="20" t="s">
        <v>0</v>
      </c>
      <c r="B38" s="529" t="s">
        <v>194</v>
      </c>
      <c r="C38" s="530"/>
      <c r="D38" s="530"/>
      <c r="E38" s="530"/>
      <c r="F38" s="531"/>
      <c r="G38" s="532" t="s">
        <v>195</v>
      </c>
      <c r="H38" s="530"/>
      <c r="I38" s="530"/>
      <c r="J38" s="530"/>
      <c r="K38" s="531"/>
      <c r="L38" s="532" t="s">
        <v>196</v>
      </c>
      <c r="M38" s="530"/>
      <c r="N38" s="530"/>
      <c r="O38" s="530"/>
      <c r="P38" s="531"/>
      <c r="Q38" s="532" t="s">
        <v>197</v>
      </c>
      <c r="R38" s="530"/>
      <c r="S38" s="530"/>
      <c r="T38" s="530"/>
      <c r="U38" s="531"/>
    </row>
    <row r="39" spans="1:21" ht="13.5" thickBot="1">
      <c r="A39" s="21"/>
      <c r="B39" s="22" t="s">
        <v>198</v>
      </c>
      <c r="C39" s="22" t="s">
        <v>199</v>
      </c>
      <c r="D39" s="22" t="s">
        <v>200</v>
      </c>
      <c r="E39" s="22" t="s">
        <v>201</v>
      </c>
      <c r="F39" s="23" t="s">
        <v>202</v>
      </c>
      <c r="G39" s="22" t="s">
        <v>198</v>
      </c>
      <c r="H39" s="22" t="s">
        <v>199</v>
      </c>
      <c r="I39" s="22" t="s">
        <v>200</v>
      </c>
      <c r="J39" s="22" t="s">
        <v>201</v>
      </c>
      <c r="K39" s="22" t="s">
        <v>202</v>
      </c>
      <c r="L39" s="24" t="s">
        <v>198</v>
      </c>
      <c r="M39" s="22" t="s">
        <v>199</v>
      </c>
      <c r="N39" s="22" t="s">
        <v>200</v>
      </c>
      <c r="O39" s="22" t="s">
        <v>201</v>
      </c>
      <c r="P39" s="22" t="s">
        <v>202</v>
      </c>
      <c r="Q39" s="22" t="s">
        <v>198</v>
      </c>
      <c r="R39" s="22" t="s">
        <v>199</v>
      </c>
      <c r="S39" s="22" t="s">
        <v>200</v>
      </c>
      <c r="T39" s="22" t="s">
        <v>201</v>
      </c>
      <c r="U39" s="22" t="s">
        <v>202</v>
      </c>
    </row>
    <row r="40" spans="1:21" ht="26.25" thickBot="1">
      <c r="A40" s="25" t="s">
        <v>203</v>
      </c>
      <c r="B40" s="26">
        <f>B31*1.15</f>
        <v>165.6</v>
      </c>
      <c r="C40" s="27">
        <f t="shared" ref="C40:U44" si="4">C31*1.15</f>
        <v>242.87999999999997</v>
      </c>
      <c r="D40" s="27">
        <f t="shared" si="4"/>
        <v>264.95999999999998</v>
      </c>
      <c r="E40" s="27">
        <f t="shared" si="4"/>
        <v>287.03999999999996</v>
      </c>
      <c r="F40" s="28">
        <f t="shared" si="4"/>
        <v>309.12</v>
      </c>
      <c r="G40" s="26">
        <f t="shared" si="4"/>
        <v>170.77499999999998</v>
      </c>
      <c r="H40" s="27">
        <f t="shared" si="4"/>
        <v>251.16</v>
      </c>
      <c r="I40" s="27">
        <f t="shared" si="4"/>
        <v>273.23999999999995</v>
      </c>
      <c r="J40" s="27">
        <f t="shared" si="4"/>
        <v>296.7</v>
      </c>
      <c r="K40" s="28">
        <f t="shared" si="4"/>
        <v>320.15999999999997</v>
      </c>
      <c r="L40" s="29">
        <f t="shared" si="4"/>
        <v>181.98749999999998</v>
      </c>
      <c r="M40" s="27">
        <f t="shared" si="4"/>
        <v>269.09999999999997</v>
      </c>
      <c r="N40" s="27">
        <f t="shared" si="4"/>
        <v>291.17999999999995</v>
      </c>
      <c r="O40" s="27">
        <f t="shared" si="4"/>
        <v>316.02</v>
      </c>
      <c r="P40" s="30">
        <f t="shared" si="4"/>
        <v>340.85999999999996</v>
      </c>
      <c r="Q40" s="26">
        <f t="shared" si="4"/>
        <v>187.16249999999999</v>
      </c>
      <c r="R40" s="27">
        <f t="shared" si="4"/>
        <v>277.37999999999994</v>
      </c>
      <c r="S40" s="27">
        <f t="shared" si="4"/>
        <v>299.45999999999992</v>
      </c>
      <c r="T40" s="27">
        <f t="shared" si="4"/>
        <v>325.67999999999995</v>
      </c>
      <c r="U40" s="28">
        <f t="shared" si="4"/>
        <v>351.9</v>
      </c>
    </row>
    <row r="41" spans="1:21" ht="26.25" thickBot="1">
      <c r="A41" s="25" t="s">
        <v>204</v>
      </c>
      <c r="B41" s="26">
        <f>B32*1.15</f>
        <v>178.53749999999999</v>
      </c>
      <c r="C41" s="27">
        <f t="shared" si="4"/>
        <v>263.58</v>
      </c>
      <c r="D41" s="27">
        <f t="shared" si="4"/>
        <v>285.65999999999997</v>
      </c>
      <c r="E41" s="27">
        <f t="shared" si="4"/>
        <v>310.5</v>
      </c>
      <c r="F41" s="28">
        <f t="shared" si="4"/>
        <v>333.95999999999992</v>
      </c>
      <c r="G41" s="26">
        <f t="shared" si="4"/>
        <v>187.16249999999999</v>
      </c>
      <c r="H41" s="27">
        <f t="shared" si="4"/>
        <v>277.37999999999994</v>
      </c>
      <c r="I41" s="27">
        <f t="shared" si="4"/>
        <v>299.45999999999992</v>
      </c>
      <c r="J41" s="27">
        <f t="shared" si="4"/>
        <v>321.53999999999996</v>
      </c>
      <c r="K41" s="28">
        <f t="shared" si="4"/>
        <v>346.37999999999994</v>
      </c>
      <c r="L41" s="29">
        <f t="shared" si="4"/>
        <v>198.37499999999997</v>
      </c>
      <c r="M41" s="27">
        <f t="shared" si="4"/>
        <v>295.32</v>
      </c>
      <c r="N41" s="27">
        <f t="shared" si="4"/>
        <v>317.39999999999998</v>
      </c>
      <c r="O41" s="27">
        <f t="shared" si="4"/>
        <v>343.62</v>
      </c>
      <c r="P41" s="30">
        <f t="shared" si="4"/>
        <v>368.45999999999992</v>
      </c>
      <c r="Q41" s="26">
        <f t="shared" si="4"/>
        <v>206.99999999999997</v>
      </c>
      <c r="R41" s="27">
        <f t="shared" si="4"/>
        <v>309.12</v>
      </c>
      <c r="S41" s="27">
        <f t="shared" si="4"/>
        <v>331.2</v>
      </c>
      <c r="T41" s="27">
        <f t="shared" si="4"/>
        <v>354.65999999999997</v>
      </c>
      <c r="U41" s="28">
        <f t="shared" si="4"/>
        <v>380.87999999999994</v>
      </c>
    </row>
    <row r="42" spans="1:21" ht="26.25" thickBot="1">
      <c r="A42" s="25" t="s">
        <v>205</v>
      </c>
      <c r="B42" s="26">
        <f>B33*1.15</f>
        <v>196.64999999999998</v>
      </c>
      <c r="C42" s="27">
        <f t="shared" si="4"/>
        <v>292.55999999999995</v>
      </c>
      <c r="D42" s="27">
        <f t="shared" si="4"/>
        <v>314.64</v>
      </c>
      <c r="E42" s="27">
        <f t="shared" si="4"/>
        <v>340.85999999999996</v>
      </c>
      <c r="F42" s="28">
        <f t="shared" si="4"/>
        <v>365.7</v>
      </c>
      <c r="G42" s="26">
        <f t="shared" si="4"/>
        <v>204.41249999999999</v>
      </c>
      <c r="H42" s="27">
        <f t="shared" si="4"/>
        <v>304.97999999999996</v>
      </c>
      <c r="I42" s="27">
        <f t="shared" si="4"/>
        <v>327.05999999999995</v>
      </c>
      <c r="J42" s="27">
        <f t="shared" si="4"/>
        <v>353.28</v>
      </c>
      <c r="K42" s="28">
        <f t="shared" si="4"/>
        <v>380.87999999999994</v>
      </c>
      <c r="L42" s="29">
        <f t="shared" si="4"/>
        <v>219.07499999999999</v>
      </c>
      <c r="M42" s="27">
        <f t="shared" si="4"/>
        <v>328.43999999999994</v>
      </c>
      <c r="N42" s="27">
        <f t="shared" si="4"/>
        <v>350.52</v>
      </c>
      <c r="O42" s="27">
        <f t="shared" si="4"/>
        <v>378.12</v>
      </c>
      <c r="P42" s="30">
        <f t="shared" si="4"/>
        <v>405.71999999999997</v>
      </c>
      <c r="Q42" s="26">
        <f t="shared" si="4"/>
        <v>226.83749999999998</v>
      </c>
      <c r="R42" s="27">
        <f t="shared" si="4"/>
        <v>340.85999999999996</v>
      </c>
      <c r="S42" s="27">
        <f t="shared" si="4"/>
        <v>362.93999999999994</v>
      </c>
      <c r="T42" s="27">
        <f t="shared" si="4"/>
        <v>390.53999999999991</v>
      </c>
      <c r="U42" s="28">
        <f t="shared" si="4"/>
        <v>420.9</v>
      </c>
    </row>
    <row r="43" spans="1:21" ht="26.25" thickBot="1">
      <c r="A43" s="25" t="s">
        <v>206</v>
      </c>
      <c r="B43" s="26">
        <f>B34*1.15</f>
        <v>210.45</v>
      </c>
      <c r="C43" s="27">
        <f t="shared" si="4"/>
        <v>314.63999999999993</v>
      </c>
      <c r="D43" s="27">
        <f t="shared" si="4"/>
        <v>336.71999999999997</v>
      </c>
      <c r="E43" s="27">
        <f t="shared" si="4"/>
        <v>362.93999999999994</v>
      </c>
      <c r="F43" s="28">
        <f t="shared" si="4"/>
        <v>387.78</v>
      </c>
      <c r="G43" s="26">
        <f t="shared" si="4"/>
        <v>218.21249999999998</v>
      </c>
      <c r="H43" s="27">
        <f t="shared" si="4"/>
        <v>327.05999999999995</v>
      </c>
      <c r="I43" s="27">
        <f t="shared" si="4"/>
        <v>349.13999999999993</v>
      </c>
      <c r="J43" s="27">
        <f t="shared" si="4"/>
        <v>375.35999999999996</v>
      </c>
      <c r="K43" s="28">
        <f t="shared" si="4"/>
        <v>402.95999999999992</v>
      </c>
      <c r="L43" s="29">
        <f t="shared" si="4"/>
        <v>232.87499999999997</v>
      </c>
      <c r="M43" s="27">
        <f t="shared" si="4"/>
        <v>350.52</v>
      </c>
      <c r="N43" s="27">
        <f t="shared" si="4"/>
        <v>372.59999999999997</v>
      </c>
      <c r="O43" s="27">
        <f t="shared" si="4"/>
        <v>400.2</v>
      </c>
      <c r="P43" s="30">
        <f t="shared" si="4"/>
        <v>427.79999999999995</v>
      </c>
      <c r="Q43" s="26">
        <f t="shared" si="4"/>
        <v>240.63749999999999</v>
      </c>
      <c r="R43" s="27">
        <f t="shared" si="4"/>
        <v>362.93999999999994</v>
      </c>
      <c r="S43" s="27">
        <f t="shared" si="4"/>
        <v>385.02</v>
      </c>
      <c r="T43" s="27">
        <f t="shared" si="4"/>
        <v>412.62</v>
      </c>
      <c r="U43" s="28">
        <f t="shared" si="4"/>
        <v>442.97999999999996</v>
      </c>
    </row>
    <row r="44" spans="1:21" ht="26.25" thickBot="1">
      <c r="A44" s="25" t="s">
        <v>207</v>
      </c>
      <c r="B44" s="26">
        <f>B35*1.15</f>
        <v>233.45</v>
      </c>
      <c r="C44" s="27">
        <f t="shared" si="4"/>
        <v>337.63999999999993</v>
      </c>
      <c r="D44" s="27">
        <f t="shared" si="4"/>
        <v>359.71999999999997</v>
      </c>
      <c r="E44" s="27">
        <f t="shared" si="4"/>
        <v>385.93999999999994</v>
      </c>
      <c r="F44" s="28">
        <f t="shared" si="4"/>
        <v>410.78</v>
      </c>
      <c r="G44" s="26">
        <f t="shared" si="4"/>
        <v>241.21249999999998</v>
      </c>
      <c r="H44" s="27">
        <f t="shared" si="4"/>
        <v>350.05999999999995</v>
      </c>
      <c r="I44" s="27">
        <f t="shared" si="4"/>
        <v>372.13999999999993</v>
      </c>
      <c r="J44" s="27">
        <f t="shared" si="4"/>
        <v>398.35999999999996</v>
      </c>
      <c r="K44" s="28">
        <f t="shared" si="4"/>
        <v>425.95999999999992</v>
      </c>
      <c r="L44" s="29">
        <f t="shared" si="4"/>
        <v>255.87499999999997</v>
      </c>
      <c r="M44" s="27">
        <f t="shared" si="4"/>
        <v>373.52</v>
      </c>
      <c r="N44" s="27">
        <f t="shared" si="4"/>
        <v>395.59999999999997</v>
      </c>
      <c r="O44" s="27">
        <f t="shared" si="4"/>
        <v>423.2</v>
      </c>
      <c r="P44" s="30">
        <f t="shared" si="4"/>
        <v>450.79999999999995</v>
      </c>
      <c r="Q44" s="26">
        <f t="shared" si="4"/>
        <v>263.63749999999999</v>
      </c>
      <c r="R44" s="27">
        <f t="shared" si="4"/>
        <v>385.93999999999994</v>
      </c>
      <c r="S44" s="27">
        <f t="shared" si="4"/>
        <v>408.02</v>
      </c>
      <c r="T44" s="27">
        <f t="shared" si="4"/>
        <v>435.62</v>
      </c>
      <c r="U44" s="28">
        <f t="shared" si="4"/>
        <v>465.97999999999996</v>
      </c>
    </row>
    <row r="46" spans="1:21" ht="15.75" customHeight="1" thickBot="1">
      <c r="A46" s="533" t="s">
        <v>212</v>
      </c>
      <c r="B46" s="534"/>
      <c r="C46" s="534"/>
      <c r="D46" s="534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</row>
    <row r="47" spans="1:21" ht="13.5" thickBot="1">
      <c r="A47" s="20" t="s">
        <v>0</v>
      </c>
      <c r="B47" s="529" t="s">
        <v>194</v>
      </c>
      <c r="C47" s="530"/>
      <c r="D47" s="530"/>
      <c r="E47" s="530"/>
      <c r="F47" s="531"/>
      <c r="G47" s="532" t="s">
        <v>195</v>
      </c>
      <c r="H47" s="530"/>
      <c r="I47" s="530"/>
      <c r="J47" s="530"/>
      <c r="K47" s="531"/>
      <c r="L47" s="532" t="s">
        <v>196</v>
      </c>
      <c r="M47" s="530"/>
      <c r="N47" s="530"/>
      <c r="O47" s="530"/>
      <c r="P47" s="531"/>
      <c r="Q47" s="532" t="s">
        <v>197</v>
      </c>
      <c r="R47" s="530"/>
      <c r="S47" s="530"/>
      <c r="T47" s="530"/>
      <c r="U47" s="531"/>
    </row>
    <row r="48" spans="1:21" ht="13.5" thickBot="1">
      <c r="A48" s="21"/>
      <c r="B48" s="22" t="s">
        <v>198</v>
      </c>
      <c r="C48" s="22" t="s">
        <v>199</v>
      </c>
      <c r="D48" s="22" t="s">
        <v>200</v>
      </c>
      <c r="E48" s="22" t="s">
        <v>201</v>
      </c>
      <c r="F48" s="23" t="s">
        <v>202</v>
      </c>
      <c r="G48" s="22" t="s">
        <v>198</v>
      </c>
      <c r="H48" s="22" t="s">
        <v>199</v>
      </c>
      <c r="I48" s="22" t="s">
        <v>200</v>
      </c>
      <c r="J48" s="22" t="s">
        <v>201</v>
      </c>
      <c r="K48" s="22" t="s">
        <v>202</v>
      </c>
      <c r="L48" s="24" t="s">
        <v>198</v>
      </c>
      <c r="M48" s="22" t="s">
        <v>199</v>
      </c>
      <c r="N48" s="22" t="s">
        <v>200</v>
      </c>
      <c r="O48" s="22" t="s">
        <v>201</v>
      </c>
      <c r="P48" s="22" t="s">
        <v>202</v>
      </c>
      <c r="Q48" s="22" t="s">
        <v>198</v>
      </c>
      <c r="R48" s="22" t="s">
        <v>199</v>
      </c>
      <c r="S48" s="22" t="s">
        <v>200</v>
      </c>
      <c r="T48" s="22" t="s">
        <v>201</v>
      </c>
      <c r="U48" s="22" t="s">
        <v>202</v>
      </c>
    </row>
    <row r="49" spans="1:21" ht="26.25" thickBot="1">
      <c r="A49" s="25" t="s">
        <v>203</v>
      </c>
      <c r="B49" s="26">
        <f t="shared" ref="B49:U53" si="5">B31*1.2</f>
        <v>172.79999999999998</v>
      </c>
      <c r="C49" s="27">
        <f t="shared" si="5"/>
        <v>253.43999999999997</v>
      </c>
      <c r="D49" s="27">
        <f t="shared" si="5"/>
        <v>276.47999999999996</v>
      </c>
      <c r="E49" s="27">
        <f t="shared" si="5"/>
        <v>299.52</v>
      </c>
      <c r="F49" s="28">
        <f t="shared" si="5"/>
        <v>322.56</v>
      </c>
      <c r="G49" s="26">
        <f t="shared" si="5"/>
        <v>178.2</v>
      </c>
      <c r="H49" s="27">
        <f t="shared" si="5"/>
        <v>262.08</v>
      </c>
      <c r="I49" s="27">
        <f t="shared" si="5"/>
        <v>285.12</v>
      </c>
      <c r="J49" s="27">
        <f t="shared" si="5"/>
        <v>309.59999999999997</v>
      </c>
      <c r="K49" s="28">
        <f t="shared" si="5"/>
        <v>334.08</v>
      </c>
      <c r="L49" s="29">
        <f t="shared" si="5"/>
        <v>189.9</v>
      </c>
      <c r="M49" s="27">
        <f t="shared" si="5"/>
        <v>280.8</v>
      </c>
      <c r="N49" s="27">
        <f t="shared" si="5"/>
        <v>303.83999999999997</v>
      </c>
      <c r="O49" s="27">
        <f t="shared" si="5"/>
        <v>329.76</v>
      </c>
      <c r="P49" s="30">
        <f t="shared" si="5"/>
        <v>355.67999999999995</v>
      </c>
      <c r="Q49" s="26">
        <f t="shared" si="5"/>
        <v>195.29999999999998</v>
      </c>
      <c r="R49" s="27">
        <f t="shared" si="5"/>
        <v>289.44</v>
      </c>
      <c r="S49" s="27">
        <f t="shared" si="5"/>
        <v>312.47999999999996</v>
      </c>
      <c r="T49" s="27">
        <f t="shared" si="5"/>
        <v>339.84</v>
      </c>
      <c r="U49" s="28">
        <f t="shared" si="5"/>
        <v>367.2</v>
      </c>
    </row>
    <row r="50" spans="1:21" ht="26.25" thickBot="1">
      <c r="A50" s="25" t="s">
        <v>204</v>
      </c>
      <c r="B50" s="26">
        <f t="shared" si="5"/>
        <v>186.29999999999998</v>
      </c>
      <c r="C50" s="27">
        <f t="shared" si="5"/>
        <v>275.03999999999996</v>
      </c>
      <c r="D50" s="27">
        <f t="shared" si="5"/>
        <v>298.08</v>
      </c>
      <c r="E50" s="27">
        <f t="shared" si="5"/>
        <v>324</v>
      </c>
      <c r="F50" s="28">
        <f t="shared" si="5"/>
        <v>348.47999999999996</v>
      </c>
      <c r="G50" s="26">
        <f t="shared" si="5"/>
        <v>195.29999999999998</v>
      </c>
      <c r="H50" s="27">
        <f t="shared" si="5"/>
        <v>289.44</v>
      </c>
      <c r="I50" s="27">
        <f t="shared" si="5"/>
        <v>312.47999999999996</v>
      </c>
      <c r="J50" s="27">
        <f t="shared" si="5"/>
        <v>335.51999999999992</v>
      </c>
      <c r="K50" s="28">
        <f t="shared" si="5"/>
        <v>361.44</v>
      </c>
      <c r="L50" s="29">
        <f t="shared" si="5"/>
        <v>207</v>
      </c>
      <c r="M50" s="27">
        <f t="shared" si="5"/>
        <v>308.16000000000003</v>
      </c>
      <c r="N50" s="27">
        <f t="shared" si="5"/>
        <v>331.2</v>
      </c>
      <c r="O50" s="27">
        <f t="shared" si="5"/>
        <v>358.56</v>
      </c>
      <c r="P50" s="30">
        <f t="shared" si="5"/>
        <v>384.47999999999996</v>
      </c>
      <c r="Q50" s="26">
        <f t="shared" si="5"/>
        <v>216</v>
      </c>
      <c r="R50" s="27">
        <f t="shared" si="5"/>
        <v>322.56</v>
      </c>
      <c r="S50" s="27">
        <f t="shared" si="5"/>
        <v>345.59999999999997</v>
      </c>
      <c r="T50" s="27">
        <f t="shared" si="5"/>
        <v>370.08</v>
      </c>
      <c r="U50" s="28">
        <f t="shared" si="5"/>
        <v>397.44</v>
      </c>
    </row>
    <row r="51" spans="1:21" ht="26.25" thickBot="1">
      <c r="A51" s="25" t="s">
        <v>205</v>
      </c>
      <c r="B51" s="26">
        <f t="shared" si="5"/>
        <v>205.2</v>
      </c>
      <c r="C51" s="27">
        <f t="shared" si="5"/>
        <v>305.27999999999997</v>
      </c>
      <c r="D51" s="27">
        <f t="shared" si="5"/>
        <v>328.32</v>
      </c>
      <c r="E51" s="27">
        <f t="shared" si="5"/>
        <v>355.67999999999995</v>
      </c>
      <c r="F51" s="28">
        <f t="shared" si="5"/>
        <v>381.59999999999997</v>
      </c>
      <c r="G51" s="26">
        <f t="shared" si="5"/>
        <v>213.29999999999998</v>
      </c>
      <c r="H51" s="27">
        <f t="shared" si="5"/>
        <v>318.23999999999995</v>
      </c>
      <c r="I51" s="27">
        <f t="shared" si="5"/>
        <v>341.28</v>
      </c>
      <c r="J51" s="27">
        <f t="shared" si="5"/>
        <v>368.64</v>
      </c>
      <c r="K51" s="28">
        <f t="shared" si="5"/>
        <v>397.44</v>
      </c>
      <c r="L51" s="29">
        <f t="shared" si="5"/>
        <v>228.6</v>
      </c>
      <c r="M51" s="27">
        <f t="shared" si="5"/>
        <v>342.71999999999997</v>
      </c>
      <c r="N51" s="27">
        <f t="shared" si="5"/>
        <v>365.76</v>
      </c>
      <c r="O51" s="27">
        <f t="shared" si="5"/>
        <v>394.56</v>
      </c>
      <c r="P51" s="30">
        <f t="shared" si="5"/>
        <v>423.36</v>
      </c>
      <c r="Q51" s="26">
        <f t="shared" si="5"/>
        <v>236.7</v>
      </c>
      <c r="R51" s="27">
        <f t="shared" si="5"/>
        <v>355.67999999999995</v>
      </c>
      <c r="S51" s="27">
        <f t="shared" si="5"/>
        <v>378.71999999999997</v>
      </c>
      <c r="T51" s="27">
        <f t="shared" si="5"/>
        <v>407.51999999999992</v>
      </c>
      <c r="U51" s="28">
        <f t="shared" si="5"/>
        <v>439.2</v>
      </c>
    </row>
    <row r="52" spans="1:21" ht="26.25" thickBot="1">
      <c r="A52" s="25" t="s">
        <v>206</v>
      </c>
      <c r="B52" s="26">
        <f t="shared" si="5"/>
        <v>219.6</v>
      </c>
      <c r="C52" s="27">
        <f t="shared" si="5"/>
        <v>328.31999999999994</v>
      </c>
      <c r="D52" s="27">
        <f t="shared" si="5"/>
        <v>351.36</v>
      </c>
      <c r="E52" s="27">
        <f t="shared" si="5"/>
        <v>378.71999999999997</v>
      </c>
      <c r="F52" s="28">
        <f t="shared" si="5"/>
        <v>404.64</v>
      </c>
      <c r="G52" s="26">
        <f t="shared" si="5"/>
        <v>227.7</v>
      </c>
      <c r="H52" s="27">
        <f t="shared" si="5"/>
        <v>341.28</v>
      </c>
      <c r="I52" s="27">
        <f t="shared" si="5"/>
        <v>364.31999999999994</v>
      </c>
      <c r="J52" s="27">
        <f t="shared" si="5"/>
        <v>391.67999999999995</v>
      </c>
      <c r="K52" s="28">
        <f t="shared" si="5"/>
        <v>420.47999999999996</v>
      </c>
      <c r="L52" s="29">
        <f t="shared" si="5"/>
        <v>243</v>
      </c>
      <c r="M52" s="27">
        <f t="shared" si="5"/>
        <v>365.76</v>
      </c>
      <c r="N52" s="27">
        <f t="shared" si="5"/>
        <v>388.8</v>
      </c>
      <c r="O52" s="27">
        <f t="shared" si="5"/>
        <v>417.59999999999997</v>
      </c>
      <c r="P52" s="30">
        <f t="shared" si="5"/>
        <v>446.4</v>
      </c>
      <c r="Q52" s="26">
        <f t="shared" si="5"/>
        <v>251.1</v>
      </c>
      <c r="R52" s="27">
        <f t="shared" si="5"/>
        <v>378.71999999999997</v>
      </c>
      <c r="S52" s="27">
        <f t="shared" si="5"/>
        <v>401.76</v>
      </c>
      <c r="T52" s="27">
        <f t="shared" si="5"/>
        <v>430.56</v>
      </c>
      <c r="U52" s="28">
        <f t="shared" si="5"/>
        <v>462.23999999999995</v>
      </c>
    </row>
    <row r="53" spans="1:21" ht="26.25" thickBot="1">
      <c r="A53" s="25" t="s">
        <v>207</v>
      </c>
      <c r="B53" s="26">
        <f t="shared" si="5"/>
        <v>243.6</v>
      </c>
      <c r="C53" s="27">
        <f t="shared" si="5"/>
        <v>352.31999999999994</v>
      </c>
      <c r="D53" s="27">
        <f t="shared" si="5"/>
        <v>375.36</v>
      </c>
      <c r="E53" s="27">
        <f t="shared" si="5"/>
        <v>402.71999999999997</v>
      </c>
      <c r="F53" s="28">
        <f t="shared" si="5"/>
        <v>428.64</v>
      </c>
      <c r="G53" s="26">
        <f t="shared" si="5"/>
        <v>251.7</v>
      </c>
      <c r="H53" s="27">
        <f t="shared" si="5"/>
        <v>365.28</v>
      </c>
      <c r="I53" s="27">
        <f t="shared" si="5"/>
        <v>388.31999999999994</v>
      </c>
      <c r="J53" s="27">
        <f t="shared" si="5"/>
        <v>415.67999999999995</v>
      </c>
      <c r="K53" s="28">
        <f t="shared" si="5"/>
        <v>444.47999999999996</v>
      </c>
      <c r="L53" s="29">
        <f t="shared" si="5"/>
        <v>267</v>
      </c>
      <c r="M53" s="27">
        <f t="shared" si="5"/>
        <v>389.76</v>
      </c>
      <c r="N53" s="27">
        <f t="shared" si="5"/>
        <v>412.8</v>
      </c>
      <c r="O53" s="27">
        <f t="shared" si="5"/>
        <v>441.59999999999997</v>
      </c>
      <c r="P53" s="30">
        <f t="shared" si="5"/>
        <v>470.4</v>
      </c>
      <c r="Q53" s="26">
        <f t="shared" si="5"/>
        <v>275.09999999999997</v>
      </c>
      <c r="R53" s="27">
        <f t="shared" si="5"/>
        <v>402.71999999999997</v>
      </c>
      <c r="S53" s="27">
        <f t="shared" si="5"/>
        <v>425.76</v>
      </c>
      <c r="T53" s="27">
        <f t="shared" si="5"/>
        <v>454.56</v>
      </c>
      <c r="U53" s="28">
        <f t="shared" si="5"/>
        <v>486.23999999999995</v>
      </c>
    </row>
    <row r="55" spans="1:21" ht="15.75" customHeight="1" thickBot="1">
      <c r="A55" s="533" t="s">
        <v>213</v>
      </c>
      <c r="B55" s="534"/>
      <c r="C55" s="534"/>
      <c r="D55" s="534"/>
      <c r="E55" s="534"/>
      <c r="F55" s="534"/>
      <c r="G55" s="534"/>
      <c r="H55" s="534"/>
      <c r="I55" s="534"/>
      <c r="J55" s="534"/>
      <c r="K55" s="534"/>
      <c r="L55" s="534"/>
      <c r="M55" s="534"/>
      <c r="N55" s="534"/>
      <c r="O55" s="534"/>
      <c r="P55" s="534"/>
      <c r="Q55" s="534"/>
      <c r="R55" s="534"/>
      <c r="S55" s="534"/>
      <c r="T55" s="534"/>
      <c r="U55" s="534"/>
    </row>
    <row r="56" spans="1:21" ht="13.5" thickBot="1">
      <c r="A56" s="20" t="s">
        <v>0</v>
      </c>
      <c r="B56" s="529" t="s">
        <v>194</v>
      </c>
      <c r="C56" s="530"/>
      <c r="D56" s="530"/>
      <c r="E56" s="530"/>
      <c r="F56" s="531"/>
      <c r="G56" s="532" t="s">
        <v>195</v>
      </c>
      <c r="H56" s="530"/>
      <c r="I56" s="530"/>
      <c r="J56" s="530"/>
      <c r="K56" s="531"/>
      <c r="L56" s="532" t="s">
        <v>196</v>
      </c>
      <c r="M56" s="530"/>
      <c r="N56" s="530"/>
      <c r="O56" s="530"/>
      <c r="P56" s="531"/>
      <c r="Q56" s="532" t="s">
        <v>197</v>
      </c>
      <c r="R56" s="530"/>
      <c r="S56" s="530"/>
      <c r="T56" s="530"/>
      <c r="U56" s="531"/>
    </row>
    <row r="57" spans="1:21" ht="13.5" thickBot="1">
      <c r="A57" s="21"/>
      <c r="B57" s="22" t="s">
        <v>198</v>
      </c>
      <c r="C57" s="22" t="s">
        <v>199</v>
      </c>
      <c r="D57" s="22" t="s">
        <v>200</v>
      </c>
      <c r="E57" s="22" t="s">
        <v>201</v>
      </c>
      <c r="F57" s="23" t="s">
        <v>202</v>
      </c>
      <c r="G57" s="22" t="s">
        <v>198</v>
      </c>
      <c r="H57" s="22" t="s">
        <v>199</v>
      </c>
      <c r="I57" s="22" t="s">
        <v>200</v>
      </c>
      <c r="J57" s="22" t="s">
        <v>201</v>
      </c>
      <c r="K57" s="22" t="s">
        <v>202</v>
      </c>
      <c r="L57" s="24" t="s">
        <v>198</v>
      </c>
      <c r="M57" s="22" t="s">
        <v>199</v>
      </c>
      <c r="N57" s="22" t="s">
        <v>200</v>
      </c>
      <c r="O57" s="22" t="s">
        <v>201</v>
      </c>
      <c r="P57" s="22" t="s">
        <v>202</v>
      </c>
      <c r="Q57" s="22" t="s">
        <v>198</v>
      </c>
      <c r="R57" s="22" t="s">
        <v>199</v>
      </c>
      <c r="S57" s="22" t="s">
        <v>200</v>
      </c>
      <c r="T57" s="22" t="s">
        <v>201</v>
      </c>
      <c r="U57" s="22" t="s">
        <v>202</v>
      </c>
    </row>
    <row r="58" spans="1:21" ht="26.25" thickBot="1">
      <c r="A58" s="25" t="s">
        <v>203</v>
      </c>
      <c r="B58" s="26">
        <f t="shared" ref="B58:U62" si="6">B40*1.2</f>
        <v>198.72</v>
      </c>
      <c r="C58" s="27">
        <f t="shared" si="6"/>
        <v>291.45599999999996</v>
      </c>
      <c r="D58" s="27">
        <f t="shared" si="6"/>
        <v>317.95199999999994</v>
      </c>
      <c r="E58" s="27">
        <f t="shared" si="6"/>
        <v>344.44799999999992</v>
      </c>
      <c r="F58" s="28">
        <f t="shared" si="6"/>
        <v>370.94400000000002</v>
      </c>
      <c r="G58" s="26">
        <f t="shared" si="6"/>
        <v>204.92999999999998</v>
      </c>
      <c r="H58" s="27">
        <f t="shared" si="6"/>
        <v>301.392</v>
      </c>
      <c r="I58" s="27">
        <f t="shared" si="6"/>
        <v>327.88799999999992</v>
      </c>
      <c r="J58" s="27">
        <f t="shared" si="6"/>
        <v>356.03999999999996</v>
      </c>
      <c r="K58" s="28">
        <f t="shared" si="6"/>
        <v>384.19199999999995</v>
      </c>
      <c r="L58" s="29">
        <f t="shared" si="6"/>
        <v>218.38499999999996</v>
      </c>
      <c r="M58" s="27">
        <f t="shared" si="6"/>
        <v>322.91999999999996</v>
      </c>
      <c r="N58" s="27">
        <f t="shared" si="6"/>
        <v>349.41599999999994</v>
      </c>
      <c r="O58" s="27">
        <f t="shared" si="6"/>
        <v>379.22399999999999</v>
      </c>
      <c r="P58" s="30">
        <f t="shared" si="6"/>
        <v>409.03199999999993</v>
      </c>
      <c r="Q58" s="26">
        <f t="shared" si="6"/>
        <v>224.595</v>
      </c>
      <c r="R58" s="27">
        <f t="shared" si="6"/>
        <v>332.85599999999994</v>
      </c>
      <c r="S58" s="27">
        <f t="shared" si="6"/>
        <v>359.35199999999992</v>
      </c>
      <c r="T58" s="27">
        <f t="shared" si="6"/>
        <v>390.81599999999992</v>
      </c>
      <c r="U58" s="28">
        <f t="shared" si="6"/>
        <v>422.28</v>
      </c>
    </row>
    <row r="59" spans="1:21" ht="26.25" thickBot="1">
      <c r="A59" s="25" t="s">
        <v>204</v>
      </c>
      <c r="B59" s="26">
        <f t="shared" si="6"/>
        <v>214.24499999999998</v>
      </c>
      <c r="C59" s="27">
        <f t="shared" si="6"/>
        <v>316.29599999999999</v>
      </c>
      <c r="D59" s="27">
        <f t="shared" si="6"/>
        <v>342.79199999999997</v>
      </c>
      <c r="E59" s="27">
        <f t="shared" si="6"/>
        <v>372.59999999999997</v>
      </c>
      <c r="F59" s="28">
        <f t="shared" si="6"/>
        <v>400.7519999999999</v>
      </c>
      <c r="G59" s="26">
        <f t="shared" si="6"/>
        <v>224.595</v>
      </c>
      <c r="H59" s="27">
        <f t="shared" si="6"/>
        <v>332.85599999999994</v>
      </c>
      <c r="I59" s="27">
        <f t="shared" si="6"/>
        <v>359.35199999999992</v>
      </c>
      <c r="J59" s="27">
        <f t="shared" si="6"/>
        <v>385.84799999999996</v>
      </c>
      <c r="K59" s="28">
        <f t="shared" si="6"/>
        <v>415.65599999999989</v>
      </c>
      <c r="L59" s="29">
        <f t="shared" si="6"/>
        <v>238.04999999999995</v>
      </c>
      <c r="M59" s="27">
        <f t="shared" si="6"/>
        <v>354.38399999999996</v>
      </c>
      <c r="N59" s="27">
        <f t="shared" si="6"/>
        <v>380.87999999999994</v>
      </c>
      <c r="O59" s="27">
        <f t="shared" si="6"/>
        <v>412.34399999999999</v>
      </c>
      <c r="P59" s="30">
        <f t="shared" si="6"/>
        <v>442.15199999999987</v>
      </c>
      <c r="Q59" s="26">
        <f t="shared" si="6"/>
        <v>248.39999999999995</v>
      </c>
      <c r="R59" s="27">
        <f t="shared" si="6"/>
        <v>370.94400000000002</v>
      </c>
      <c r="S59" s="27">
        <f t="shared" si="6"/>
        <v>397.44</v>
      </c>
      <c r="T59" s="27">
        <f t="shared" si="6"/>
        <v>425.59199999999993</v>
      </c>
      <c r="U59" s="28">
        <f t="shared" si="6"/>
        <v>457.05599999999993</v>
      </c>
    </row>
    <row r="60" spans="1:21" ht="26.25" thickBot="1">
      <c r="A60" s="25" t="s">
        <v>205</v>
      </c>
      <c r="B60" s="26">
        <f t="shared" si="6"/>
        <v>235.97999999999996</v>
      </c>
      <c r="C60" s="27">
        <f t="shared" si="6"/>
        <v>351.07199999999995</v>
      </c>
      <c r="D60" s="27">
        <f t="shared" si="6"/>
        <v>377.56799999999998</v>
      </c>
      <c r="E60" s="27">
        <f t="shared" si="6"/>
        <v>409.03199999999993</v>
      </c>
      <c r="F60" s="28">
        <f t="shared" si="6"/>
        <v>438.84</v>
      </c>
      <c r="G60" s="26">
        <f t="shared" si="6"/>
        <v>245.29499999999999</v>
      </c>
      <c r="H60" s="27">
        <f t="shared" si="6"/>
        <v>365.97599999999994</v>
      </c>
      <c r="I60" s="27">
        <f t="shared" si="6"/>
        <v>392.47199999999992</v>
      </c>
      <c r="J60" s="27">
        <f t="shared" si="6"/>
        <v>423.93599999999998</v>
      </c>
      <c r="K60" s="28">
        <f t="shared" si="6"/>
        <v>457.05599999999993</v>
      </c>
      <c r="L60" s="29">
        <f t="shared" si="6"/>
        <v>262.89</v>
      </c>
      <c r="M60" s="27">
        <f t="shared" si="6"/>
        <v>394.12799999999993</v>
      </c>
      <c r="N60" s="27">
        <f t="shared" si="6"/>
        <v>420.62399999999997</v>
      </c>
      <c r="O60" s="27">
        <f t="shared" si="6"/>
        <v>453.74399999999997</v>
      </c>
      <c r="P60" s="30">
        <f t="shared" si="6"/>
        <v>486.86399999999992</v>
      </c>
      <c r="Q60" s="26">
        <f t="shared" si="6"/>
        <v>272.20499999999998</v>
      </c>
      <c r="R60" s="27">
        <f t="shared" si="6"/>
        <v>409.03199999999993</v>
      </c>
      <c r="S60" s="27">
        <f t="shared" si="6"/>
        <v>435.52799999999991</v>
      </c>
      <c r="T60" s="27">
        <f t="shared" si="6"/>
        <v>468.64799999999985</v>
      </c>
      <c r="U60" s="28">
        <f t="shared" si="6"/>
        <v>505.07999999999993</v>
      </c>
    </row>
    <row r="61" spans="1:21" ht="26.25" thickBot="1">
      <c r="A61" s="25" t="s">
        <v>206</v>
      </c>
      <c r="B61" s="26">
        <f t="shared" si="6"/>
        <v>252.53999999999996</v>
      </c>
      <c r="C61" s="27">
        <f t="shared" si="6"/>
        <v>377.56799999999993</v>
      </c>
      <c r="D61" s="27">
        <f t="shared" si="6"/>
        <v>404.06399999999996</v>
      </c>
      <c r="E61" s="27">
        <f t="shared" si="6"/>
        <v>435.52799999999991</v>
      </c>
      <c r="F61" s="28">
        <f t="shared" si="6"/>
        <v>465.33599999999996</v>
      </c>
      <c r="G61" s="26">
        <f t="shared" si="6"/>
        <v>261.85499999999996</v>
      </c>
      <c r="H61" s="27">
        <f t="shared" si="6"/>
        <v>392.47199999999992</v>
      </c>
      <c r="I61" s="27">
        <f t="shared" si="6"/>
        <v>418.9679999999999</v>
      </c>
      <c r="J61" s="27">
        <f t="shared" si="6"/>
        <v>450.43199999999996</v>
      </c>
      <c r="K61" s="28">
        <f t="shared" si="6"/>
        <v>483.55199999999991</v>
      </c>
      <c r="L61" s="29">
        <f t="shared" si="6"/>
        <v>279.44999999999993</v>
      </c>
      <c r="M61" s="27">
        <f t="shared" si="6"/>
        <v>420.62399999999997</v>
      </c>
      <c r="N61" s="27">
        <f t="shared" si="6"/>
        <v>447.11999999999995</v>
      </c>
      <c r="O61" s="27">
        <f t="shared" si="6"/>
        <v>480.23999999999995</v>
      </c>
      <c r="P61" s="30">
        <f t="shared" si="6"/>
        <v>513.3599999999999</v>
      </c>
      <c r="Q61" s="26">
        <f t="shared" si="6"/>
        <v>288.76499999999999</v>
      </c>
      <c r="R61" s="27">
        <f t="shared" si="6"/>
        <v>435.52799999999991</v>
      </c>
      <c r="S61" s="27">
        <f t="shared" si="6"/>
        <v>462.02399999999994</v>
      </c>
      <c r="T61" s="27">
        <f t="shared" si="6"/>
        <v>495.14400000000001</v>
      </c>
      <c r="U61" s="28">
        <f t="shared" si="6"/>
        <v>531.57599999999991</v>
      </c>
    </row>
    <row r="62" spans="1:21" ht="26.25" thickBot="1">
      <c r="A62" s="25" t="s">
        <v>207</v>
      </c>
      <c r="B62" s="26">
        <f t="shared" si="6"/>
        <v>280.14</v>
      </c>
      <c r="C62" s="27">
        <f t="shared" si="6"/>
        <v>405.16799999999989</v>
      </c>
      <c r="D62" s="27">
        <f t="shared" si="6"/>
        <v>431.66399999999993</v>
      </c>
      <c r="E62" s="27">
        <f t="shared" si="6"/>
        <v>463.12799999999993</v>
      </c>
      <c r="F62" s="28">
        <f t="shared" si="6"/>
        <v>492.93599999999992</v>
      </c>
      <c r="G62" s="26">
        <f t="shared" si="6"/>
        <v>289.45499999999998</v>
      </c>
      <c r="H62" s="27">
        <f t="shared" si="6"/>
        <v>420.07199999999995</v>
      </c>
      <c r="I62" s="27">
        <f t="shared" si="6"/>
        <v>446.56799999999993</v>
      </c>
      <c r="J62" s="27">
        <f t="shared" si="6"/>
        <v>478.03199999999993</v>
      </c>
      <c r="K62" s="28">
        <f t="shared" si="6"/>
        <v>511.15199999999987</v>
      </c>
      <c r="L62" s="29">
        <f t="shared" si="6"/>
        <v>307.04999999999995</v>
      </c>
      <c r="M62" s="27">
        <f t="shared" si="6"/>
        <v>448.22399999999999</v>
      </c>
      <c r="N62" s="27">
        <f t="shared" si="6"/>
        <v>474.71999999999991</v>
      </c>
      <c r="O62" s="27">
        <f t="shared" si="6"/>
        <v>507.84</v>
      </c>
      <c r="P62" s="30">
        <f t="shared" si="6"/>
        <v>540.95999999999992</v>
      </c>
      <c r="Q62" s="26">
        <f t="shared" si="6"/>
        <v>316.36499999999995</v>
      </c>
      <c r="R62" s="27">
        <f t="shared" si="6"/>
        <v>463.12799999999993</v>
      </c>
      <c r="S62" s="27">
        <f t="shared" si="6"/>
        <v>489.62399999999997</v>
      </c>
      <c r="T62" s="27">
        <f t="shared" si="6"/>
        <v>522.74400000000003</v>
      </c>
      <c r="U62" s="28">
        <f t="shared" si="6"/>
        <v>559.17599999999993</v>
      </c>
    </row>
    <row r="64" spans="1:21" ht="15.75" customHeight="1" thickBot="1">
      <c r="A64" s="533" t="s">
        <v>214</v>
      </c>
      <c r="B64" s="534"/>
      <c r="C64" s="534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</row>
    <row r="65" spans="1:21" ht="13.5" thickBot="1">
      <c r="A65" s="20" t="s">
        <v>0</v>
      </c>
      <c r="B65" s="529" t="s">
        <v>194</v>
      </c>
      <c r="C65" s="530"/>
      <c r="D65" s="530"/>
      <c r="E65" s="530"/>
      <c r="F65" s="531"/>
      <c r="G65" s="532" t="s">
        <v>195</v>
      </c>
      <c r="H65" s="530"/>
      <c r="I65" s="530"/>
      <c r="J65" s="530"/>
      <c r="K65" s="531"/>
      <c r="L65" s="532" t="s">
        <v>196</v>
      </c>
      <c r="M65" s="530"/>
      <c r="N65" s="530"/>
      <c r="O65" s="530"/>
      <c r="P65" s="531"/>
      <c r="Q65" s="532" t="s">
        <v>197</v>
      </c>
      <c r="R65" s="530"/>
      <c r="S65" s="530"/>
      <c r="T65" s="530"/>
      <c r="U65" s="531"/>
    </row>
    <row r="66" spans="1:21" ht="13.5" thickBot="1">
      <c r="A66" s="21"/>
      <c r="B66" s="22" t="s">
        <v>198</v>
      </c>
      <c r="C66" s="22" t="s">
        <v>199</v>
      </c>
      <c r="D66" s="22" t="s">
        <v>200</v>
      </c>
      <c r="E66" s="22" t="s">
        <v>201</v>
      </c>
      <c r="F66" s="23" t="s">
        <v>202</v>
      </c>
      <c r="G66" s="22" t="s">
        <v>198</v>
      </c>
      <c r="H66" s="22" t="s">
        <v>199</v>
      </c>
      <c r="I66" s="22" t="s">
        <v>200</v>
      </c>
      <c r="J66" s="22" t="s">
        <v>201</v>
      </c>
      <c r="K66" s="22" t="s">
        <v>202</v>
      </c>
      <c r="L66" s="24" t="s">
        <v>198</v>
      </c>
      <c r="M66" s="22" t="s">
        <v>199</v>
      </c>
      <c r="N66" s="22" t="s">
        <v>200</v>
      </c>
      <c r="O66" s="22" t="s">
        <v>201</v>
      </c>
      <c r="P66" s="22" t="s">
        <v>202</v>
      </c>
      <c r="Q66" s="22" t="s">
        <v>198</v>
      </c>
      <c r="R66" s="22" t="s">
        <v>199</v>
      </c>
      <c r="S66" s="22" t="s">
        <v>200</v>
      </c>
      <c r="T66" s="22" t="s">
        <v>201</v>
      </c>
      <c r="U66" s="22" t="s">
        <v>202</v>
      </c>
    </row>
    <row r="67" spans="1:21" ht="26.25" thickBot="1">
      <c r="A67" s="25" t="s">
        <v>203</v>
      </c>
      <c r="B67" s="26">
        <f t="shared" ref="B67:U71" si="7">B40*1.3</f>
        <v>215.28</v>
      </c>
      <c r="C67" s="27">
        <f t="shared" si="7"/>
        <v>315.74399999999997</v>
      </c>
      <c r="D67" s="27">
        <f t="shared" si="7"/>
        <v>344.44799999999998</v>
      </c>
      <c r="E67" s="27">
        <f t="shared" si="7"/>
        <v>373.15199999999999</v>
      </c>
      <c r="F67" s="28">
        <f t="shared" si="7"/>
        <v>401.85599999999999</v>
      </c>
      <c r="G67" s="26">
        <f t="shared" si="7"/>
        <v>222.00749999999996</v>
      </c>
      <c r="H67" s="27">
        <f t="shared" si="7"/>
        <v>326.50799999999998</v>
      </c>
      <c r="I67" s="27">
        <f t="shared" si="7"/>
        <v>355.21199999999993</v>
      </c>
      <c r="J67" s="27">
        <f t="shared" si="7"/>
        <v>385.71</v>
      </c>
      <c r="K67" s="28">
        <f t="shared" si="7"/>
        <v>416.20799999999997</v>
      </c>
      <c r="L67" s="29">
        <f t="shared" si="7"/>
        <v>236.58374999999998</v>
      </c>
      <c r="M67" s="27">
        <f t="shared" si="7"/>
        <v>349.83</v>
      </c>
      <c r="N67" s="27">
        <f t="shared" si="7"/>
        <v>378.53399999999993</v>
      </c>
      <c r="O67" s="27">
        <f t="shared" si="7"/>
        <v>410.82599999999996</v>
      </c>
      <c r="P67" s="30">
        <f t="shared" si="7"/>
        <v>443.11799999999994</v>
      </c>
      <c r="Q67" s="26">
        <f t="shared" si="7"/>
        <v>243.31125</v>
      </c>
      <c r="R67" s="27">
        <f t="shared" si="7"/>
        <v>360.59399999999994</v>
      </c>
      <c r="S67" s="27">
        <f t="shared" si="7"/>
        <v>389.29799999999989</v>
      </c>
      <c r="T67" s="27">
        <f t="shared" si="7"/>
        <v>423.38399999999996</v>
      </c>
      <c r="U67" s="28">
        <f t="shared" si="7"/>
        <v>457.46999999999997</v>
      </c>
    </row>
    <row r="68" spans="1:21" ht="26.25" thickBot="1">
      <c r="A68" s="25" t="s">
        <v>204</v>
      </c>
      <c r="B68" s="26">
        <f t="shared" si="7"/>
        <v>232.09875</v>
      </c>
      <c r="C68" s="27">
        <f t="shared" si="7"/>
        <v>342.654</v>
      </c>
      <c r="D68" s="27">
        <f t="shared" si="7"/>
        <v>371.35799999999995</v>
      </c>
      <c r="E68" s="27">
        <f t="shared" si="7"/>
        <v>403.65000000000003</v>
      </c>
      <c r="F68" s="28">
        <f t="shared" si="7"/>
        <v>434.14799999999991</v>
      </c>
      <c r="G68" s="26">
        <f t="shared" si="7"/>
        <v>243.31125</v>
      </c>
      <c r="H68" s="27">
        <f t="shared" si="7"/>
        <v>360.59399999999994</v>
      </c>
      <c r="I68" s="27">
        <f t="shared" si="7"/>
        <v>389.29799999999989</v>
      </c>
      <c r="J68" s="27">
        <f t="shared" si="7"/>
        <v>418.00199999999995</v>
      </c>
      <c r="K68" s="28">
        <f t="shared" si="7"/>
        <v>450.29399999999993</v>
      </c>
      <c r="L68" s="29">
        <f t="shared" si="7"/>
        <v>257.88749999999999</v>
      </c>
      <c r="M68" s="27">
        <f t="shared" si="7"/>
        <v>383.916</v>
      </c>
      <c r="N68" s="27">
        <f t="shared" si="7"/>
        <v>412.62</v>
      </c>
      <c r="O68" s="27">
        <f t="shared" si="7"/>
        <v>446.70600000000002</v>
      </c>
      <c r="P68" s="30">
        <f t="shared" si="7"/>
        <v>478.99799999999993</v>
      </c>
      <c r="Q68" s="26">
        <f t="shared" si="7"/>
        <v>269.09999999999997</v>
      </c>
      <c r="R68" s="27">
        <f t="shared" si="7"/>
        <v>401.85599999999999</v>
      </c>
      <c r="S68" s="27">
        <f t="shared" si="7"/>
        <v>430.56</v>
      </c>
      <c r="T68" s="27">
        <f t="shared" si="7"/>
        <v>461.05799999999999</v>
      </c>
      <c r="U68" s="28">
        <f t="shared" si="7"/>
        <v>495.14399999999995</v>
      </c>
    </row>
    <row r="69" spans="1:21" ht="26.25" thickBot="1">
      <c r="A69" s="25" t="s">
        <v>205</v>
      </c>
      <c r="B69" s="26">
        <f t="shared" si="7"/>
        <v>255.64499999999998</v>
      </c>
      <c r="C69" s="27">
        <f t="shared" si="7"/>
        <v>380.32799999999992</v>
      </c>
      <c r="D69" s="27">
        <f t="shared" si="7"/>
        <v>409.03199999999998</v>
      </c>
      <c r="E69" s="27">
        <f t="shared" si="7"/>
        <v>443.11799999999994</v>
      </c>
      <c r="F69" s="28">
        <f t="shared" si="7"/>
        <v>475.41</v>
      </c>
      <c r="G69" s="26">
        <f t="shared" si="7"/>
        <v>265.73624999999998</v>
      </c>
      <c r="H69" s="27">
        <f t="shared" si="7"/>
        <v>396.47399999999999</v>
      </c>
      <c r="I69" s="27">
        <f t="shared" si="7"/>
        <v>425.17799999999994</v>
      </c>
      <c r="J69" s="27">
        <f t="shared" si="7"/>
        <v>459.26399999999995</v>
      </c>
      <c r="K69" s="28">
        <f t="shared" si="7"/>
        <v>495.14399999999995</v>
      </c>
      <c r="L69" s="29">
        <f t="shared" si="7"/>
        <v>284.79750000000001</v>
      </c>
      <c r="M69" s="27">
        <f t="shared" si="7"/>
        <v>426.97199999999992</v>
      </c>
      <c r="N69" s="27">
        <f t="shared" si="7"/>
        <v>455.67599999999999</v>
      </c>
      <c r="O69" s="27">
        <f t="shared" si="7"/>
        <v>491.55600000000004</v>
      </c>
      <c r="P69" s="30">
        <f t="shared" si="7"/>
        <v>527.43600000000004</v>
      </c>
      <c r="Q69" s="26">
        <f t="shared" si="7"/>
        <v>294.88874999999996</v>
      </c>
      <c r="R69" s="27">
        <f t="shared" si="7"/>
        <v>443.11799999999994</v>
      </c>
      <c r="S69" s="27">
        <f t="shared" si="7"/>
        <v>471.82199999999995</v>
      </c>
      <c r="T69" s="27">
        <f t="shared" si="7"/>
        <v>507.70199999999988</v>
      </c>
      <c r="U69" s="28">
        <f t="shared" si="7"/>
        <v>547.16999999999996</v>
      </c>
    </row>
    <row r="70" spans="1:21" ht="26.25" thickBot="1">
      <c r="A70" s="25" t="s">
        <v>206</v>
      </c>
      <c r="B70" s="26">
        <f t="shared" si="7"/>
        <v>273.58499999999998</v>
      </c>
      <c r="C70" s="27">
        <f t="shared" si="7"/>
        <v>409.03199999999993</v>
      </c>
      <c r="D70" s="27">
        <f t="shared" si="7"/>
        <v>437.73599999999999</v>
      </c>
      <c r="E70" s="27">
        <f t="shared" si="7"/>
        <v>471.82199999999995</v>
      </c>
      <c r="F70" s="28">
        <f t="shared" si="7"/>
        <v>504.11399999999998</v>
      </c>
      <c r="G70" s="26">
        <f t="shared" si="7"/>
        <v>283.67624999999998</v>
      </c>
      <c r="H70" s="27">
        <f t="shared" si="7"/>
        <v>425.17799999999994</v>
      </c>
      <c r="I70" s="27">
        <f t="shared" si="7"/>
        <v>453.88199999999995</v>
      </c>
      <c r="J70" s="27">
        <f t="shared" si="7"/>
        <v>487.96799999999996</v>
      </c>
      <c r="K70" s="28">
        <f t="shared" si="7"/>
        <v>523.84799999999996</v>
      </c>
      <c r="L70" s="29">
        <f t="shared" si="7"/>
        <v>302.73749999999995</v>
      </c>
      <c r="M70" s="27">
        <f t="shared" si="7"/>
        <v>455.67599999999999</v>
      </c>
      <c r="N70" s="27">
        <f t="shared" si="7"/>
        <v>484.38</v>
      </c>
      <c r="O70" s="27">
        <f t="shared" si="7"/>
        <v>520.26</v>
      </c>
      <c r="P70" s="30">
        <f t="shared" si="7"/>
        <v>556.14</v>
      </c>
      <c r="Q70" s="26">
        <f t="shared" si="7"/>
        <v>312.82875000000001</v>
      </c>
      <c r="R70" s="27">
        <f t="shared" si="7"/>
        <v>471.82199999999995</v>
      </c>
      <c r="S70" s="27">
        <f t="shared" si="7"/>
        <v>500.52600000000001</v>
      </c>
      <c r="T70" s="27">
        <f t="shared" si="7"/>
        <v>536.40600000000006</v>
      </c>
      <c r="U70" s="28">
        <f t="shared" si="7"/>
        <v>575.87400000000002</v>
      </c>
    </row>
    <row r="71" spans="1:21" ht="26.25" thickBot="1">
      <c r="A71" s="25" t="s">
        <v>207</v>
      </c>
      <c r="B71" s="26">
        <f t="shared" si="7"/>
        <v>303.48500000000001</v>
      </c>
      <c r="C71" s="27">
        <f t="shared" si="7"/>
        <v>438.9319999999999</v>
      </c>
      <c r="D71" s="27">
        <f t="shared" si="7"/>
        <v>467.63599999999997</v>
      </c>
      <c r="E71" s="27">
        <f t="shared" si="7"/>
        <v>501.72199999999992</v>
      </c>
      <c r="F71" s="28">
        <f t="shared" si="7"/>
        <v>534.01400000000001</v>
      </c>
      <c r="G71" s="26">
        <f t="shared" si="7"/>
        <v>313.57624999999996</v>
      </c>
      <c r="H71" s="27">
        <f t="shared" si="7"/>
        <v>455.07799999999992</v>
      </c>
      <c r="I71" s="27">
        <f t="shared" si="7"/>
        <v>483.78199999999993</v>
      </c>
      <c r="J71" s="27">
        <f t="shared" si="7"/>
        <v>517.86799999999994</v>
      </c>
      <c r="K71" s="28">
        <f t="shared" si="7"/>
        <v>553.74799999999993</v>
      </c>
      <c r="L71" s="29">
        <f t="shared" si="7"/>
        <v>332.63749999999999</v>
      </c>
      <c r="M71" s="27">
        <f t="shared" si="7"/>
        <v>485.57599999999996</v>
      </c>
      <c r="N71" s="27">
        <f t="shared" si="7"/>
        <v>514.28</v>
      </c>
      <c r="O71" s="27">
        <f t="shared" si="7"/>
        <v>550.16</v>
      </c>
      <c r="P71" s="30">
        <f t="shared" si="7"/>
        <v>586.04</v>
      </c>
      <c r="Q71" s="26">
        <f t="shared" si="7"/>
        <v>342.72874999999999</v>
      </c>
      <c r="R71" s="27">
        <f t="shared" si="7"/>
        <v>501.72199999999992</v>
      </c>
      <c r="S71" s="27">
        <f t="shared" si="7"/>
        <v>530.42600000000004</v>
      </c>
      <c r="T71" s="27">
        <f t="shared" si="7"/>
        <v>566.30600000000004</v>
      </c>
      <c r="U71" s="28">
        <f t="shared" si="7"/>
        <v>605.774</v>
      </c>
    </row>
    <row r="72" spans="1:2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ht="15.75" customHeight="1" thickBot="1">
      <c r="A73" s="533" t="s">
        <v>215</v>
      </c>
      <c r="B73" s="534"/>
      <c r="C73" s="534"/>
      <c r="D73" s="534"/>
      <c r="E73" s="534"/>
      <c r="F73" s="534"/>
      <c r="G73" s="534"/>
      <c r="H73" s="534"/>
      <c r="I73" s="534"/>
      <c r="J73" s="534"/>
      <c r="K73" s="534"/>
      <c r="L73" s="534"/>
      <c r="M73" s="534"/>
      <c r="N73" s="534"/>
      <c r="O73" s="534"/>
      <c r="P73" s="534"/>
      <c r="Q73" s="534"/>
      <c r="R73" s="534"/>
      <c r="S73" s="534"/>
      <c r="T73" s="534"/>
      <c r="U73" s="534"/>
    </row>
    <row r="74" spans="1:21" ht="13.5" thickBot="1">
      <c r="A74" s="20" t="s">
        <v>0</v>
      </c>
      <c r="B74" s="529" t="s">
        <v>194</v>
      </c>
      <c r="C74" s="530"/>
      <c r="D74" s="530"/>
      <c r="E74" s="530"/>
      <c r="F74" s="531"/>
      <c r="G74" s="532" t="s">
        <v>195</v>
      </c>
      <c r="H74" s="530"/>
      <c r="I74" s="530"/>
      <c r="J74" s="530"/>
      <c r="K74" s="531"/>
      <c r="L74" s="532" t="s">
        <v>196</v>
      </c>
      <c r="M74" s="530"/>
      <c r="N74" s="530"/>
      <c r="O74" s="530"/>
      <c r="P74" s="531"/>
      <c r="Q74" s="532" t="s">
        <v>197</v>
      </c>
      <c r="R74" s="530"/>
      <c r="S74" s="530"/>
      <c r="T74" s="530"/>
      <c r="U74" s="531"/>
    </row>
    <row r="75" spans="1:21" ht="13.5" thickBot="1">
      <c r="A75" s="21"/>
      <c r="B75" s="22" t="s">
        <v>198</v>
      </c>
      <c r="C75" s="22" t="s">
        <v>199</v>
      </c>
      <c r="D75" s="22" t="s">
        <v>200</v>
      </c>
      <c r="E75" s="22" t="s">
        <v>201</v>
      </c>
      <c r="F75" s="23" t="s">
        <v>202</v>
      </c>
      <c r="G75" s="22" t="s">
        <v>198</v>
      </c>
      <c r="H75" s="22" t="s">
        <v>199</v>
      </c>
      <c r="I75" s="22" t="s">
        <v>200</v>
      </c>
      <c r="J75" s="22" t="s">
        <v>201</v>
      </c>
      <c r="K75" s="22" t="s">
        <v>202</v>
      </c>
      <c r="L75" s="24" t="s">
        <v>198</v>
      </c>
      <c r="M75" s="22" t="s">
        <v>199</v>
      </c>
      <c r="N75" s="22" t="s">
        <v>200</v>
      </c>
      <c r="O75" s="22" t="s">
        <v>201</v>
      </c>
      <c r="P75" s="22" t="s">
        <v>202</v>
      </c>
      <c r="Q75" s="22" t="s">
        <v>198</v>
      </c>
      <c r="R75" s="22" t="s">
        <v>199</v>
      </c>
      <c r="S75" s="22" t="s">
        <v>200</v>
      </c>
      <c r="T75" s="22" t="s">
        <v>201</v>
      </c>
      <c r="U75" s="22" t="s">
        <v>202</v>
      </c>
    </row>
    <row r="76" spans="1:21" ht="26.25" thickBot="1">
      <c r="A76" s="25" t="s">
        <v>203</v>
      </c>
      <c r="B76" s="26">
        <f t="shared" ref="B76:U80" si="8">B67*1.15</f>
        <v>247.57199999999997</v>
      </c>
      <c r="C76" s="27">
        <f t="shared" si="8"/>
        <v>363.10559999999992</v>
      </c>
      <c r="D76" s="27">
        <f t="shared" si="8"/>
        <v>396.11519999999996</v>
      </c>
      <c r="E76" s="27">
        <f t="shared" si="8"/>
        <v>429.12479999999994</v>
      </c>
      <c r="F76" s="28">
        <f t="shared" si="8"/>
        <v>462.13439999999997</v>
      </c>
      <c r="G76" s="26">
        <f t="shared" si="8"/>
        <v>255.30862499999995</v>
      </c>
      <c r="H76" s="27">
        <f t="shared" si="8"/>
        <v>375.48419999999993</v>
      </c>
      <c r="I76" s="27">
        <f t="shared" si="8"/>
        <v>408.49379999999991</v>
      </c>
      <c r="J76" s="27">
        <f t="shared" si="8"/>
        <v>443.56649999999996</v>
      </c>
      <c r="K76" s="28">
        <f t="shared" si="8"/>
        <v>478.6391999999999</v>
      </c>
      <c r="L76" s="29">
        <f t="shared" si="8"/>
        <v>272.07131249999998</v>
      </c>
      <c r="M76" s="27">
        <f t="shared" si="8"/>
        <v>402.30449999999996</v>
      </c>
      <c r="N76" s="27">
        <f t="shared" si="8"/>
        <v>435.31409999999988</v>
      </c>
      <c r="O76" s="27">
        <f t="shared" si="8"/>
        <v>472.4498999999999</v>
      </c>
      <c r="P76" s="30">
        <f t="shared" si="8"/>
        <v>509.58569999999992</v>
      </c>
      <c r="Q76" s="26">
        <f t="shared" si="8"/>
        <v>279.80793749999998</v>
      </c>
      <c r="R76" s="27">
        <f t="shared" si="8"/>
        <v>414.68309999999991</v>
      </c>
      <c r="S76" s="27">
        <f t="shared" si="8"/>
        <v>447.69269999999983</v>
      </c>
      <c r="T76" s="27">
        <f t="shared" si="8"/>
        <v>486.89159999999993</v>
      </c>
      <c r="U76" s="28">
        <f t="shared" si="8"/>
        <v>526.09049999999991</v>
      </c>
    </row>
    <row r="77" spans="1:21" ht="26.25" thickBot="1">
      <c r="A77" s="25" t="s">
        <v>204</v>
      </c>
      <c r="B77" s="26">
        <f t="shared" si="8"/>
        <v>266.91356249999995</v>
      </c>
      <c r="C77" s="27">
        <f t="shared" si="8"/>
        <v>394.05209999999994</v>
      </c>
      <c r="D77" s="27">
        <f t="shared" si="8"/>
        <v>427.06169999999992</v>
      </c>
      <c r="E77" s="27">
        <f t="shared" si="8"/>
        <v>464.19749999999999</v>
      </c>
      <c r="F77" s="28">
        <f t="shared" si="8"/>
        <v>499.27019999999987</v>
      </c>
      <c r="G77" s="26">
        <f t="shared" si="8"/>
        <v>279.80793749999998</v>
      </c>
      <c r="H77" s="27">
        <f t="shared" si="8"/>
        <v>414.68309999999991</v>
      </c>
      <c r="I77" s="27">
        <f t="shared" si="8"/>
        <v>447.69269999999983</v>
      </c>
      <c r="J77" s="27">
        <f t="shared" si="8"/>
        <v>480.70229999999992</v>
      </c>
      <c r="K77" s="28">
        <f t="shared" si="8"/>
        <v>517.83809999999983</v>
      </c>
      <c r="L77" s="29">
        <f t="shared" si="8"/>
        <v>296.57062499999995</v>
      </c>
      <c r="M77" s="27">
        <f t="shared" si="8"/>
        <v>441.50339999999994</v>
      </c>
      <c r="N77" s="27">
        <f t="shared" si="8"/>
        <v>474.51299999999998</v>
      </c>
      <c r="O77" s="27">
        <f t="shared" si="8"/>
        <v>513.71190000000001</v>
      </c>
      <c r="P77" s="30">
        <f t="shared" si="8"/>
        <v>550.84769999999992</v>
      </c>
      <c r="Q77" s="26">
        <f t="shared" si="8"/>
        <v>309.46499999999992</v>
      </c>
      <c r="R77" s="27">
        <f t="shared" si="8"/>
        <v>462.13439999999997</v>
      </c>
      <c r="S77" s="27">
        <f t="shared" si="8"/>
        <v>495.14399999999995</v>
      </c>
      <c r="T77" s="27">
        <f t="shared" si="8"/>
        <v>530.21669999999995</v>
      </c>
      <c r="U77" s="28">
        <f t="shared" si="8"/>
        <v>569.41559999999993</v>
      </c>
    </row>
    <row r="78" spans="1:21" ht="26.25" thickBot="1">
      <c r="A78" s="25" t="s">
        <v>205</v>
      </c>
      <c r="B78" s="26">
        <f t="shared" si="8"/>
        <v>293.99174999999997</v>
      </c>
      <c r="C78" s="27">
        <f t="shared" si="8"/>
        <v>437.37719999999985</v>
      </c>
      <c r="D78" s="27">
        <f t="shared" si="8"/>
        <v>470.38679999999994</v>
      </c>
      <c r="E78" s="27">
        <f t="shared" si="8"/>
        <v>509.58569999999992</v>
      </c>
      <c r="F78" s="28">
        <f t="shared" si="8"/>
        <v>546.72149999999999</v>
      </c>
      <c r="G78" s="26">
        <f t="shared" si="8"/>
        <v>305.59668749999997</v>
      </c>
      <c r="H78" s="27">
        <f t="shared" si="8"/>
        <v>455.94509999999997</v>
      </c>
      <c r="I78" s="27">
        <f t="shared" si="8"/>
        <v>488.95469999999989</v>
      </c>
      <c r="J78" s="27">
        <f t="shared" si="8"/>
        <v>528.15359999999987</v>
      </c>
      <c r="K78" s="28">
        <f t="shared" si="8"/>
        <v>569.41559999999993</v>
      </c>
      <c r="L78" s="29">
        <f t="shared" si="8"/>
        <v>327.51712499999996</v>
      </c>
      <c r="M78" s="27">
        <f t="shared" si="8"/>
        <v>491.01779999999985</v>
      </c>
      <c r="N78" s="27">
        <f t="shared" si="8"/>
        <v>524.02739999999994</v>
      </c>
      <c r="O78" s="27">
        <f t="shared" si="8"/>
        <v>565.2894</v>
      </c>
      <c r="P78" s="30">
        <f t="shared" si="8"/>
        <v>606.55139999999994</v>
      </c>
      <c r="Q78" s="26">
        <f t="shared" si="8"/>
        <v>339.12206249999991</v>
      </c>
      <c r="R78" s="27">
        <f t="shared" si="8"/>
        <v>509.58569999999992</v>
      </c>
      <c r="S78" s="27">
        <f t="shared" si="8"/>
        <v>542.59529999999995</v>
      </c>
      <c r="T78" s="27">
        <f t="shared" si="8"/>
        <v>583.85729999999978</v>
      </c>
      <c r="U78" s="28">
        <f t="shared" si="8"/>
        <v>629.24549999999988</v>
      </c>
    </row>
    <row r="79" spans="1:21" ht="26.25" thickBot="1">
      <c r="A79" s="25" t="s">
        <v>206</v>
      </c>
      <c r="B79" s="26">
        <f t="shared" si="8"/>
        <v>314.62274999999994</v>
      </c>
      <c r="C79" s="27">
        <f t="shared" si="8"/>
        <v>470.38679999999988</v>
      </c>
      <c r="D79" s="27">
        <f t="shared" si="8"/>
        <v>503.39639999999997</v>
      </c>
      <c r="E79" s="27">
        <f t="shared" si="8"/>
        <v>542.59529999999995</v>
      </c>
      <c r="F79" s="28">
        <f t="shared" si="8"/>
        <v>579.73109999999997</v>
      </c>
      <c r="G79" s="26">
        <f t="shared" si="8"/>
        <v>326.22768749999994</v>
      </c>
      <c r="H79" s="27">
        <f t="shared" si="8"/>
        <v>488.95469999999989</v>
      </c>
      <c r="I79" s="27">
        <f t="shared" si="8"/>
        <v>521.96429999999987</v>
      </c>
      <c r="J79" s="27">
        <f t="shared" si="8"/>
        <v>561.16319999999996</v>
      </c>
      <c r="K79" s="28">
        <f t="shared" si="8"/>
        <v>602.4251999999999</v>
      </c>
      <c r="L79" s="29">
        <f t="shared" si="8"/>
        <v>348.14812499999994</v>
      </c>
      <c r="M79" s="27">
        <f t="shared" si="8"/>
        <v>524.02739999999994</v>
      </c>
      <c r="N79" s="27">
        <f t="shared" si="8"/>
        <v>557.03699999999992</v>
      </c>
      <c r="O79" s="27">
        <f t="shared" si="8"/>
        <v>598.29899999999998</v>
      </c>
      <c r="P79" s="30">
        <f t="shared" si="8"/>
        <v>639.56099999999992</v>
      </c>
      <c r="Q79" s="26">
        <f t="shared" si="8"/>
        <v>359.7530625</v>
      </c>
      <c r="R79" s="27">
        <f t="shared" si="8"/>
        <v>542.59529999999995</v>
      </c>
      <c r="S79" s="27">
        <f t="shared" si="8"/>
        <v>575.60489999999993</v>
      </c>
      <c r="T79" s="27">
        <f t="shared" si="8"/>
        <v>616.86689999999999</v>
      </c>
      <c r="U79" s="28">
        <f t="shared" si="8"/>
        <v>662.25509999999997</v>
      </c>
    </row>
    <row r="80" spans="1:21" ht="26.25" thickBot="1">
      <c r="A80" s="25" t="s">
        <v>207</v>
      </c>
      <c r="B80" s="26">
        <f t="shared" si="8"/>
        <v>349.00774999999999</v>
      </c>
      <c r="C80" s="27">
        <f t="shared" si="8"/>
        <v>504.77179999999987</v>
      </c>
      <c r="D80" s="27">
        <f t="shared" si="8"/>
        <v>537.78139999999996</v>
      </c>
      <c r="E80" s="27">
        <f t="shared" si="8"/>
        <v>576.98029999999983</v>
      </c>
      <c r="F80" s="28">
        <f t="shared" si="8"/>
        <v>614.11609999999996</v>
      </c>
      <c r="G80" s="26">
        <f t="shared" si="8"/>
        <v>360.61268749999994</v>
      </c>
      <c r="H80" s="27">
        <f t="shared" si="8"/>
        <v>523.33969999999988</v>
      </c>
      <c r="I80" s="27">
        <f t="shared" si="8"/>
        <v>556.34929999999986</v>
      </c>
      <c r="J80" s="27">
        <f t="shared" si="8"/>
        <v>595.54819999999984</v>
      </c>
      <c r="K80" s="28">
        <f t="shared" si="8"/>
        <v>636.8101999999999</v>
      </c>
      <c r="L80" s="29">
        <f t="shared" si="8"/>
        <v>382.53312499999998</v>
      </c>
      <c r="M80" s="27">
        <f t="shared" si="8"/>
        <v>558.41239999999993</v>
      </c>
      <c r="N80" s="27">
        <f t="shared" si="8"/>
        <v>591.42199999999991</v>
      </c>
      <c r="O80" s="27">
        <f t="shared" si="8"/>
        <v>632.68399999999997</v>
      </c>
      <c r="P80" s="30">
        <f t="shared" si="8"/>
        <v>673.94599999999991</v>
      </c>
      <c r="Q80" s="26">
        <f t="shared" si="8"/>
        <v>394.13806249999993</v>
      </c>
      <c r="R80" s="27">
        <f t="shared" si="8"/>
        <v>576.98029999999983</v>
      </c>
      <c r="S80" s="27">
        <f t="shared" si="8"/>
        <v>609.98990000000003</v>
      </c>
      <c r="T80" s="27">
        <f t="shared" si="8"/>
        <v>651.25189999999998</v>
      </c>
      <c r="U80" s="28">
        <f t="shared" si="8"/>
        <v>696.64009999999996</v>
      </c>
    </row>
    <row r="81" spans="1:2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ht="15.75" customHeight="1" thickBot="1">
      <c r="A82" s="533" t="s">
        <v>216</v>
      </c>
      <c r="B82" s="534"/>
      <c r="C82" s="534"/>
      <c r="D82" s="534"/>
      <c r="E82" s="534"/>
      <c r="F82" s="534"/>
      <c r="G82" s="534"/>
      <c r="H82" s="534"/>
      <c r="I82" s="534"/>
      <c r="J82" s="534"/>
      <c r="K82" s="534"/>
      <c r="L82" s="534"/>
      <c r="M82" s="534"/>
      <c r="N82" s="534"/>
      <c r="O82" s="534"/>
      <c r="P82" s="534"/>
      <c r="Q82" s="534"/>
      <c r="R82" s="534"/>
      <c r="S82" s="534"/>
      <c r="T82" s="534"/>
      <c r="U82" s="534"/>
    </row>
    <row r="83" spans="1:21" ht="13.5" thickBot="1">
      <c r="A83" s="20" t="s">
        <v>0</v>
      </c>
      <c r="B83" s="529" t="s">
        <v>194</v>
      </c>
      <c r="C83" s="530"/>
      <c r="D83" s="530"/>
      <c r="E83" s="530"/>
      <c r="F83" s="531"/>
      <c r="G83" s="532" t="s">
        <v>195</v>
      </c>
      <c r="H83" s="530"/>
      <c r="I83" s="530"/>
      <c r="J83" s="530"/>
      <c r="K83" s="531"/>
      <c r="L83" s="532" t="s">
        <v>196</v>
      </c>
      <c r="M83" s="530"/>
      <c r="N83" s="530"/>
      <c r="O83" s="530"/>
      <c r="P83" s="531"/>
      <c r="Q83" s="532" t="s">
        <v>197</v>
      </c>
      <c r="R83" s="530"/>
      <c r="S83" s="530"/>
      <c r="T83" s="530"/>
      <c r="U83" s="531"/>
    </row>
    <row r="84" spans="1:21" ht="13.5" thickBot="1">
      <c r="A84" s="21"/>
      <c r="B84" s="22" t="s">
        <v>198</v>
      </c>
      <c r="C84" s="22" t="s">
        <v>199</v>
      </c>
      <c r="D84" s="22" t="s">
        <v>200</v>
      </c>
      <c r="E84" s="22" t="s">
        <v>201</v>
      </c>
      <c r="F84" s="23" t="s">
        <v>202</v>
      </c>
      <c r="G84" s="22" t="s">
        <v>198</v>
      </c>
      <c r="H84" s="22" t="s">
        <v>199</v>
      </c>
      <c r="I84" s="22" t="s">
        <v>200</v>
      </c>
      <c r="J84" s="22" t="s">
        <v>201</v>
      </c>
      <c r="K84" s="22" t="s">
        <v>202</v>
      </c>
      <c r="L84" s="24" t="s">
        <v>198</v>
      </c>
      <c r="M84" s="22" t="s">
        <v>199</v>
      </c>
      <c r="N84" s="22" t="s">
        <v>200</v>
      </c>
      <c r="O84" s="22" t="s">
        <v>201</v>
      </c>
      <c r="P84" s="22" t="s">
        <v>202</v>
      </c>
      <c r="Q84" s="22" t="s">
        <v>198</v>
      </c>
      <c r="R84" s="22" t="s">
        <v>199</v>
      </c>
      <c r="S84" s="22" t="s">
        <v>200</v>
      </c>
      <c r="T84" s="22" t="s">
        <v>201</v>
      </c>
      <c r="U84" s="22" t="s">
        <v>202</v>
      </c>
    </row>
    <row r="85" spans="1:21" ht="26.25" thickBot="1">
      <c r="A85" s="25" t="s">
        <v>203</v>
      </c>
      <c r="B85" s="26">
        <f t="shared" ref="B85:U89" si="9">B67*1.2</f>
        <v>258.33600000000001</v>
      </c>
      <c r="C85" s="27">
        <f t="shared" si="9"/>
        <v>378.89279999999997</v>
      </c>
      <c r="D85" s="27">
        <f t="shared" si="9"/>
        <v>413.33759999999995</v>
      </c>
      <c r="E85" s="27">
        <f t="shared" si="9"/>
        <v>447.7824</v>
      </c>
      <c r="F85" s="28">
        <f t="shared" si="9"/>
        <v>482.22719999999998</v>
      </c>
      <c r="G85" s="26">
        <f t="shared" si="9"/>
        <v>266.40899999999993</v>
      </c>
      <c r="H85" s="27">
        <f t="shared" si="9"/>
        <v>391.80959999999999</v>
      </c>
      <c r="I85" s="27">
        <f t="shared" si="9"/>
        <v>426.25439999999992</v>
      </c>
      <c r="J85" s="27">
        <f t="shared" si="9"/>
        <v>462.85199999999998</v>
      </c>
      <c r="K85" s="28">
        <f t="shared" si="9"/>
        <v>499.44959999999992</v>
      </c>
      <c r="L85" s="29">
        <f t="shared" si="9"/>
        <v>283.90049999999997</v>
      </c>
      <c r="M85" s="27">
        <f t="shared" si="9"/>
        <v>419.79599999999999</v>
      </c>
      <c r="N85" s="27">
        <f t="shared" si="9"/>
        <v>454.24079999999992</v>
      </c>
      <c r="O85" s="27">
        <f t="shared" si="9"/>
        <v>492.99119999999994</v>
      </c>
      <c r="P85" s="30">
        <f t="shared" si="9"/>
        <v>531.74159999999995</v>
      </c>
      <c r="Q85" s="26">
        <f t="shared" si="9"/>
        <v>291.9735</v>
      </c>
      <c r="R85" s="27">
        <f t="shared" si="9"/>
        <v>432.7127999999999</v>
      </c>
      <c r="S85" s="27">
        <f t="shared" si="9"/>
        <v>467.15759999999983</v>
      </c>
      <c r="T85" s="27">
        <f t="shared" si="9"/>
        <v>508.06079999999992</v>
      </c>
      <c r="U85" s="28">
        <f t="shared" si="9"/>
        <v>548.96399999999994</v>
      </c>
    </row>
    <row r="86" spans="1:21" ht="26.25" thickBot="1">
      <c r="A86" s="25" t="s">
        <v>204</v>
      </c>
      <c r="B86" s="26">
        <f t="shared" si="9"/>
        <v>278.51849999999996</v>
      </c>
      <c r="C86" s="27">
        <f t="shared" si="9"/>
        <v>411.1848</v>
      </c>
      <c r="D86" s="27">
        <f t="shared" si="9"/>
        <v>445.62959999999993</v>
      </c>
      <c r="E86" s="27">
        <f t="shared" si="9"/>
        <v>484.38</v>
      </c>
      <c r="F86" s="28">
        <f t="shared" si="9"/>
        <v>520.97759999999982</v>
      </c>
      <c r="G86" s="26">
        <f t="shared" si="9"/>
        <v>291.9735</v>
      </c>
      <c r="H86" s="27">
        <f t="shared" si="9"/>
        <v>432.7127999999999</v>
      </c>
      <c r="I86" s="27">
        <f t="shared" si="9"/>
        <v>467.15759999999983</v>
      </c>
      <c r="J86" s="27">
        <f t="shared" si="9"/>
        <v>501.60239999999993</v>
      </c>
      <c r="K86" s="28">
        <f t="shared" si="9"/>
        <v>540.35279999999989</v>
      </c>
      <c r="L86" s="29">
        <f t="shared" si="9"/>
        <v>309.46499999999997</v>
      </c>
      <c r="M86" s="27">
        <f t="shared" si="9"/>
        <v>460.69919999999996</v>
      </c>
      <c r="N86" s="27">
        <f t="shared" si="9"/>
        <v>495.14400000000001</v>
      </c>
      <c r="O86" s="27">
        <f t="shared" si="9"/>
        <v>536.04719999999998</v>
      </c>
      <c r="P86" s="30">
        <f t="shared" si="9"/>
        <v>574.79759999999987</v>
      </c>
      <c r="Q86" s="26">
        <f t="shared" si="9"/>
        <v>322.91999999999996</v>
      </c>
      <c r="R86" s="27">
        <f t="shared" si="9"/>
        <v>482.22719999999998</v>
      </c>
      <c r="S86" s="27">
        <f t="shared" si="9"/>
        <v>516.67200000000003</v>
      </c>
      <c r="T86" s="27">
        <f t="shared" si="9"/>
        <v>553.26959999999997</v>
      </c>
      <c r="U86" s="28">
        <f t="shared" si="9"/>
        <v>594.17279999999994</v>
      </c>
    </row>
    <row r="87" spans="1:21" ht="26.25" thickBot="1">
      <c r="A87" s="25" t="s">
        <v>205</v>
      </c>
      <c r="B87" s="26">
        <f t="shared" si="9"/>
        <v>306.77399999999994</v>
      </c>
      <c r="C87" s="27">
        <f t="shared" si="9"/>
        <v>456.39359999999988</v>
      </c>
      <c r="D87" s="27">
        <f t="shared" si="9"/>
        <v>490.83839999999998</v>
      </c>
      <c r="E87" s="27">
        <f t="shared" si="9"/>
        <v>531.74159999999995</v>
      </c>
      <c r="F87" s="28">
        <f t="shared" si="9"/>
        <v>570.49199999999996</v>
      </c>
      <c r="G87" s="26">
        <f t="shared" si="9"/>
        <v>318.88349999999997</v>
      </c>
      <c r="H87" s="27">
        <f t="shared" si="9"/>
        <v>475.76879999999994</v>
      </c>
      <c r="I87" s="27">
        <f t="shared" si="9"/>
        <v>510.21359999999993</v>
      </c>
      <c r="J87" s="27">
        <f t="shared" si="9"/>
        <v>551.1167999999999</v>
      </c>
      <c r="K87" s="28">
        <f t="shared" si="9"/>
        <v>594.17279999999994</v>
      </c>
      <c r="L87" s="29">
        <f t="shared" si="9"/>
        <v>341.75700000000001</v>
      </c>
      <c r="M87" s="27">
        <f t="shared" si="9"/>
        <v>512.36639999999989</v>
      </c>
      <c r="N87" s="27">
        <f t="shared" si="9"/>
        <v>546.81119999999999</v>
      </c>
      <c r="O87" s="27">
        <f t="shared" si="9"/>
        <v>589.86720000000003</v>
      </c>
      <c r="P87" s="30">
        <f t="shared" si="9"/>
        <v>632.92320000000007</v>
      </c>
      <c r="Q87" s="26">
        <f t="shared" si="9"/>
        <v>353.86649999999992</v>
      </c>
      <c r="R87" s="27">
        <f t="shared" si="9"/>
        <v>531.74159999999995</v>
      </c>
      <c r="S87" s="27">
        <f t="shared" si="9"/>
        <v>566.18639999999994</v>
      </c>
      <c r="T87" s="27">
        <f t="shared" si="9"/>
        <v>609.24239999999986</v>
      </c>
      <c r="U87" s="28">
        <f t="shared" si="9"/>
        <v>656.60399999999993</v>
      </c>
    </row>
    <row r="88" spans="1:21" ht="26.25" thickBot="1">
      <c r="A88" s="25" t="s">
        <v>206</v>
      </c>
      <c r="B88" s="26">
        <f t="shared" si="9"/>
        <v>328.30199999999996</v>
      </c>
      <c r="C88" s="27">
        <f t="shared" si="9"/>
        <v>490.83839999999987</v>
      </c>
      <c r="D88" s="27">
        <f t="shared" si="9"/>
        <v>525.28319999999997</v>
      </c>
      <c r="E88" s="27">
        <f t="shared" si="9"/>
        <v>566.18639999999994</v>
      </c>
      <c r="F88" s="28">
        <f t="shared" si="9"/>
        <v>604.93679999999995</v>
      </c>
      <c r="G88" s="26">
        <f t="shared" si="9"/>
        <v>340.41149999999999</v>
      </c>
      <c r="H88" s="27">
        <f t="shared" si="9"/>
        <v>510.21359999999993</v>
      </c>
      <c r="I88" s="27">
        <f t="shared" si="9"/>
        <v>544.65839999999992</v>
      </c>
      <c r="J88" s="27">
        <f t="shared" si="9"/>
        <v>585.56159999999988</v>
      </c>
      <c r="K88" s="28">
        <f t="shared" si="9"/>
        <v>628.61759999999992</v>
      </c>
      <c r="L88" s="29">
        <f t="shared" si="9"/>
        <v>363.28499999999991</v>
      </c>
      <c r="M88" s="27">
        <f t="shared" si="9"/>
        <v>546.81119999999999</v>
      </c>
      <c r="N88" s="27">
        <f t="shared" si="9"/>
        <v>581.25599999999997</v>
      </c>
      <c r="O88" s="27">
        <f t="shared" si="9"/>
        <v>624.31200000000001</v>
      </c>
      <c r="P88" s="30">
        <f t="shared" si="9"/>
        <v>667.36799999999994</v>
      </c>
      <c r="Q88" s="26">
        <f t="shared" si="9"/>
        <v>375.39449999999999</v>
      </c>
      <c r="R88" s="27">
        <f t="shared" si="9"/>
        <v>566.18639999999994</v>
      </c>
      <c r="S88" s="27">
        <f t="shared" si="9"/>
        <v>600.63120000000004</v>
      </c>
      <c r="T88" s="27">
        <f t="shared" si="9"/>
        <v>643.68720000000008</v>
      </c>
      <c r="U88" s="28">
        <f t="shared" si="9"/>
        <v>691.04880000000003</v>
      </c>
    </row>
    <row r="89" spans="1:21" ht="26.25" thickBot="1">
      <c r="A89" s="25" t="s">
        <v>207</v>
      </c>
      <c r="B89" s="26">
        <f t="shared" si="9"/>
        <v>364.18200000000002</v>
      </c>
      <c r="C89" s="27">
        <f t="shared" si="9"/>
        <v>526.71839999999986</v>
      </c>
      <c r="D89" s="27">
        <f t="shared" si="9"/>
        <v>561.16319999999996</v>
      </c>
      <c r="E89" s="27">
        <f t="shared" si="9"/>
        <v>602.06639999999993</v>
      </c>
      <c r="F89" s="28">
        <f t="shared" si="9"/>
        <v>640.81679999999994</v>
      </c>
      <c r="G89" s="26">
        <f t="shared" si="9"/>
        <v>376.29149999999993</v>
      </c>
      <c r="H89" s="27">
        <f t="shared" si="9"/>
        <v>546.09359999999992</v>
      </c>
      <c r="I89" s="27">
        <f t="shared" si="9"/>
        <v>580.53839999999991</v>
      </c>
      <c r="J89" s="27">
        <f t="shared" si="9"/>
        <v>621.44159999999988</v>
      </c>
      <c r="K89" s="28">
        <f t="shared" si="9"/>
        <v>664.49759999999992</v>
      </c>
      <c r="L89" s="29">
        <f t="shared" si="9"/>
        <v>399.16499999999996</v>
      </c>
      <c r="M89" s="27">
        <f t="shared" si="9"/>
        <v>582.69119999999998</v>
      </c>
      <c r="N89" s="27">
        <f t="shared" si="9"/>
        <v>617.13599999999997</v>
      </c>
      <c r="O89" s="27">
        <f t="shared" si="9"/>
        <v>660.19199999999989</v>
      </c>
      <c r="P89" s="30">
        <f t="shared" si="9"/>
        <v>703.24799999999993</v>
      </c>
      <c r="Q89" s="26">
        <f t="shared" si="9"/>
        <v>411.27449999999999</v>
      </c>
      <c r="R89" s="27">
        <f t="shared" si="9"/>
        <v>602.06639999999993</v>
      </c>
      <c r="S89" s="27">
        <f t="shared" si="9"/>
        <v>636.51120000000003</v>
      </c>
      <c r="T89" s="27">
        <f t="shared" si="9"/>
        <v>679.56720000000007</v>
      </c>
      <c r="U89" s="28">
        <f t="shared" si="9"/>
        <v>726.92880000000002</v>
      </c>
    </row>
    <row r="91" spans="1:21" ht="15.75" customHeight="1" thickBot="1">
      <c r="A91" s="533" t="s">
        <v>217</v>
      </c>
      <c r="B91" s="534"/>
      <c r="C91" s="534"/>
      <c r="D91" s="534"/>
      <c r="E91" s="534"/>
      <c r="F91" s="534"/>
      <c r="G91" s="534"/>
      <c r="H91" s="534"/>
      <c r="I91" s="534"/>
      <c r="J91" s="534"/>
      <c r="K91" s="534"/>
      <c r="L91" s="534"/>
      <c r="M91" s="534"/>
      <c r="N91" s="534"/>
      <c r="O91" s="534"/>
      <c r="P91" s="534"/>
      <c r="Q91" s="534"/>
      <c r="R91" s="534"/>
      <c r="S91" s="534"/>
      <c r="T91" s="534"/>
      <c r="U91" s="534"/>
    </row>
    <row r="92" spans="1:21" ht="13.5" thickBot="1">
      <c r="A92" s="20" t="s">
        <v>0</v>
      </c>
      <c r="B92" s="529" t="s">
        <v>194</v>
      </c>
      <c r="C92" s="530"/>
      <c r="D92" s="530"/>
      <c r="E92" s="530"/>
      <c r="F92" s="531"/>
      <c r="G92" s="532" t="s">
        <v>195</v>
      </c>
      <c r="H92" s="530"/>
      <c r="I92" s="530"/>
      <c r="J92" s="530"/>
      <c r="K92" s="531"/>
      <c r="L92" s="532" t="s">
        <v>196</v>
      </c>
      <c r="M92" s="530"/>
      <c r="N92" s="530"/>
      <c r="O92" s="530"/>
      <c r="P92" s="531"/>
      <c r="Q92" s="532" t="s">
        <v>197</v>
      </c>
      <c r="R92" s="530"/>
      <c r="S92" s="530"/>
      <c r="T92" s="530"/>
      <c r="U92" s="531"/>
    </row>
    <row r="93" spans="1:21" ht="13.5" thickBot="1">
      <c r="A93" s="21"/>
      <c r="B93" s="22" t="s">
        <v>198</v>
      </c>
      <c r="C93" s="22" t="s">
        <v>199</v>
      </c>
      <c r="D93" s="22" t="s">
        <v>200</v>
      </c>
      <c r="E93" s="22" t="s">
        <v>201</v>
      </c>
      <c r="F93" s="23" t="s">
        <v>202</v>
      </c>
      <c r="G93" s="22" t="s">
        <v>198</v>
      </c>
      <c r="H93" s="22" t="s">
        <v>199</v>
      </c>
      <c r="I93" s="22" t="s">
        <v>200</v>
      </c>
      <c r="J93" s="22" t="s">
        <v>201</v>
      </c>
      <c r="K93" s="22" t="s">
        <v>202</v>
      </c>
      <c r="L93" s="24" t="s">
        <v>198</v>
      </c>
      <c r="M93" s="22" t="s">
        <v>199</v>
      </c>
      <c r="N93" s="22" t="s">
        <v>200</v>
      </c>
      <c r="O93" s="22" t="s">
        <v>201</v>
      </c>
      <c r="P93" s="22" t="s">
        <v>202</v>
      </c>
      <c r="Q93" s="22" t="s">
        <v>198</v>
      </c>
      <c r="R93" s="22" t="s">
        <v>199</v>
      </c>
      <c r="S93" s="22" t="s">
        <v>200</v>
      </c>
      <c r="T93" s="22" t="s">
        <v>201</v>
      </c>
      <c r="U93" s="22" t="s">
        <v>202</v>
      </c>
    </row>
    <row r="94" spans="1:21" ht="26.25" thickBot="1">
      <c r="A94" s="25" t="s">
        <v>203</v>
      </c>
      <c r="B94" s="26">
        <f t="shared" ref="B94:U98" si="10">B76*1.2</f>
        <v>297.08639999999997</v>
      </c>
      <c r="C94" s="27">
        <f t="shared" si="10"/>
        <v>435.72671999999989</v>
      </c>
      <c r="D94" s="27">
        <f t="shared" si="10"/>
        <v>475.33823999999993</v>
      </c>
      <c r="E94" s="27">
        <f t="shared" si="10"/>
        <v>514.94975999999986</v>
      </c>
      <c r="F94" s="28">
        <f t="shared" si="10"/>
        <v>554.5612799999999</v>
      </c>
      <c r="G94" s="26">
        <f t="shared" si="10"/>
        <v>306.37034999999992</v>
      </c>
      <c r="H94" s="27">
        <f t="shared" si="10"/>
        <v>450.58103999999992</v>
      </c>
      <c r="I94" s="27">
        <f t="shared" si="10"/>
        <v>490.19255999999984</v>
      </c>
      <c r="J94" s="27">
        <f t="shared" si="10"/>
        <v>532.27979999999991</v>
      </c>
      <c r="K94" s="28">
        <f t="shared" si="10"/>
        <v>574.36703999999986</v>
      </c>
      <c r="L94" s="29">
        <f t="shared" si="10"/>
        <v>326.48557499999998</v>
      </c>
      <c r="M94" s="27">
        <f t="shared" si="10"/>
        <v>482.76539999999994</v>
      </c>
      <c r="N94" s="27">
        <f t="shared" si="10"/>
        <v>522.37691999999981</v>
      </c>
      <c r="O94" s="27">
        <f t="shared" si="10"/>
        <v>566.9398799999999</v>
      </c>
      <c r="P94" s="30">
        <f t="shared" si="10"/>
        <v>611.50283999999988</v>
      </c>
      <c r="Q94" s="26">
        <f t="shared" si="10"/>
        <v>335.76952499999999</v>
      </c>
      <c r="R94" s="27">
        <f t="shared" si="10"/>
        <v>497.61971999999986</v>
      </c>
      <c r="S94" s="27">
        <f t="shared" si="10"/>
        <v>537.23123999999973</v>
      </c>
      <c r="T94" s="27">
        <f t="shared" si="10"/>
        <v>584.26991999999984</v>
      </c>
      <c r="U94" s="28">
        <f t="shared" si="10"/>
        <v>631.30859999999984</v>
      </c>
    </row>
    <row r="95" spans="1:21" ht="26.25" thickBot="1">
      <c r="A95" s="25" t="s">
        <v>204</v>
      </c>
      <c r="B95" s="26">
        <f t="shared" si="10"/>
        <v>320.29627499999992</v>
      </c>
      <c r="C95" s="27">
        <f t="shared" si="10"/>
        <v>472.8625199999999</v>
      </c>
      <c r="D95" s="27">
        <f t="shared" si="10"/>
        <v>512.47403999999983</v>
      </c>
      <c r="E95" s="27">
        <f t="shared" si="10"/>
        <v>557.03699999999992</v>
      </c>
      <c r="F95" s="28">
        <f t="shared" si="10"/>
        <v>599.12423999999987</v>
      </c>
      <c r="G95" s="26">
        <f t="shared" si="10"/>
        <v>335.76952499999999</v>
      </c>
      <c r="H95" s="27">
        <f t="shared" si="10"/>
        <v>497.61971999999986</v>
      </c>
      <c r="I95" s="27">
        <f t="shared" si="10"/>
        <v>537.23123999999973</v>
      </c>
      <c r="J95" s="27">
        <f t="shared" si="10"/>
        <v>576.84275999999988</v>
      </c>
      <c r="K95" s="28">
        <f t="shared" si="10"/>
        <v>621.40571999999975</v>
      </c>
      <c r="L95" s="29">
        <f t="shared" si="10"/>
        <v>355.88474999999994</v>
      </c>
      <c r="M95" s="27">
        <f t="shared" si="10"/>
        <v>529.80407999999989</v>
      </c>
      <c r="N95" s="27">
        <f t="shared" si="10"/>
        <v>569.41559999999993</v>
      </c>
      <c r="O95" s="27">
        <f t="shared" si="10"/>
        <v>616.45428000000004</v>
      </c>
      <c r="P95" s="30">
        <f t="shared" si="10"/>
        <v>661.0172399999999</v>
      </c>
      <c r="Q95" s="26">
        <f t="shared" si="10"/>
        <v>371.35799999999989</v>
      </c>
      <c r="R95" s="27">
        <f t="shared" si="10"/>
        <v>554.5612799999999</v>
      </c>
      <c r="S95" s="27">
        <f t="shared" si="10"/>
        <v>594.17279999999994</v>
      </c>
      <c r="T95" s="27">
        <f t="shared" si="10"/>
        <v>636.26003999999989</v>
      </c>
      <c r="U95" s="28">
        <f t="shared" si="10"/>
        <v>683.29871999999989</v>
      </c>
    </row>
    <row r="96" spans="1:21" ht="26.25" thickBot="1">
      <c r="A96" s="25" t="s">
        <v>205</v>
      </c>
      <c r="B96" s="26">
        <f t="shared" si="10"/>
        <v>352.79009999999994</v>
      </c>
      <c r="C96" s="27">
        <f t="shared" si="10"/>
        <v>524.85263999999984</v>
      </c>
      <c r="D96" s="27">
        <f t="shared" si="10"/>
        <v>564.46415999999988</v>
      </c>
      <c r="E96" s="27">
        <f t="shared" si="10"/>
        <v>611.50283999999988</v>
      </c>
      <c r="F96" s="28">
        <f t="shared" si="10"/>
        <v>656.06579999999997</v>
      </c>
      <c r="G96" s="26">
        <f t="shared" si="10"/>
        <v>366.71602499999995</v>
      </c>
      <c r="H96" s="27">
        <f t="shared" si="10"/>
        <v>547.13411999999994</v>
      </c>
      <c r="I96" s="27">
        <f t="shared" si="10"/>
        <v>586.74563999999987</v>
      </c>
      <c r="J96" s="27">
        <f t="shared" si="10"/>
        <v>633.78431999999987</v>
      </c>
      <c r="K96" s="28">
        <f t="shared" si="10"/>
        <v>683.29871999999989</v>
      </c>
      <c r="L96" s="29">
        <f t="shared" si="10"/>
        <v>393.02054999999996</v>
      </c>
      <c r="M96" s="27">
        <f t="shared" si="10"/>
        <v>589.22135999999978</v>
      </c>
      <c r="N96" s="27">
        <f t="shared" si="10"/>
        <v>628.83287999999993</v>
      </c>
      <c r="O96" s="27">
        <f t="shared" si="10"/>
        <v>678.34727999999996</v>
      </c>
      <c r="P96" s="30">
        <f t="shared" si="10"/>
        <v>727.86167999999986</v>
      </c>
      <c r="Q96" s="26">
        <f t="shared" si="10"/>
        <v>406.94647499999991</v>
      </c>
      <c r="R96" s="27">
        <f t="shared" si="10"/>
        <v>611.50283999999988</v>
      </c>
      <c r="S96" s="27">
        <f t="shared" si="10"/>
        <v>651.11435999999992</v>
      </c>
      <c r="T96" s="27">
        <f t="shared" si="10"/>
        <v>700.62875999999972</v>
      </c>
      <c r="U96" s="28">
        <f t="shared" si="10"/>
        <v>755.09459999999979</v>
      </c>
    </row>
    <row r="97" spans="1:21" ht="26.25" thickBot="1">
      <c r="A97" s="25" t="s">
        <v>206</v>
      </c>
      <c r="B97" s="26">
        <f t="shared" si="10"/>
        <v>377.54729999999989</v>
      </c>
      <c r="C97" s="27">
        <f t="shared" si="10"/>
        <v>564.46415999999988</v>
      </c>
      <c r="D97" s="27">
        <f t="shared" si="10"/>
        <v>604.07567999999992</v>
      </c>
      <c r="E97" s="27">
        <f t="shared" si="10"/>
        <v>651.11435999999992</v>
      </c>
      <c r="F97" s="28">
        <f t="shared" si="10"/>
        <v>695.6773199999999</v>
      </c>
      <c r="G97" s="26">
        <f t="shared" si="10"/>
        <v>391.4732249999999</v>
      </c>
      <c r="H97" s="27">
        <f t="shared" si="10"/>
        <v>586.74563999999987</v>
      </c>
      <c r="I97" s="27">
        <f t="shared" si="10"/>
        <v>626.35715999999979</v>
      </c>
      <c r="J97" s="27">
        <f t="shared" si="10"/>
        <v>673.39583999999991</v>
      </c>
      <c r="K97" s="28">
        <f t="shared" si="10"/>
        <v>722.91023999999982</v>
      </c>
      <c r="L97" s="29">
        <f t="shared" si="10"/>
        <v>417.77774999999991</v>
      </c>
      <c r="M97" s="27">
        <f t="shared" si="10"/>
        <v>628.83287999999993</v>
      </c>
      <c r="N97" s="27">
        <f t="shared" si="10"/>
        <v>668.44439999999986</v>
      </c>
      <c r="O97" s="27">
        <f t="shared" si="10"/>
        <v>717.9588</v>
      </c>
      <c r="P97" s="30">
        <f t="shared" si="10"/>
        <v>767.47319999999991</v>
      </c>
      <c r="Q97" s="26">
        <f t="shared" si="10"/>
        <v>431.70367499999998</v>
      </c>
      <c r="R97" s="27">
        <f t="shared" si="10"/>
        <v>651.11435999999992</v>
      </c>
      <c r="S97" s="27">
        <f t="shared" si="10"/>
        <v>690.72587999999985</v>
      </c>
      <c r="T97" s="27">
        <f t="shared" si="10"/>
        <v>740.24027999999998</v>
      </c>
      <c r="U97" s="28">
        <f t="shared" si="10"/>
        <v>794.70611999999994</v>
      </c>
    </row>
    <row r="98" spans="1:21" ht="26.25" thickBot="1">
      <c r="A98" s="25" t="s">
        <v>207</v>
      </c>
      <c r="B98" s="26">
        <f t="shared" si="10"/>
        <v>418.80929999999995</v>
      </c>
      <c r="C98" s="27">
        <f t="shared" si="10"/>
        <v>605.72615999999982</v>
      </c>
      <c r="D98" s="27">
        <f t="shared" si="10"/>
        <v>645.33767999999998</v>
      </c>
      <c r="E98" s="27">
        <f t="shared" si="10"/>
        <v>692.37635999999975</v>
      </c>
      <c r="F98" s="28">
        <f t="shared" si="10"/>
        <v>736.93931999999995</v>
      </c>
      <c r="G98" s="26">
        <f t="shared" si="10"/>
        <v>432.7352249999999</v>
      </c>
      <c r="H98" s="27">
        <f t="shared" si="10"/>
        <v>628.00763999999981</v>
      </c>
      <c r="I98" s="27">
        <f t="shared" si="10"/>
        <v>667.61915999999985</v>
      </c>
      <c r="J98" s="27">
        <f t="shared" si="10"/>
        <v>714.65783999999974</v>
      </c>
      <c r="K98" s="28">
        <f t="shared" si="10"/>
        <v>764.17223999999987</v>
      </c>
      <c r="L98" s="29">
        <f t="shared" si="10"/>
        <v>459.03974999999997</v>
      </c>
      <c r="M98" s="27">
        <f t="shared" si="10"/>
        <v>670.09487999999988</v>
      </c>
      <c r="N98" s="27">
        <f t="shared" si="10"/>
        <v>709.70639999999992</v>
      </c>
      <c r="O98" s="27">
        <f t="shared" si="10"/>
        <v>759.22079999999994</v>
      </c>
      <c r="P98" s="30">
        <f t="shared" si="10"/>
        <v>808.73519999999985</v>
      </c>
      <c r="Q98" s="26">
        <f t="shared" si="10"/>
        <v>472.96567499999992</v>
      </c>
      <c r="R98" s="27">
        <f t="shared" si="10"/>
        <v>692.37635999999975</v>
      </c>
      <c r="S98" s="27">
        <f t="shared" si="10"/>
        <v>731.98788000000002</v>
      </c>
      <c r="T98" s="27">
        <f t="shared" si="10"/>
        <v>781.50227999999993</v>
      </c>
      <c r="U98" s="28">
        <f t="shared" si="10"/>
        <v>835.96811999999989</v>
      </c>
    </row>
    <row r="100" spans="1:21" ht="15.75" customHeight="1" thickBot="1">
      <c r="A100" s="533" t="s">
        <v>218</v>
      </c>
      <c r="B100" s="534"/>
      <c r="C100" s="534"/>
      <c r="D100" s="534"/>
      <c r="E100" s="534"/>
      <c r="F100" s="534"/>
      <c r="G100" s="534"/>
      <c r="H100" s="534"/>
      <c r="I100" s="534"/>
      <c r="J100" s="534"/>
      <c r="K100" s="534"/>
      <c r="L100" s="534"/>
      <c r="M100" s="534"/>
      <c r="N100" s="534"/>
      <c r="O100" s="534"/>
      <c r="P100" s="534"/>
      <c r="Q100" s="534"/>
      <c r="R100" s="534"/>
      <c r="S100" s="534"/>
      <c r="T100" s="534"/>
      <c r="U100" s="534"/>
    </row>
    <row r="101" spans="1:21" ht="13.5" thickBot="1">
      <c r="A101" s="20" t="s">
        <v>0</v>
      </c>
      <c r="B101" s="529" t="s">
        <v>194</v>
      </c>
      <c r="C101" s="530"/>
      <c r="D101" s="530"/>
      <c r="E101" s="530"/>
      <c r="F101" s="531"/>
      <c r="G101" s="532" t="s">
        <v>195</v>
      </c>
      <c r="H101" s="530"/>
      <c r="I101" s="530"/>
      <c r="J101" s="530"/>
      <c r="K101" s="531"/>
      <c r="L101" s="532" t="s">
        <v>196</v>
      </c>
      <c r="M101" s="530"/>
      <c r="N101" s="530"/>
      <c r="O101" s="530"/>
      <c r="P101" s="531"/>
      <c r="Q101" s="532" t="s">
        <v>197</v>
      </c>
      <c r="R101" s="530"/>
      <c r="S101" s="530"/>
      <c r="T101" s="530"/>
      <c r="U101" s="531"/>
    </row>
    <row r="102" spans="1:21" ht="13.5" thickBot="1">
      <c r="A102" s="21"/>
      <c r="B102" s="22" t="s">
        <v>198</v>
      </c>
      <c r="C102" s="22" t="s">
        <v>199</v>
      </c>
      <c r="D102" s="22" t="s">
        <v>200</v>
      </c>
      <c r="E102" s="22" t="s">
        <v>201</v>
      </c>
      <c r="F102" s="23" t="s">
        <v>202</v>
      </c>
      <c r="G102" s="22" t="s">
        <v>198</v>
      </c>
      <c r="H102" s="22" t="s">
        <v>199</v>
      </c>
      <c r="I102" s="22" t="s">
        <v>200</v>
      </c>
      <c r="J102" s="22" t="s">
        <v>201</v>
      </c>
      <c r="K102" s="22" t="s">
        <v>202</v>
      </c>
      <c r="L102" s="24" t="s">
        <v>198</v>
      </c>
      <c r="M102" s="22" t="s">
        <v>199</v>
      </c>
      <c r="N102" s="22" t="s">
        <v>200</v>
      </c>
      <c r="O102" s="22" t="s">
        <v>201</v>
      </c>
      <c r="P102" s="22" t="s">
        <v>202</v>
      </c>
      <c r="Q102" s="22" t="s">
        <v>198</v>
      </c>
      <c r="R102" s="22" t="s">
        <v>199</v>
      </c>
      <c r="S102" s="22" t="s">
        <v>200</v>
      </c>
      <c r="T102" s="22" t="s">
        <v>201</v>
      </c>
      <c r="U102" s="22" t="s">
        <v>202</v>
      </c>
    </row>
    <row r="103" spans="1:21" ht="26.25" thickBot="1">
      <c r="A103" s="25" t="s">
        <v>203</v>
      </c>
      <c r="B103" s="26">
        <v>215.28</v>
      </c>
      <c r="C103" s="27">
        <v>315.74399999999997</v>
      </c>
      <c r="D103" s="27">
        <v>344.44799999999998</v>
      </c>
      <c r="E103" s="27">
        <v>373.15199999999999</v>
      </c>
      <c r="F103" s="28">
        <v>401.85599999999999</v>
      </c>
      <c r="G103" s="26">
        <v>222.00749999999996</v>
      </c>
      <c r="H103" s="27">
        <v>326.50799999999998</v>
      </c>
      <c r="I103" s="27">
        <v>355.21199999999993</v>
      </c>
      <c r="J103" s="27">
        <v>385.71</v>
      </c>
      <c r="K103" s="28">
        <v>416.20799999999997</v>
      </c>
      <c r="L103" s="29">
        <v>236.58374999999998</v>
      </c>
      <c r="M103" s="27">
        <v>349.83</v>
      </c>
      <c r="N103" s="27">
        <v>378.53399999999993</v>
      </c>
      <c r="O103" s="27">
        <v>410.82599999999996</v>
      </c>
      <c r="P103" s="30">
        <v>443.11799999999994</v>
      </c>
      <c r="Q103" s="26">
        <v>243.31125</v>
      </c>
      <c r="R103" s="27">
        <v>360.59399999999994</v>
      </c>
      <c r="S103" s="27">
        <v>389.29799999999989</v>
      </c>
      <c r="T103" s="27">
        <v>423.38399999999996</v>
      </c>
      <c r="U103" s="28">
        <v>457.46999999999997</v>
      </c>
    </row>
    <row r="104" spans="1:21" ht="26.25" thickBot="1">
      <c r="A104" s="25" t="s">
        <v>204</v>
      </c>
      <c r="B104" s="26">
        <v>232.09875</v>
      </c>
      <c r="C104" s="27">
        <v>342.654</v>
      </c>
      <c r="D104" s="27">
        <v>371.35799999999995</v>
      </c>
      <c r="E104" s="27">
        <v>403.65000000000003</v>
      </c>
      <c r="F104" s="28">
        <v>434.14799999999991</v>
      </c>
      <c r="G104" s="26">
        <v>243.31125</v>
      </c>
      <c r="H104" s="27">
        <v>360.59399999999994</v>
      </c>
      <c r="I104" s="27">
        <v>389.29799999999989</v>
      </c>
      <c r="J104" s="27">
        <v>418.00199999999995</v>
      </c>
      <c r="K104" s="28">
        <v>450.29399999999993</v>
      </c>
      <c r="L104" s="29">
        <v>257.88749999999999</v>
      </c>
      <c r="M104" s="27">
        <v>383.916</v>
      </c>
      <c r="N104" s="27">
        <v>412.62</v>
      </c>
      <c r="O104" s="27">
        <v>446.70600000000002</v>
      </c>
      <c r="P104" s="30">
        <v>478.99799999999993</v>
      </c>
      <c r="Q104" s="26">
        <v>269.09999999999997</v>
      </c>
      <c r="R104" s="27">
        <v>401.85599999999999</v>
      </c>
      <c r="S104" s="27">
        <v>430.56</v>
      </c>
      <c r="T104" s="27">
        <v>461.05799999999999</v>
      </c>
      <c r="U104" s="28">
        <v>495.14399999999995</v>
      </c>
    </row>
    <row r="105" spans="1:21" ht="26.25" thickBot="1">
      <c r="A105" s="25" t="s">
        <v>205</v>
      </c>
      <c r="B105" s="26">
        <v>255.64500000000001</v>
      </c>
      <c r="C105" s="27">
        <v>380.32799999999997</v>
      </c>
      <c r="D105" s="27">
        <v>409.03199999999998</v>
      </c>
      <c r="E105" s="27">
        <v>443.11799999999999</v>
      </c>
      <c r="F105" s="28">
        <v>475.41</v>
      </c>
      <c r="G105" s="26">
        <v>265.73624999999998</v>
      </c>
      <c r="H105" s="27">
        <v>396.47399999999999</v>
      </c>
      <c r="I105" s="27">
        <v>425.17799999999994</v>
      </c>
      <c r="J105" s="27">
        <v>459.26399999999995</v>
      </c>
      <c r="K105" s="28">
        <v>495.14399999999995</v>
      </c>
      <c r="L105" s="29">
        <v>284.79750000000001</v>
      </c>
      <c r="M105" s="27">
        <v>426.97199999999992</v>
      </c>
      <c r="N105" s="27">
        <v>455.67599999999999</v>
      </c>
      <c r="O105" s="27">
        <v>491.55600000000004</v>
      </c>
      <c r="P105" s="30">
        <v>527.43600000000004</v>
      </c>
      <c r="Q105" s="26">
        <v>294.88874999999996</v>
      </c>
      <c r="R105" s="27">
        <v>443.11799999999994</v>
      </c>
      <c r="S105" s="27">
        <v>471.82199999999995</v>
      </c>
      <c r="T105" s="27">
        <v>507.70199999999988</v>
      </c>
      <c r="U105" s="28">
        <v>547.16999999999996</v>
      </c>
    </row>
    <row r="106" spans="1:21" ht="26.25" thickBot="1">
      <c r="A106" s="25" t="s">
        <v>206</v>
      </c>
      <c r="B106" s="26">
        <v>273.58499999999998</v>
      </c>
      <c r="C106" s="27">
        <v>409.03199999999998</v>
      </c>
      <c r="D106" s="27">
        <v>437.73599999999999</v>
      </c>
      <c r="E106" s="27">
        <v>471.82199999999995</v>
      </c>
      <c r="F106" s="28">
        <v>504.11399999999998</v>
      </c>
      <c r="G106" s="26">
        <v>283.67624999999998</v>
      </c>
      <c r="H106" s="27">
        <v>425.17799999999994</v>
      </c>
      <c r="I106" s="27">
        <v>453.88199999999995</v>
      </c>
      <c r="J106" s="27">
        <v>487.96799999999996</v>
      </c>
      <c r="K106" s="28">
        <v>523.84799999999996</v>
      </c>
      <c r="L106" s="29">
        <v>302.73749999999995</v>
      </c>
      <c r="M106" s="27">
        <v>455.67599999999999</v>
      </c>
      <c r="N106" s="27">
        <v>484.38</v>
      </c>
      <c r="O106" s="27">
        <v>520.26</v>
      </c>
      <c r="P106" s="30">
        <v>556.14</v>
      </c>
      <c r="Q106" s="26">
        <v>312.82875000000001</v>
      </c>
      <c r="R106" s="27">
        <v>471.82199999999995</v>
      </c>
      <c r="S106" s="27">
        <v>500.52600000000001</v>
      </c>
      <c r="T106" s="27">
        <v>536.40600000000006</v>
      </c>
      <c r="U106" s="28">
        <v>575.87400000000002</v>
      </c>
    </row>
    <row r="107" spans="1:21" ht="26.25" thickBot="1">
      <c r="A107" s="25" t="s">
        <v>207</v>
      </c>
      <c r="B107" s="26">
        <f>B106+25</f>
        <v>298.58499999999998</v>
      </c>
      <c r="C107" s="27">
        <f t="shared" ref="C107:U107" si="11">C106+25</f>
        <v>434.03199999999998</v>
      </c>
      <c r="D107" s="27">
        <f t="shared" si="11"/>
        <v>462.73599999999999</v>
      </c>
      <c r="E107" s="27">
        <f t="shared" si="11"/>
        <v>496.82199999999995</v>
      </c>
      <c r="F107" s="28">
        <f t="shared" si="11"/>
        <v>529.11400000000003</v>
      </c>
      <c r="G107" s="26">
        <f t="shared" si="11"/>
        <v>308.67624999999998</v>
      </c>
      <c r="H107" s="27">
        <f t="shared" si="11"/>
        <v>450.17799999999994</v>
      </c>
      <c r="I107" s="27">
        <f t="shared" si="11"/>
        <v>478.88199999999995</v>
      </c>
      <c r="J107" s="27">
        <f t="shared" si="11"/>
        <v>512.96799999999996</v>
      </c>
      <c r="K107" s="28">
        <f t="shared" si="11"/>
        <v>548.84799999999996</v>
      </c>
      <c r="L107" s="29">
        <f t="shared" si="11"/>
        <v>327.73749999999995</v>
      </c>
      <c r="M107" s="27">
        <f t="shared" si="11"/>
        <v>480.67599999999999</v>
      </c>
      <c r="N107" s="27">
        <f t="shared" si="11"/>
        <v>509.38</v>
      </c>
      <c r="O107" s="27">
        <f t="shared" si="11"/>
        <v>545.26</v>
      </c>
      <c r="P107" s="30">
        <f t="shared" si="11"/>
        <v>581.14</v>
      </c>
      <c r="Q107" s="26">
        <f t="shared" si="11"/>
        <v>337.82875000000001</v>
      </c>
      <c r="R107" s="27">
        <f t="shared" si="11"/>
        <v>496.82199999999995</v>
      </c>
      <c r="S107" s="27">
        <f t="shared" si="11"/>
        <v>525.52600000000007</v>
      </c>
      <c r="T107" s="27">
        <f t="shared" si="11"/>
        <v>561.40600000000006</v>
      </c>
      <c r="U107" s="28">
        <f t="shared" si="11"/>
        <v>600.87400000000002</v>
      </c>
    </row>
  </sheetData>
  <mergeCells count="60">
    <mergeCell ref="B20:F20"/>
    <mergeCell ref="G20:K20"/>
    <mergeCell ref="L20:P20"/>
    <mergeCell ref="Q20:U20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9:U19"/>
    <mergeCell ref="B47:F47"/>
    <mergeCell ref="G47:K47"/>
    <mergeCell ref="L47:P47"/>
    <mergeCell ref="Q47:U47"/>
    <mergeCell ref="A28:U28"/>
    <mergeCell ref="B29:F29"/>
    <mergeCell ref="G29:K29"/>
    <mergeCell ref="L29:P29"/>
    <mergeCell ref="Q29:U29"/>
    <mergeCell ref="A37:U37"/>
    <mergeCell ref="B38:F38"/>
    <mergeCell ref="G38:K38"/>
    <mergeCell ref="L38:P38"/>
    <mergeCell ref="Q38:U38"/>
    <mergeCell ref="A46:U46"/>
    <mergeCell ref="B74:F74"/>
    <mergeCell ref="G74:K74"/>
    <mergeCell ref="L74:P74"/>
    <mergeCell ref="Q74:U74"/>
    <mergeCell ref="A55:U55"/>
    <mergeCell ref="B56:F56"/>
    <mergeCell ref="G56:K56"/>
    <mergeCell ref="L56:P56"/>
    <mergeCell ref="Q56:U56"/>
    <mergeCell ref="A64:U64"/>
    <mergeCell ref="B65:F65"/>
    <mergeCell ref="G65:K65"/>
    <mergeCell ref="L65:P65"/>
    <mergeCell ref="Q65:U65"/>
    <mergeCell ref="A73:U73"/>
    <mergeCell ref="B101:F101"/>
    <mergeCell ref="G101:K101"/>
    <mergeCell ref="L101:P101"/>
    <mergeCell ref="Q101:U101"/>
    <mergeCell ref="A82:U82"/>
    <mergeCell ref="B83:F83"/>
    <mergeCell ref="G83:K83"/>
    <mergeCell ref="L83:P83"/>
    <mergeCell ref="Q83:U83"/>
    <mergeCell ref="A91:U91"/>
    <mergeCell ref="B92:F92"/>
    <mergeCell ref="G92:K92"/>
    <mergeCell ref="L92:P92"/>
    <mergeCell ref="Q92:U92"/>
    <mergeCell ref="A100:U10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43"/>
  <sheetViews>
    <sheetView topLeftCell="B13" zoomScale="85" zoomScaleNormal="85" workbookViewId="0">
      <selection activeCell="I14" sqref="I14"/>
    </sheetView>
  </sheetViews>
  <sheetFormatPr defaultRowHeight="12.75"/>
  <cols>
    <col min="1" max="1" width="11.7109375" style="19" customWidth="1"/>
    <col min="2" max="21" width="9.140625" style="19"/>
    <col min="22" max="22" width="46.140625" style="19" bestFit="1" customWidth="1"/>
    <col min="23" max="236" width="9.140625" style="19"/>
    <col min="237" max="237" width="11.7109375" style="19" customWidth="1"/>
    <col min="238" max="492" width="9.140625" style="19"/>
    <col min="493" max="493" width="11.7109375" style="19" customWidth="1"/>
    <col min="494" max="748" width="9.140625" style="19"/>
    <col min="749" max="749" width="11.7109375" style="19" customWidth="1"/>
    <col min="750" max="1004" width="9.140625" style="19"/>
    <col min="1005" max="1005" width="11.7109375" style="19" customWidth="1"/>
    <col min="1006" max="1260" width="9.140625" style="19"/>
    <col min="1261" max="1261" width="11.7109375" style="19" customWidth="1"/>
    <col min="1262" max="1516" width="9.140625" style="19"/>
    <col min="1517" max="1517" width="11.7109375" style="19" customWidth="1"/>
    <col min="1518" max="1772" width="9.140625" style="19"/>
    <col min="1773" max="1773" width="11.7109375" style="19" customWidth="1"/>
    <col min="1774" max="2028" width="9.140625" style="19"/>
    <col min="2029" max="2029" width="11.7109375" style="19" customWidth="1"/>
    <col min="2030" max="2284" width="9.140625" style="19"/>
    <col min="2285" max="2285" width="11.7109375" style="19" customWidth="1"/>
    <col min="2286" max="2540" width="9.140625" style="19"/>
    <col min="2541" max="2541" width="11.7109375" style="19" customWidth="1"/>
    <col min="2542" max="2796" width="9.140625" style="19"/>
    <col min="2797" max="2797" width="11.7109375" style="19" customWidth="1"/>
    <col min="2798" max="3052" width="9.140625" style="19"/>
    <col min="3053" max="3053" width="11.7109375" style="19" customWidth="1"/>
    <col min="3054" max="3308" width="9.140625" style="19"/>
    <col min="3309" max="3309" width="11.7109375" style="19" customWidth="1"/>
    <col min="3310" max="3564" width="9.140625" style="19"/>
    <col min="3565" max="3565" width="11.7109375" style="19" customWidth="1"/>
    <col min="3566" max="3820" width="9.140625" style="19"/>
    <col min="3821" max="3821" width="11.7109375" style="19" customWidth="1"/>
    <col min="3822" max="4076" width="9.140625" style="19"/>
    <col min="4077" max="4077" width="11.7109375" style="19" customWidth="1"/>
    <col min="4078" max="4332" width="9.140625" style="19"/>
    <col min="4333" max="4333" width="11.7109375" style="19" customWidth="1"/>
    <col min="4334" max="4588" width="9.140625" style="19"/>
    <col min="4589" max="4589" width="11.7109375" style="19" customWidth="1"/>
    <col min="4590" max="4844" width="9.140625" style="19"/>
    <col min="4845" max="4845" width="11.7109375" style="19" customWidth="1"/>
    <col min="4846" max="5100" width="9.140625" style="19"/>
    <col min="5101" max="5101" width="11.7109375" style="19" customWidth="1"/>
    <col min="5102" max="5356" width="9.140625" style="19"/>
    <col min="5357" max="5357" width="11.7109375" style="19" customWidth="1"/>
    <col min="5358" max="5612" width="9.140625" style="19"/>
    <col min="5613" max="5613" width="11.7109375" style="19" customWidth="1"/>
    <col min="5614" max="5868" width="9.140625" style="19"/>
    <col min="5869" max="5869" width="11.7109375" style="19" customWidth="1"/>
    <col min="5870" max="6124" width="9.140625" style="19"/>
    <col min="6125" max="6125" width="11.7109375" style="19" customWidth="1"/>
    <col min="6126" max="6380" width="9.140625" style="19"/>
    <col min="6381" max="6381" width="11.7109375" style="19" customWidth="1"/>
    <col min="6382" max="6636" width="9.140625" style="19"/>
    <col min="6637" max="6637" width="11.7109375" style="19" customWidth="1"/>
    <col min="6638" max="6892" width="9.140625" style="19"/>
    <col min="6893" max="6893" width="11.7109375" style="19" customWidth="1"/>
    <col min="6894" max="7148" width="9.140625" style="19"/>
    <col min="7149" max="7149" width="11.7109375" style="19" customWidth="1"/>
    <col min="7150" max="7404" width="9.140625" style="19"/>
    <col min="7405" max="7405" width="11.7109375" style="19" customWidth="1"/>
    <col min="7406" max="7660" width="9.140625" style="19"/>
    <col min="7661" max="7661" width="11.7109375" style="19" customWidth="1"/>
    <col min="7662" max="7916" width="9.140625" style="19"/>
    <col min="7917" max="7917" width="11.7109375" style="19" customWidth="1"/>
    <col min="7918" max="8172" width="9.140625" style="19"/>
    <col min="8173" max="8173" width="11.7109375" style="19" customWidth="1"/>
    <col min="8174" max="8428" width="9.140625" style="19"/>
    <col min="8429" max="8429" width="11.7109375" style="19" customWidth="1"/>
    <col min="8430" max="8684" width="9.140625" style="19"/>
    <col min="8685" max="8685" width="11.7109375" style="19" customWidth="1"/>
    <col min="8686" max="8940" width="9.140625" style="19"/>
    <col min="8941" max="8941" width="11.7109375" style="19" customWidth="1"/>
    <col min="8942" max="9196" width="9.140625" style="19"/>
    <col min="9197" max="9197" width="11.7109375" style="19" customWidth="1"/>
    <col min="9198" max="9452" width="9.140625" style="19"/>
    <col min="9453" max="9453" width="11.7109375" style="19" customWidth="1"/>
    <col min="9454" max="9708" width="9.140625" style="19"/>
    <col min="9709" max="9709" width="11.7109375" style="19" customWidth="1"/>
    <col min="9710" max="9964" width="9.140625" style="19"/>
    <col min="9965" max="9965" width="11.7109375" style="19" customWidth="1"/>
    <col min="9966" max="10220" width="9.140625" style="19"/>
    <col min="10221" max="10221" width="11.7109375" style="19" customWidth="1"/>
    <col min="10222" max="10476" width="9.140625" style="19"/>
    <col min="10477" max="10477" width="11.7109375" style="19" customWidth="1"/>
    <col min="10478" max="10732" width="9.140625" style="19"/>
    <col min="10733" max="10733" width="11.7109375" style="19" customWidth="1"/>
    <col min="10734" max="10988" width="9.140625" style="19"/>
    <col min="10989" max="10989" width="11.7109375" style="19" customWidth="1"/>
    <col min="10990" max="11244" width="9.140625" style="19"/>
    <col min="11245" max="11245" width="11.7109375" style="19" customWidth="1"/>
    <col min="11246" max="11500" width="9.140625" style="19"/>
    <col min="11501" max="11501" width="11.7109375" style="19" customWidth="1"/>
    <col min="11502" max="11756" width="9.140625" style="19"/>
    <col min="11757" max="11757" width="11.7109375" style="19" customWidth="1"/>
    <col min="11758" max="12012" width="9.140625" style="19"/>
    <col min="12013" max="12013" width="11.7109375" style="19" customWidth="1"/>
    <col min="12014" max="12268" width="9.140625" style="19"/>
    <col min="12269" max="12269" width="11.7109375" style="19" customWidth="1"/>
    <col min="12270" max="12524" width="9.140625" style="19"/>
    <col min="12525" max="12525" width="11.7109375" style="19" customWidth="1"/>
    <col min="12526" max="12780" width="9.140625" style="19"/>
    <col min="12781" max="12781" width="11.7109375" style="19" customWidth="1"/>
    <col min="12782" max="13036" width="9.140625" style="19"/>
    <col min="13037" max="13037" width="11.7109375" style="19" customWidth="1"/>
    <col min="13038" max="13292" width="9.140625" style="19"/>
    <col min="13293" max="13293" width="11.7109375" style="19" customWidth="1"/>
    <col min="13294" max="13548" width="9.140625" style="19"/>
    <col min="13549" max="13549" width="11.7109375" style="19" customWidth="1"/>
    <col min="13550" max="13804" width="9.140625" style="19"/>
    <col min="13805" max="13805" width="11.7109375" style="19" customWidth="1"/>
    <col min="13806" max="14060" width="9.140625" style="19"/>
    <col min="14061" max="14061" width="11.7109375" style="19" customWidth="1"/>
    <col min="14062" max="14316" width="9.140625" style="19"/>
    <col min="14317" max="14317" width="11.7109375" style="19" customWidth="1"/>
    <col min="14318" max="14572" width="9.140625" style="19"/>
    <col min="14573" max="14573" width="11.7109375" style="19" customWidth="1"/>
    <col min="14574" max="14828" width="9.140625" style="19"/>
    <col min="14829" max="14829" width="11.7109375" style="19" customWidth="1"/>
    <col min="14830" max="15084" width="9.140625" style="19"/>
    <col min="15085" max="15085" width="11.7109375" style="19" customWidth="1"/>
    <col min="15086" max="15340" width="9.140625" style="19"/>
    <col min="15341" max="15341" width="11.7109375" style="19" customWidth="1"/>
    <col min="15342" max="15596" width="9.140625" style="19"/>
    <col min="15597" max="15597" width="11.7109375" style="19" customWidth="1"/>
    <col min="15598" max="15852" width="9.140625" style="19"/>
    <col min="15853" max="15853" width="11.7109375" style="19" customWidth="1"/>
    <col min="15854" max="16108" width="9.140625" style="19"/>
    <col min="16109" max="16109" width="11.7109375" style="19" customWidth="1"/>
    <col min="16110" max="16384" width="9.140625" style="19"/>
  </cols>
  <sheetData>
    <row r="1" spans="1:26" ht="15.75" customHeight="1" thickBot="1">
      <c r="A1" s="533" t="s">
        <v>219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5" t="s">
        <v>262</v>
      </c>
    </row>
    <row r="2" spans="1:26" ht="13.5" customHeight="1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6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6" ht="13.5" thickBot="1">
      <c r="A4" s="25" t="s">
        <v>203</v>
      </c>
      <c r="B4" s="32">
        <v>420</v>
      </c>
      <c r="C4" s="33">
        <v>440</v>
      </c>
      <c r="D4" s="33">
        <v>460</v>
      </c>
      <c r="E4" s="33">
        <v>480</v>
      </c>
      <c r="F4" s="34">
        <v>500</v>
      </c>
      <c r="G4" s="32">
        <v>440</v>
      </c>
      <c r="H4" s="33">
        <v>450</v>
      </c>
      <c r="I4" s="33">
        <v>480</v>
      </c>
      <c r="J4" s="33">
        <v>510</v>
      </c>
      <c r="K4" s="34">
        <v>340</v>
      </c>
      <c r="L4" s="35">
        <v>385</v>
      </c>
      <c r="M4" s="33">
        <v>410</v>
      </c>
      <c r="N4" s="33">
        <v>535</v>
      </c>
      <c r="O4" s="33">
        <v>560</v>
      </c>
      <c r="P4" s="36">
        <v>580</v>
      </c>
      <c r="Q4" s="32">
        <v>520</v>
      </c>
      <c r="R4" s="33">
        <v>550</v>
      </c>
      <c r="S4" s="33">
        <v>580</v>
      </c>
      <c r="T4" s="33">
        <v>610</v>
      </c>
      <c r="U4" s="34">
        <v>640</v>
      </c>
      <c r="W4" s="31"/>
      <c r="X4" s="31"/>
      <c r="Y4" s="31"/>
      <c r="Z4" s="31"/>
    </row>
    <row r="5" spans="1:26" ht="13.5" thickBot="1">
      <c r="A5" s="25" t="s">
        <v>204</v>
      </c>
      <c r="B5" s="26">
        <f>B4+20</f>
        <v>440</v>
      </c>
      <c r="C5" s="27">
        <f t="shared" ref="C5:U8" si="0">C4+20</f>
        <v>460</v>
      </c>
      <c r="D5" s="27">
        <f t="shared" si="0"/>
        <v>480</v>
      </c>
      <c r="E5" s="27">
        <f t="shared" si="0"/>
        <v>500</v>
      </c>
      <c r="F5" s="28">
        <f t="shared" si="0"/>
        <v>520</v>
      </c>
      <c r="G5" s="26">
        <f t="shared" si="0"/>
        <v>460</v>
      </c>
      <c r="H5" s="27">
        <f t="shared" si="0"/>
        <v>470</v>
      </c>
      <c r="I5" s="27">
        <f t="shared" si="0"/>
        <v>500</v>
      </c>
      <c r="J5" s="27">
        <f t="shared" si="0"/>
        <v>530</v>
      </c>
      <c r="K5" s="28">
        <f t="shared" si="0"/>
        <v>360</v>
      </c>
      <c r="L5" s="29">
        <f t="shared" si="0"/>
        <v>405</v>
      </c>
      <c r="M5" s="27">
        <f t="shared" si="0"/>
        <v>430</v>
      </c>
      <c r="N5" s="27">
        <f t="shared" si="0"/>
        <v>555</v>
      </c>
      <c r="O5" s="27">
        <f t="shared" si="0"/>
        <v>580</v>
      </c>
      <c r="P5" s="30">
        <f t="shared" si="0"/>
        <v>600</v>
      </c>
      <c r="Q5" s="26">
        <f t="shared" si="0"/>
        <v>540</v>
      </c>
      <c r="R5" s="27">
        <f t="shared" si="0"/>
        <v>570</v>
      </c>
      <c r="S5" s="27">
        <f t="shared" si="0"/>
        <v>600</v>
      </c>
      <c r="T5" s="27">
        <f t="shared" si="0"/>
        <v>630</v>
      </c>
      <c r="U5" s="28">
        <f t="shared" si="0"/>
        <v>660</v>
      </c>
    </row>
    <row r="6" spans="1:26" ht="13.5" thickBot="1">
      <c r="A6" s="25" t="s">
        <v>205</v>
      </c>
      <c r="B6" s="26">
        <f>B5+20</f>
        <v>460</v>
      </c>
      <c r="C6" s="27">
        <f t="shared" si="0"/>
        <v>480</v>
      </c>
      <c r="D6" s="27">
        <f t="shared" si="0"/>
        <v>500</v>
      </c>
      <c r="E6" s="27">
        <f t="shared" si="0"/>
        <v>520</v>
      </c>
      <c r="F6" s="28">
        <f t="shared" si="0"/>
        <v>540</v>
      </c>
      <c r="G6" s="26">
        <f t="shared" si="0"/>
        <v>480</v>
      </c>
      <c r="H6" s="27">
        <f t="shared" si="0"/>
        <v>490</v>
      </c>
      <c r="I6" s="27">
        <f t="shared" si="0"/>
        <v>520</v>
      </c>
      <c r="J6" s="27">
        <f t="shared" si="0"/>
        <v>550</v>
      </c>
      <c r="K6" s="28">
        <f t="shared" si="0"/>
        <v>380</v>
      </c>
      <c r="L6" s="29">
        <f t="shared" si="0"/>
        <v>425</v>
      </c>
      <c r="M6" s="27">
        <f t="shared" si="0"/>
        <v>450</v>
      </c>
      <c r="N6" s="27">
        <f t="shared" si="0"/>
        <v>575</v>
      </c>
      <c r="O6" s="27">
        <f t="shared" si="0"/>
        <v>600</v>
      </c>
      <c r="P6" s="30">
        <f t="shared" si="0"/>
        <v>620</v>
      </c>
      <c r="Q6" s="26">
        <f t="shared" si="0"/>
        <v>560</v>
      </c>
      <c r="R6" s="27">
        <f t="shared" si="0"/>
        <v>590</v>
      </c>
      <c r="S6" s="27">
        <f t="shared" si="0"/>
        <v>620</v>
      </c>
      <c r="T6" s="27">
        <f>T5+20</f>
        <v>650</v>
      </c>
      <c r="U6" s="28">
        <f t="shared" si="0"/>
        <v>680</v>
      </c>
    </row>
    <row r="7" spans="1:26" ht="13.5" thickBot="1">
      <c r="A7" s="25" t="s">
        <v>206</v>
      </c>
      <c r="B7" s="26">
        <f>B6+20</f>
        <v>480</v>
      </c>
      <c r="C7" s="27">
        <f t="shared" si="0"/>
        <v>500</v>
      </c>
      <c r="D7" s="27">
        <f t="shared" si="0"/>
        <v>520</v>
      </c>
      <c r="E7" s="27">
        <f t="shared" si="0"/>
        <v>540</v>
      </c>
      <c r="F7" s="28">
        <f t="shared" si="0"/>
        <v>560</v>
      </c>
      <c r="G7" s="26">
        <f t="shared" si="0"/>
        <v>500</v>
      </c>
      <c r="H7" s="27">
        <f t="shared" si="0"/>
        <v>510</v>
      </c>
      <c r="I7" s="27">
        <f t="shared" si="0"/>
        <v>540</v>
      </c>
      <c r="J7" s="27">
        <f t="shared" si="0"/>
        <v>570</v>
      </c>
      <c r="K7" s="28">
        <f t="shared" si="0"/>
        <v>400</v>
      </c>
      <c r="L7" s="29">
        <f t="shared" si="0"/>
        <v>445</v>
      </c>
      <c r="M7" s="27">
        <f t="shared" si="0"/>
        <v>470</v>
      </c>
      <c r="N7" s="27">
        <f t="shared" si="0"/>
        <v>595</v>
      </c>
      <c r="O7" s="27">
        <f t="shared" si="0"/>
        <v>620</v>
      </c>
      <c r="P7" s="30">
        <f t="shared" si="0"/>
        <v>640</v>
      </c>
      <c r="Q7" s="26">
        <f t="shared" si="0"/>
        <v>580</v>
      </c>
      <c r="R7" s="27">
        <f t="shared" si="0"/>
        <v>610</v>
      </c>
      <c r="S7" s="27">
        <f t="shared" si="0"/>
        <v>640</v>
      </c>
      <c r="T7" s="27">
        <f t="shared" si="0"/>
        <v>670</v>
      </c>
      <c r="U7" s="28">
        <f t="shared" si="0"/>
        <v>700</v>
      </c>
      <c r="V7" s="37"/>
    </row>
    <row r="8" spans="1:26" ht="13.5" thickBot="1">
      <c r="A8" s="25" t="s">
        <v>207</v>
      </c>
      <c r="B8" s="26">
        <f>B7+20</f>
        <v>500</v>
      </c>
      <c r="C8" s="27">
        <f t="shared" si="0"/>
        <v>520</v>
      </c>
      <c r="D8" s="27">
        <f t="shared" si="0"/>
        <v>540</v>
      </c>
      <c r="E8" s="27">
        <f t="shared" si="0"/>
        <v>560</v>
      </c>
      <c r="F8" s="28">
        <f t="shared" si="0"/>
        <v>580</v>
      </c>
      <c r="G8" s="26">
        <f t="shared" si="0"/>
        <v>520</v>
      </c>
      <c r="H8" s="27">
        <f t="shared" si="0"/>
        <v>530</v>
      </c>
      <c r="I8" s="27">
        <f t="shared" si="0"/>
        <v>560</v>
      </c>
      <c r="J8" s="27">
        <f t="shared" si="0"/>
        <v>590</v>
      </c>
      <c r="K8" s="28">
        <f t="shared" si="0"/>
        <v>420</v>
      </c>
      <c r="L8" s="29">
        <f t="shared" si="0"/>
        <v>465</v>
      </c>
      <c r="M8" s="27">
        <f t="shared" si="0"/>
        <v>490</v>
      </c>
      <c r="N8" s="27">
        <f t="shared" si="0"/>
        <v>615</v>
      </c>
      <c r="O8" s="27">
        <f t="shared" si="0"/>
        <v>640</v>
      </c>
      <c r="P8" s="30">
        <f t="shared" si="0"/>
        <v>660</v>
      </c>
      <c r="Q8" s="26">
        <f t="shared" si="0"/>
        <v>600</v>
      </c>
      <c r="R8" s="27">
        <f t="shared" si="0"/>
        <v>630</v>
      </c>
      <c r="S8" s="27">
        <f t="shared" si="0"/>
        <v>660</v>
      </c>
      <c r="T8" s="27">
        <f t="shared" si="0"/>
        <v>690</v>
      </c>
      <c r="U8" s="28">
        <f t="shared" si="0"/>
        <v>720</v>
      </c>
      <c r="V8" s="37">
        <f>AVERAGE(B4:U8)*0.1</f>
        <v>53.45</v>
      </c>
    </row>
    <row r="9" spans="1:26">
      <c r="A9" s="31"/>
      <c r="B9" s="26"/>
      <c r="C9" s="27"/>
      <c r="D9" s="27"/>
      <c r="E9" s="27"/>
      <c r="F9" s="28"/>
      <c r="G9" s="26"/>
      <c r="H9" s="27"/>
      <c r="I9" s="27"/>
      <c r="J9" s="27"/>
      <c r="K9" s="28"/>
      <c r="L9" s="29"/>
      <c r="M9" s="27"/>
      <c r="N9" s="27"/>
      <c r="O9" s="27"/>
      <c r="P9" s="30"/>
      <c r="Q9" s="26"/>
      <c r="R9" s="27"/>
      <c r="S9" s="27"/>
      <c r="T9" s="27"/>
      <c r="U9" s="28"/>
    </row>
    <row r="10" spans="1:26" ht="15.75" customHeight="1" thickBot="1">
      <c r="A10" s="533" t="s">
        <v>220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6" ht="13.5" customHeight="1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6" ht="13.5" thickBot="1">
      <c r="A12" s="38"/>
      <c r="B12" s="26" t="s">
        <v>198</v>
      </c>
      <c r="C12" s="27" t="s">
        <v>199</v>
      </c>
      <c r="D12" s="27" t="s">
        <v>200</v>
      </c>
      <c r="E12" s="27" t="s">
        <v>201</v>
      </c>
      <c r="F12" s="28" t="s">
        <v>202</v>
      </c>
      <c r="G12" s="26" t="s">
        <v>198</v>
      </c>
      <c r="H12" s="27" t="s">
        <v>199</v>
      </c>
      <c r="I12" s="27" t="s">
        <v>200</v>
      </c>
      <c r="J12" s="27" t="s">
        <v>201</v>
      </c>
      <c r="K12" s="28" t="s">
        <v>202</v>
      </c>
      <c r="L12" s="29" t="s">
        <v>198</v>
      </c>
      <c r="M12" s="27" t="s">
        <v>199</v>
      </c>
      <c r="N12" s="27" t="s">
        <v>200</v>
      </c>
      <c r="O12" s="27" t="s">
        <v>201</v>
      </c>
      <c r="P12" s="30" t="s">
        <v>202</v>
      </c>
      <c r="Q12" s="26" t="s">
        <v>198</v>
      </c>
      <c r="R12" s="27" t="s">
        <v>199</v>
      </c>
      <c r="S12" s="27" t="s">
        <v>200</v>
      </c>
      <c r="T12" s="27" t="s">
        <v>201</v>
      </c>
      <c r="U12" s="28" t="s">
        <v>202</v>
      </c>
    </row>
    <row r="13" spans="1:26" ht="13.5" thickBot="1">
      <c r="A13" s="25" t="s">
        <v>203</v>
      </c>
      <c r="B13" s="32">
        <v>475</v>
      </c>
      <c r="C13" s="33">
        <v>500</v>
      </c>
      <c r="D13" s="33">
        <v>525</v>
      </c>
      <c r="E13" s="33">
        <v>550</v>
      </c>
      <c r="F13" s="34">
        <v>575</v>
      </c>
      <c r="G13" s="32">
        <v>495</v>
      </c>
      <c r="H13" s="33">
        <v>525</v>
      </c>
      <c r="I13" s="33">
        <v>555</v>
      </c>
      <c r="J13" s="33">
        <v>595</v>
      </c>
      <c r="K13" s="34">
        <v>635</v>
      </c>
      <c r="L13" s="35">
        <v>540</v>
      </c>
      <c r="M13" s="33">
        <v>565</v>
      </c>
      <c r="N13" s="33">
        <v>590</v>
      </c>
      <c r="O13" s="33">
        <v>615</v>
      </c>
      <c r="P13" s="36">
        <v>640</v>
      </c>
      <c r="Q13" s="32">
        <v>600</v>
      </c>
      <c r="R13" s="33">
        <v>625</v>
      </c>
      <c r="S13" s="33">
        <v>650</v>
      </c>
      <c r="T13" s="33">
        <v>670</v>
      </c>
      <c r="U13" s="34">
        <v>690</v>
      </c>
      <c r="W13" s="31"/>
    </row>
    <row r="14" spans="1:26" ht="13.5" thickBot="1">
      <c r="A14" s="25" t="s">
        <v>204</v>
      </c>
      <c r="B14" s="26">
        <f t="shared" ref="B14:U17" si="1">B13+20</f>
        <v>495</v>
      </c>
      <c r="C14" s="27">
        <f t="shared" si="1"/>
        <v>520</v>
      </c>
      <c r="D14" s="27">
        <f t="shared" si="1"/>
        <v>545</v>
      </c>
      <c r="E14" s="27">
        <f t="shared" si="1"/>
        <v>570</v>
      </c>
      <c r="F14" s="28">
        <f t="shared" si="1"/>
        <v>595</v>
      </c>
      <c r="G14" s="26">
        <f t="shared" si="1"/>
        <v>515</v>
      </c>
      <c r="H14" s="27">
        <f t="shared" si="1"/>
        <v>545</v>
      </c>
      <c r="I14" s="27">
        <f t="shared" si="1"/>
        <v>575</v>
      </c>
      <c r="J14" s="27">
        <f t="shared" si="1"/>
        <v>615</v>
      </c>
      <c r="K14" s="28">
        <f t="shared" si="1"/>
        <v>655</v>
      </c>
      <c r="L14" s="29">
        <f t="shared" si="1"/>
        <v>560</v>
      </c>
      <c r="M14" s="27">
        <f>M13+20</f>
        <v>585</v>
      </c>
      <c r="N14" s="27">
        <f t="shared" si="1"/>
        <v>610</v>
      </c>
      <c r="O14" s="27">
        <f t="shared" si="1"/>
        <v>635</v>
      </c>
      <c r="P14" s="30">
        <f t="shared" si="1"/>
        <v>660</v>
      </c>
      <c r="Q14" s="26">
        <f t="shared" si="1"/>
        <v>620</v>
      </c>
      <c r="R14" s="27">
        <f t="shared" si="1"/>
        <v>645</v>
      </c>
      <c r="S14" s="27">
        <f t="shared" si="1"/>
        <v>670</v>
      </c>
      <c r="T14" s="27">
        <f t="shared" si="1"/>
        <v>690</v>
      </c>
      <c r="U14" s="28">
        <f t="shared" si="1"/>
        <v>710</v>
      </c>
    </row>
    <row r="15" spans="1:26" ht="13.5" thickBot="1">
      <c r="A15" s="25" t="s">
        <v>205</v>
      </c>
      <c r="B15" s="26">
        <f t="shared" si="1"/>
        <v>515</v>
      </c>
      <c r="C15" s="27">
        <f t="shared" si="1"/>
        <v>540</v>
      </c>
      <c r="D15" s="27">
        <f t="shared" si="1"/>
        <v>565</v>
      </c>
      <c r="E15" s="27">
        <f t="shared" si="1"/>
        <v>590</v>
      </c>
      <c r="F15" s="28">
        <f t="shared" si="1"/>
        <v>615</v>
      </c>
      <c r="G15" s="26">
        <f t="shared" si="1"/>
        <v>535</v>
      </c>
      <c r="H15" s="27">
        <f t="shared" si="1"/>
        <v>565</v>
      </c>
      <c r="I15" s="27">
        <f t="shared" si="1"/>
        <v>595</v>
      </c>
      <c r="J15" s="27">
        <f t="shared" si="1"/>
        <v>635</v>
      </c>
      <c r="K15" s="28">
        <f t="shared" si="1"/>
        <v>675</v>
      </c>
      <c r="L15" s="29">
        <f t="shared" si="1"/>
        <v>580</v>
      </c>
      <c r="M15" s="27">
        <f>M14+20</f>
        <v>605</v>
      </c>
      <c r="N15" s="27">
        <f t="shared" si="1"/>
        <v>630</v>
      </c>
      <c r="O15" s="27">
        <f t="shared" si="1"/>
        <v>655</v>
      </c>
      <c r="P15" s="30">
        <f t="shared" si="1"/>
        <v>680</v>
      </c>
      <c r="Q15" s="26">
        <f t="shared" si="1"/>
        <v>640</v>
      </c>
      <c r="R15" s="27">
        <f t="shared" si="1"/>
        <v>665</v>
      </c>
      <c r="S15" s="27">
        <f t="shared" si="1"/>
        <v>690</v>
      </c>
      <c r="T15" s="27">
        <f t="shared" si="1"/>
        <v>710</v>
      </c>
      <c r="U15" s="28">
        <f t="shared" si="1"/>
        <v>730</v>
      </c>
    </row>
    <row r="16" spans="1:26" ht="13.5" thickBot="1">
      <c r="A16" s="25" t="s">
        <v>206</v>
      </c>
      <c r="B16" s="26">
        <f t="shared" si="1"/>
        <v>535</v>
      </c>
      <c r="C16" s="27">
        <f t="shared" si="1"/>
        <v>560</v>
      </c>
      <c r="D16" s="27">
        <f t="shared" si="1"/>
        <v>585</v>
      </c>
      <c r="E16" s="27">
        <f t="shared" si="1"/>
        <v>610</v>
      </c>
      <c r="F16" s="28">
        <f t="shared" si="1"/>
        <v>635</v>
      </c>
      <c r="G16" s="26">
        <f t="shared" si="1"/>
        <v>555</v>
      </c>
      <c r="H16" s="27">
        <f t="shared" si="1"/>
        <v>585</v>
      </c>
      <c r="I16" s="27">
        <f t="shared" si="1"/>
        <v>615</v>
      </c>
      <c r="J16" s="27">
        <f t="shared" si="1"/>
        <v>655</v>
      </c>
      <c r="K16" s="28">
        <f t="shared" si="1"/>
        <v>695</v>
      </c>
      <c r="L16" s="29">
        <f t="shared" si="1"/>
        <v>600</v>
      </c>
      <c r="M16" s="27">
        <f t="shared" si="1"/>
        <v>625</v>
      </c>
      <c r="N16" s="27">
        <f t="shared" si="1"/>
        <v>650</v>
      </c>
      <c r="O16" s="27">
        <f t="shared" si="1"/>
        <v>675</v>
      </c>
      <c r="P16" s="30">
        <f t="shared" si="1"/>
        <v>700</v>
      </c>
      <c r="Q16" s="26">
        <f t="shared" si="1"/>
        <v>660</v>
      </c>
      <c r="R16" s="27">
        <f t="shared" si="1"/>
        <v>685</v>
      </c>
      <c r="S16" s="27">
        <f t="shared" si="1"/>
        <v>710</v>
      </c>
      <c r="T16" s="27">
        <f t="shared" si="1"/>
        <v>730</v>
      </c>
      <c r="U16" s="28">
        <f t="shared" si="1"/>
        <v>750</v>
      </c>
      <c r="V16" s="37"/>
    </row>
    <row r="17" spans="1:23" ht="13.5" thickBot="1">
      <c r="A17" s="25" t="s">
        <v>207</v>
      </c>
      <c r="B17" s="26">
        <f t="shared" si="1"/>
        <v>555</v>
      </c>
      <c r="C17" s="27">
        <f t="shared" si="1"/>
        <v>580</v>
      </c>
      <c r="D17" s="27">
        <f t="shared" si="1"/>
        <v>605</v>
      </c>
      <c r="E17" s="27">
        <f t="shared" si="1"/>
        <v>630</v>
      </c>
      <c r="F17" s="28">
        <f t="shared" si="1"/>
        <v>655</v>
      </c>
      <c r="G17" s="26">
        <f t="shared" si="1"/>
        <v>575</v>
      </c>
      <c r="H17" s="27">
        <f t="shared" si="1"/>
        <v>605</v>
      </c>
      <c r="I17" s="27">
        <f t="shared" si="1"/>
        <v>635</v>
      </c>
      <c r="J17" s="27">
        <f t="shared" si="1"/>
        <v>675</v>
      </c>
      <c r="K17" s="28">
        <f t="shared" si="1"/>
        <v>715</v>
      </c>
      <c r="L17" s="29">
        <f t="shared" si="1"/>
        <v>620</v>
      </c>
      <c r="M17" s="27">
        <f t="shared" si="1"/>
        <v>645</v>
      </c>
      <c r="N17" s="27">
        <f t="shared" si="1"/>
        <v>670</v>
      </c>
      <c r="O17" s="27">
        <f t="shared" si="1"/>
        <v>695</v>
      </c>
      <c r="P17" s="30">
        <f t="shared" si="1"/>
        <v>720</v>
      </c>
      <c r="Q17" s="26">
        <f t="shared" si="1"/>
        <v>680</v>
      </c>
      <c r="R17" s="27">
        <f t="shared" si="1"/>
        <v>705</v>
      </c>
      <c r="S17" s="27">
        <f t="shared" si="1"/>
        <v>730</v>
      </c>
      <c r="T17" s="27">
        <f t="shared" si="1"/>
        <v>750</v>
      </c>
      <c r="U17" s="28">
        <f t="shared" si="1"/>
        <v>770</v>
      </c>
      <c r="V17" s="37">
        <f>AVERAGE(B13:U17)*0.1</f>
        <v>62.075000000000003</v>
      </c>
    </row>
    <row r="18" spans="1:23" ht="15.75" customHeight="1" thickBot="1">
      <c r="A18" s="533" t="s">
        <v>221</v>
      </c>
      <c r="B18" s="534"/>
      <c r="C18" s="534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1:23" ht="13.5" customHeight="1" thickBot="1">
      <c r="A19" s="20" t="s">
        <v>0</v>
      </c>
      <c r="B19" s="529" t="s">
        <v>194</v>
      </c>
      <c r="C19" s="530"/>
      <c r="D19" s="530"/>
      <c r="E19" s="530"/>
      <c r="F19" s="531"/>
      <c r="G19" s="532" t="s">
        <v>195</v>
      </c>
      <c r="H19" s="530"/>
      <c r="I19" s="530"/>
      <c r="J19" s="530"/>
      <c r="K19" s="531"/>
      <c r="L19" s="532" t="s">
        <v>196</v>
      </c>
      <c r="M19" s="530"/>
      <c r="N19" s="530"/>
      <c r="O19" s="530"/>
      <c r="P19" s="531"/>
      <c r="Q19" s="532" t="s">
        <v>197</v>
      </c>
      <c r="R19" s="530"/>
      <c r="S19" s="530"/>
      <c r="T19" s="530"/>
      <c r="U19" s="531"/>
    </row>
    <row r="20" spans="1:23" ht="13.5" thickBot="1">
      <c r="A20" s="38"/>
      <c r="B20" s="26" t="s">
        <v>198</v>
      </c>
      <c r="C20" s="27" t="s">
        <v>199</v>
      </c>
      <c r="D20" s="27" t="s">
        <v>200</v>
      </c>
      <c r="E20" s="27" t="s">
        <v>201</v>
      </c>
      <c r="F20" s="28" t="s">
        <v>202</v>
      </c>
      <c r="G20" s="26" t="s">
        <v>198</v>
      </c>
      <c r="H20" s="27" t="s">
        <v>199</v>
      </c>
      <c r="I20" s="27" t="s">
        <v>200</v>
      </c>
      <c r="J20" s="27" t="s">
        <v>201</v>
      </c>
      <c r="K20" s="28" t="s">
        <v>202</v>
      </c>
      <c r="L20" s="29" t="s">
        <v>198</v>
      </c>
      <c r="M20" s="27" t="s">
        <v>199</v>
      </c>
      <c r="N20" s="27" t="s">
        <v>200</v>
      </c>
      <c r="O20" s="27" t="s">
        <v>201</v>
      </c>
      <c r="P20" s="30" t="s">
        <v>202</v>
      </c>
      <c r="Q20" s="26" t="s">
        <v>198</v>
      </c>
      <c r="R20" s="27" t="s">
        <v>199</v>
      </c>
      <c r="S20" s="27" t="s">
        <v>200</v>
      </c>
      <c r="T20" s="27" t="s">
        <v>201</v>
      </c>
      <c r="U20" s="28" t="s">
        <v>202</v>
      </c>
    </row>
    <row r="21" spans="1:23" ht="13.5" thickBot="1">
      <c r="A21" s="25" t="s">
        <v>203</v>
      </c>
      <c r="B21" s="32">
        <v>450</v>
      </c>
      <c r="C21" s="33">
        <v>475</v>
      </c>
      <c r="D21" s="33">
        <v>500</v>
      </c>
      <c r="E21" s="33">
        <v>525</v>
      </c>
      <c r="F21" s="34">
        <v>550</v>
      </c>
      <c r="G21" s="32">
        <v>470</v>
      </c>
      <c r="H21" s="33">
        <v>500</v>
      </c>
      <c r="I21" s="33">
        <v>530</v>
      </c>
      <c r="J21" s="33">
        <v>570</v>
      </c>
      <c r="K21" s="34">
        <v>610</v>
      </c>
      <c r="L21" s="35">
        <v>515</v>
      </c>
      <c r="M21" s="33">
        <v>540</v>
      </c>
      <c r="N21" s="33">
        <v>565</v>
      </c>
      <c r="O21" s="33">
        <v>590</v>
      </c>
      <c r="P21" s="36">
        <v>615</v>
      </c>
      <c r="Q21" s="32">
        <v>575</v>
      </c>
      <c r="R21" s="33">
        <v>600</v>
      </c>
      <c r="S21" s="33">
        <v>625</v>
      </c>
      <c r="T21" s="33">
        <v>645</v>
      </c>
      <c r="U21" s="34">
        <v>665</v>
      </c>
      <c r="W21" s="31"/>
    </row>
    <row r="22" spans="1:23" ht="13.5" thickBot="1">
      <c r="A22" s="25" t="s">
        <v>204</v>
      </c>
      <c r="B22" s="26">
        <f t="shared" ref="B22:U25" si="2">B21+20</f>
        <v>470</v>
      </c>
      <c r="C22" s="27">
        <f t="shared" si="2"/>
        <v>495</v>
      </c>
      <c r="D22" s="27">
        <f t="shared" si="2"/>
        <v>520</v>
      </c>
      <c r="E22" s="27">
        <f t="shared" si="2"/>
        <v>545</v>
      </c>
      <c r="F22" s="28">
        <f t="shared" si="2"/>
        <v>570</v>
      </c>
      <c r="G22" s="26">
        <f t="shared" si="2"/>
        <v>490</v>
      </c>
      <c r="H22" s="27">
        <f t="shared" si="2"/>
        <v>520</v>
      </c>
      <c r="I22" s="27">
        <f t="shared" si="2"/>
        <v>550</v>
      </c>
      <c r="J22" s="27">
        <f t="shared" si="2"/>
        <v>590</v>
      </c>
      <c r="K22" s="28">
        <f t="shared" si="2"/>
        <v>630</v>
      </c>
      <c r="L22" s="29">
        <f t="shared" si="2"/>
        <v>535</v>
      </c>
      <c r="M22" s="27">
        <f t="shared" si="2"/>
        <v>560</v>
      </c>
      <c r="N22" s="27">
        <f t="shared" si="2"/>
        <v>585</v>
      </c>
      <c r="O22" s="27">
        <f t="shared" si="2"/>
        <v>610</v>
      </c>
      <c r="P22" s="30">
        <f t="shared" si="2"/>
        <v>635</v>
      </c>
      <c r="Q22" s="26">
        <f t="shared" si="2"/>
        <v>595</v>
      </c>
      <c r="R22" s="27">
        <f t="shared" si="2"/>
        <v>620</v>
      </c>
      <c r="S22" s="27">
        <f t="shared" si="2"/>
        <v>645</v>
      </c>
      <c r="T22" s="27">
        <f t="shared" si="2"/>
        <v>665</v>
      </c>
      <c r="U22" s="28">
        <f t="shared" si="2"/>
        <v>685</v>
      </c>
    </row>
    <row r="23" spans="1:23" ht="13.5" thickBot="1">
      <c r="A23" s="25" t="s">
        <v>205</v>
      </c>
      <c r="B23" s="26">
        <f t="shared" si="2"/>
        <v>490</v>
      </c>
      <c r="C23" s="27">
        <f t="shared" si="2"/>
        <v>515</v>
      </c>
      <c r="D23" s="27">
        <f t="shared" si="2"/>
        <v>540</v>
      </c>
      <c r="E23" s="27">
        <f t="shared" si="2"/>
        <v>565</v>
      </c>
      <c r="F23" s="28">
        <f t="shared" si="2"/>
        <v>590</v>
      </c>
      <c r="G23" s="26">
        <f t="shared" si="2"/>
        <v>510</v>
      </c>
      <c r="H23" s="27">
        <f t="shared" si="2"/>
        <v>540</v>
      </c>
      <c r="I23" s="27">
        <f t="shared" si="2"/>
        <v>570</v>
      </c>
      <c r="J23" s="27">
        <f t="shared" si="2"/>
        <v>610</v>
      </c>
      <c r="K23" s="28">
        <f t="shared" si="2"/>
        <v>650</v>
      </c>
      <c r="L23" s="29">
        <f t="shared" si="2"/>
        <v>555</v>
      </c>
      <c r="M23" s="27">
        <f t="shared" si="2"/>
        <v>580</v>
      </c>
      <c r="N23" s="27">
        <f t="shared" si="2"/>
        <v>605</v>
      </c>
      <c r="O23" s="27">
        <f t="shared" si="2"/>
        <v>630</v>
      </c>
      <c r="P23" s="30">
        <f t="shared" si="2"/>
        <v>655</v>
      </c>
      <c r="Q23" s="26">
        <f t="shared" si="2"/>
        <v>615</v>
      </c>
      <c r="R23" s="27">
        <f t="shared" si="2"/>
        <v>640</v>
      </c>
      <c r="S23" s="27">
        <f t="shared" si="2"/>
        <v>665</v>
      </c>
      <c r="T23" s="27">
        <f t="shared" si="2"/>
        <v>685</v>
      </c>
      <c r="U23" s="28">
        <f t="shared" si="2"/>
        <v>705</v>
      </c>
    </row>
    <row r="24" spans="1:23" ht="13.5" thickBot="1">
      <c r="A24" s="25" t="s">
        <v>206</v>
      </c>
      <c r="B24" s="26">
        <f t="shared" si="2"/>
        <v>510</v>
      </c>
      <c r="C24" s="27">
        <f t="shared" si="2"/>
        <v>535</v>
      </c>
      <c r="D24" s="27">
        <f t="shared" si="2"/>
        <v>560</v>
      </c>
      <c r="E24" s="27">
        <f t="shared" si="2"/>
        <v>585</v>
      </c>
      <c r="F24" s="28">
        <f t="shared" si="2"/>
        <v>610</v>
      </c>
      <c r="G24" s="26">
        <f t="shared" si="2"/>
        <v>530</v>
      </c>
      <c r="H24" s="27">
        <f t="shared" si="2"/>
        <v>560</v>
      </c>
      <c r="I24" s="27">
        <f t="shared" si="2"/>
        <v>590</v>
      </c>
      <c r="J24" s="27">
        <f t="shared" si="2"/>
        <v>630</v>
      </c>
      <c r="K24" s="28">
        <f t="shared" si="2"/>
        <v>670</v>
      </c>
      <c r="L24" s="29">
        <f t="shared" si="2"/>
        <v>575</v>
      </c>
      <c r="M24" s="27">
        <f t="shared" si="2"/>
        <v>600</v>
      </c>
      <c r="N24" s="27">
        <f t="shared" si="2"/>
        <v>625</v>
      </c>
      <c r="O24" s="27">
        <f t="shared" si="2"/>
        <v>650</v>
      </c>
      <c r="P24" s="30">
        <f t="shared" si="2"/>
        <v>675</v>
      </c>
      <c r="Q24" s="26">
        <f t="shared" si="2"/>
        <v>635</v>
      </c>
      <c r="R24" s="27">
        <f t="shared" si="2"/>
        <v>660</v>
      </c>
      <c r="S24" s="27">
        <f t="shared" si="2"/>
        <v>685</v>
      </c>
      <c r="T24" s="27">
        <f t="shared" si="2"/>
        <v>705</v>
      </c>
      <c r="U24" s="28">
        <f t="shared" si="2"/>
        <v>725</v>
      </c>
      <c r="V24" s="37"/>
    </row>
    <row r="25" spans="1:23" ht="13.5" thickBot="1">
      <c r="A25" s="25" t="s">
        <v>207</v>
      </c>
      <c r="B25" s="26">
        <f t="shared" si="2"/>
        <v>530</v>
      </c>
      <c r="C25" s="27">
        <f t="shared" si="2"/>
        <v>555</v>
      </c>
      <c r="D25" s="27">
        <f t="shared" si="2"/>
        <v>580</v>
      </c>
      <c r="E25" s="27">
        <f t="shared" si="2"/>
        <v>605</v>
      </c>
      <c r="F25" s="28">
        <f t="shared" si="2"/>
        <v>630</v>
      </c>
      <c r="G25" s="26">
        <f t="shared" si="2"/>
        <v>550</v>
      </c>
      <c r="H25" s="27">
        <f t="shared" si="2"/>
        <v>580</v>
      </c>
      <c r="I25" s="27">
        <f t="shared" si="2"/>
        <v>610</v>
      </c>
      <c r="J25" s="27">
        <f t="shared" si="2"/>
        <v>650</v>
      </c>
      <c r="K25" s="28">
        <f t="shared" si="2"/>
        <v>690</v>
      </c>
      <c r="L25" s="29">
        <f t="shared" si="2"/>
        <v>595</v>
      </c>
      <c r="M25" s="27">
        <f t="shared" si="2"/>
        <v>620</v>
      </c>
      <c r="N25" s="27">
        <f t="shared" si="2"/>
        <v>645</v>
      </c>
      <c r="O25" s="27">
        <f t="shared" si="2"/>
        <v>670</v>
      </c>
      <c r="P25" s="30">
        <f t="shared" si="2"/>
        <v>695</v>
      </c>
      <c r="Q25" s="26">
        <f t="shared" si="2"/>
        <v>655</v>
      </c>
      <c r="R25" s="27">
        <f t="shared" si="2"/>
        <v>680</v>
      </c>
      <c r="S25" s="27">
        <f t="shared" si="2"/>
        <v>705</v>
      </c>
      <c r="T25" s="27">
        <f t="shared" si="2"/>
        <v>725</v>
      </c>
      <c r="U25" s="28">
        <f t="shared" si="2"/>
        <v>745</v>
      </c>
      <c r="V25" s="37">
        <f>AVERAGE(B21:U25)*0.1</f>
        <v>59.575000000000003</v>
      </c>
    </row>
    <row r="27" spans="1:23" ht="15.75" customHeight="1" thickBot="1">
      <c r="A27" s="533" t="s">
        <v>222</v>
      </c>
      <c r="B27" s="534"/>
      <c r="C27" s="534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1:23" ht="13.5" customHeight="1" thickBot="1">
      <c r="A28" s="20" t="s">
        <v>0</v>
      </c>
      <c r="B28" s="529" t="s">
        <v>194</v>
      </c>
      <c r="C28" s="530"/>
      <c r="D28" s="530"/>
      <c r="E28" s="530"/>
      <c r="F28" s="531"/>
      <c r="G28" s="532" t="s">
        <v>195</v>
      </c>
      <c r="H28" s="530"/>
      <c r="I28" s="530"/>
      <c r="J28" s="530"/>
      <c r="K28" s="531"/>
      <c r="L28" s="532" t="s">
        <v>196</v>
      </c>
      <c r="M28" s="530"/>
      <c r="N28" s="530"/>
      <c r="O28" s="530"/>
      <c r="P28" s="531"/>
      <c r="Q28" s="532" t="s">
        <v>197</v>
      </c>
      <c r="R28" s="530"/>
      <c r="S28" s="530"/>
      <c r="T28" s="530"/>
      <c r="U28" s="531"/>
    </row>
    <row r="29" spans="1:23" ht="13.5" thickBot="1">
      <c r="A29" s="21"/>
      <c r="B29" s="22" t="s">
        <v>198</v>
      </c>
      <c r="C29" s="22" t="s">
        <v>199</v>
      </c>
      <c r="D29" s="22" t="s">
        <v>200</v>
      </c>
      <c r="E29" s="22" t="s">
        <v>201</v>
      </c>
      <c r="F29" s="23" t="s">
        <v>202</v>
      </c>
      <c r="G29" s="22" t="s">
        <v>198</v>
      </c>
      <c r="H29" s="22" t="s">
        <v>199</v>
      </c>
      <c r="I29" s="22" t="s">
        <v>200</v>
      </c>
      <c r="J29" s="22" t="s">
        <v>201</v>
      </c>
      <c r="K29" s="22" t="s">
        <v>202</v>
      </c>
      <c r="L29" s="24" t="s">
        <v>198</v>
      </c>
      <c r="M29" s="22" t="s">
        <v>199</v>
      </c>
      <c r="N29" s="22" t="s">
        <v>200</v>
      </c>
      <c r="O29" s="22" t="s">
        <v>201</v>
      </c>
      <c r="P29" s="22" t="s">
        <v>202</v>
      </c>
      <c r="Q29" s="22" t="s">
        <v>198</v>
      </c>
      <c r="R29" s="22" t="s">
        <v>199</v>
      </c>
      <c r="S29" s="22" t="s">
        <v>200</v>
      </c>
      <c r="T29" s="22" t="s">
        <v>201</v>
      </c>
      <c r="U29" s="22" t="s">
        <v>202</v>
      </c>
    </row>
    <row r="30" spans="1:23" ht="13.5" thickBot="1">
      <c r="A30" s="25" t="s">
        <v>203</v>
      </c>
      <c r="B30" s="32">
        <v>550</v>
      </c>
      <c r="C30" s="33">
        <v>600</v>
      </c>
      <c r="D30" s="33">
        <v>650</v>
      </c>
      <c r="E30" s="33">
        <v>700</v>
      </c>
      <c r="F30" s="34">
        <v>800</v>
      </c>
      <c r="G30" s="32">
        <v>650</v>
      </c>
      <c r="H30" s="33">
        <v>700</v>
      </c>
      <c r="I30" s="33">
        <v>750</v>
      </c>
      <c r="J30" s="33">
        <v>800</v>
      </c>
      <c r="K30" s="34">
        <v>850</v>
      </c>
      <c r="L30" s="35">
        <v>750</v>
      </c>
      <c r="M30" s="33">
        <v>800</v>
      </c>
      <c r="N30" s="33">
        <v>850</v>
      </c>
      <c r="O30" s="33">
        <v>900</v>
      </c>
      <c r="P30" s="36">
        <v>950</v>
      </c>
      <c r="Q30" s="32">
        <v>850</v>
      </c>
      <c r="R30" s="33">
        <v>900</v>
      </c>
      <c r="S30" s="33">
        <v>950</v>
      </c>
      <c r="T30" s="33">
        <v>1000</v>
      </c>
      <c r="U30" s="34">
        <v>1050</v>
      </c>
      <c r="W30" s="31"/>
    </row>
    <row r="31" spans="1:23" ht="13.5" thickBot="1">
      <c r="A31" s="25" t="s">
        <v>204</v>
      </c>
      <c r="B31" s="26">
        <f t="shared" ref="B31:U34" si="3">B30+50</f>
        <v>600</v>
      </c>
      <c r="C31" s="27">
        <f t="shared" si="3"/>
        <v>650</v>
      </c>
      <c r="D31" s="27">
        <f t="shared" si="3"/>
        <v>700</v>
      </c>
      <c r="E31" s="27">
        <f t="shared" si="3"/>
        <v>750</v>
      </c>
      <c r="F31" s="28">
        <f t="shared" si="3"/>
        <v>850</v>
      </c>
      <c r="G31" s="26">
        <f t="shared" si="3"/>
        <v>700</v>
      </c>
      <c r="H31" s="27">
        <f t="shared" si="3"/>
        <v>750</v>
      </c>
      <c r="I31" s="27">
        <f t="shared" si="3"/>
        <v>800</v>
      </c>
      <c r="J31" s="27">
        <f t="shared" si="3"/>
        <v>850</v>
      </c>
      <c r="K31" s="28">
        <f t="shared" si="3"/>
        <v>900</v>
      </c>
      <c r="L31" s="29">
        <f t="shared" si="3"/>
        <v>800</v>
      </c>
      <c r="M31" s="27">
        <f t="shared" si="3"/>
        <v>850</v>
      </c>
      <c r="N31" s="27">
        <f t="shared" si="3"/>
        <v>900</v>
      </c>
      <c r="O31" s="27">
        <f t="shared" si="3"/>
        <v>950</v>
      </c>
      <c r="P31" s="30">
        <f t="shared" si="3"/>
        <v>1000</v>
      </c>
      <c r="Q31" s="26">
        <f t="shared" si="3"/>
        <v>900</v>
      </c>
      <c r="R31" s="27">
        <f t="shared" si="3"/>
        <v>950</v>
      </c>
      <c r="S31" s="27">
        <f t="shared" si="3"/>
        <v>1000</v>
      </c>
      <c r="T31" s="27">
        <f t="shared" si="3"/>
        <v>1050</v>
      </c>
      <c r="U31" s="28">
        <f t="shared" si="3"/>
        <v>1100</v>
      </c>
    </row>
    <row r="32" spans="1:23" ht="13.5" thickBot="1">
      <c r="A32" s="25" t="s">
        <v>205</v>
      </c>
      <c r="B32" s="26">
        <f t="shared" si="3"/>
        <v>650</v>
      </c>
      <c r="C32" s="27">
        <f t="shared" si="3"/>
        <v>700</v>
      </c>
      <c r="D32" s="27">
        <f t="shared" si="3"/>
        <v>750</v>
      </c>
      <c r="E32" s="27">
        <f t="shared" si="3"/>
        <v>800</v>
      </c>
      <c r="F32" s="28">
        <f t="shared" si="3"/>
        <v>900</v>
      </c>
      <c r="G32" s="26">
        <f t="shared" si="3"/>
        <v>750</v>
      </c>
      <c r="H32" s="27">
        <f t="shared" si="3"/>
        <v>800</v>
      </c>
      <c r="I32" s="27">
        <f t="shared" si="3"/>
        <v>850</v>
      </c>
      <c r="J32" s="27">
        <f t="shared" si="3"/>
        <v>900</v>
      </c>
      <c r="K32" s="28">
        <f t="shared" si="3"/>
        <v>950</v>
      </c>
      <c r="L32" s="29">
        <f t="shared" si="3"/>
        <v>850</v>
      </c>
      <c r="M32" s="27">
        <f t="shared" si="3"/>
        <v>900</v>
      </c>
      <c r="N32" s="27">
        <f t="shared" si="3"/>
        <v>950</v>
      </c>
      <c r="O32" s="27">
        <f t="shared" si="3"/>
        <v>1000</v>
      </c>
      <c r="P32" s="30">
        <f t="shared" si="3"/>
        <v>1050</v>
      </c>
      <c r="Q32" s="26">
        <f t="shared" si="3"/>
        <v>950</v>
      </c>
      <c r="R32" s="27">
        <f t="shared" si="3"/>
        <v>1000</v>
      </c>
      <c r="S32" s="27">
        <f t="shared" si="3"/>
        <v>1050</v>
      </c>
      <c r="T32" s="27">
        <f t="shared" si="3"/>
        <v>1100</v>
      </c>
      <c r="U32" s="28">
        <f t="shared" si="3"/>
        <v>1150</v>
      </c>
    </row>
    <row r="33" spans="1:22" ht="13.5" thickBot="1">
      <c r="A33" s="25" t="s">
        <v>206</v>
      </c>
      <c r="B33" s="26">
        <f t="shared" si="3"/>
        <v>700</v>
      </c>
      <c r="C33" s="27">
        <f t="shared" si="3"/>
        <v>750</v>
      </c>
      <c r="D33" s="27">
        <f t="shared" si="3"/>
        <v>800</v>
      </c>
      <c r="E33" s="27">
        <f t="shared" si="3"/>
        <v>850</v>
      </c>
      <c r="F33" s="28">
        <f t="shared" si="3"/>
        <v>950</v>
      </c>
      <c r="G33" s="26">
        <f t="shared" si="3"/>
        <v>800</v>
      </c>
      <c r="H33" s="27">
        <f t="shared" si="3"/>
        <v>850</v>
      </c>
      <c r="I33" s="27">
        <f t="shared" si="3"/>
        <v>900</v>
      </c>
      <c r="J33" s="27">
        <f t="shared" si="3"/>
        <v>950</v>
      </c>
      <c r="K33" s="28">
        <f t="shared" si="3"/>
        <v>1000</v>
      </c>
      <c r="L33" s="29">
        <f t="shared" si="3"/>
        <v>900</v>
      </c>
      <c r="M33" s="27">
        <f t="shared" si="3"/>
        <v>950</v>
      </c>
      <c r="N33" s="27">
        <f t="shared" si="3"/>
        <v>1000</v>
      </c>
      <c r="O33" s="27">
        <f t="shared" si="3"/>
        <v>1050</v>
      </c>
      <c r="P33" s="30">
        <f t="shared" si="3"/>
        <v>1100</v>
      </c>
      <c r="Q33" s="26">
        <f t="shared" si="3"/>
        <v>1000</v>
      </c>
      <c r="R33" s="27">
        <f t="shared" si="3"/>
        <v>1050</v>
      </c>
      <c r="S33" s="27">
        <f t="shared" si="3"/>
        <v>1100</v>
      </c>
      <c r="T33" s="27">
        <f t="shared" si="3"/>
        <v>1150</v>
      </c>
      <c r="U33" s="28">
        <f t="shared" si="3"/>
        <v>1200</v>
      </c>
      <c r="V33" s="37"/>
    </row>
    <row r="34" spans="1:22" ht="13.5" thickBot="1">
      <c r="A34" s="25" t="s">
        <v>207</v>
      </c>
      <c r="B34" s="26">
        <f t="shared" si="3"/>
        <v>750</v>
      </c>
      <c r="C34" s="27">
        <f t="shared" si="3"/>
        <v>800</v>
      </c>
      <c r="D34" s="27">
        <f t="shared" si="3"/>
        <v>850</v>
      </c>
      <c r="E34" s="27">
        <f t="shared" si="3"/>
        <v>900</v>
      </c>
      <c r="F34" s="28">
        <f t="shared" si="3"/>
        <v>1000</v>
      </c>
      <c r="G34" s="26">
        <f t="shared" si="3"/>
        <v>850</v>
      </c>
      <c r="H34" s="27">
        <f t="shared" si="3"/>
        <v>900</v>
      </c>
      <c r="I34" s="27">
        <f t="shared" si="3"/>
        <v>950</v>
      </c>
      <c r="J34" s="27">
        <f t="shared" si="3"/>
        <v>1000</v>
      </c>
      <c r="K34" s="28">
        <f t="shared" si="3"/>
        <v>1050</v>
      </c>
      <c r="L34" s="29">
        <f t="shared" si="3"/>
        <v>950</v>
      </c>
      <c r="M34" s="27">
        <f t="shared" si="3"/>
        <v>1000</v>
      </c>
      <c r="N34" s="27">
        <f t="shared" si="3"/>
        <v>1050</v>
      </c>
      <c r="O34" s="27">
        <f t="shared" si="3"/>
        <v>1100</v>
      </c>
      <c r="P34" s="30">
        <f t="shared" si="3"/>
        <v>1150</v>
      </c>
      <c r="Q34" s="26">
        <f t="shared" si="3"/>
        <v>1050</v>
      </c>
      <c r="R34" s="27">
        <f t="shared" si="3"/>
        <v>1100</v>
      </c>
      <c r="S34" s="27">
        <f t="shared" si="3"/>
        <v>1150</v>
      </c>
      <c r="T34" s="27">
        <f t="shared" si="3"/>
        <v>1200</v>
      </c>
      <c r="U34" s="28">
        <f t="shared" si="3"/>
        <v>1250</v>
      </c>
      <c r="V34" s="37">
        <f>AVERAGE(B30:U34)*0.1</f>
        <v>90.25</v>
      </c>
    </row>
    <row r="36" spans="1:22" ht="15.75" thickBot="1">
      <c r="A36" s="533" t="s">
        <v>223</v>
      </c>
      <c r="B36" s="534"/>
      <c r="C36" s="534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1:22" ht="13.5" thickBot="1">
      <c r="A37" s="20" t="s">
        <v>0</v>
      </c>
      <c r="B37" s="529" t="s">
        <v>194</v>
      </c>
      <c r="C37" s="530"/>
      <c r="D37" s="530"/>
      <c r="E37" s="530"/>
      <c r="F37" s="531"/>
      <c r="G37" s="532" t="s">
        <v>195</v>
      </c>
      <c r="H37" s="530"/>
      <c r="I37" s="530"/>
      <c r="J37" s="530"/>
      <c r="K37" s="531"/>
      <c r="L37" s="532" t="s">
        <v>196</v>
      </c>
      <c r="M37" s="530"/>
      <c r="N37" s="530"/>
      <c r="O37" s="530"/>
      <c r="P37" s="531"/>
      <c r="Q37" s="532" t="s">
        <v>197</v>
      </c>
      <c r="R37" s="530"/>
      <c r="S37" s="530"/>
      <c r="T37" s="530"/>
      <c r="U37" s="531"/>
    </row>
    <row r="38" spans="1:22" ht="13.5" thickBot="1">
      <c r="A38" s="21"/>
      <c r="B38" s="22" t="s">
        <v>198</v>
      </c>
      <c r="C38" s="22" t="s">
        <v>199</v>
      </c>
      <c r="D38" s="22" t="s">
        <v>200</v>
      </c>
      <c r="E38" s="22" t="s">
        <v>201</v>
      </c>
      <c r="F38" s="23" t="s">
        <v>202</v>
      </c>
      <c r="G38" s="22" t="s">
        <v>198</v>
      </c>
      <c r="H38" s="22" t="s">
        <v>199</v>
      </c>
      <c r="I38" s="22" t="s">
        <v>200</v>
      </c>
      <c r="J38" s="22" t="s">
        <v>201</v>
      </c>
      <c r="K38" s="22" t="s">
        <v>202</v>
      </c>
      <c r="L38" s="24" t="s">
        <v>198</v>
      </c>
      <c r="M38" s="22" t="s">
        <v>199</v>
      </c>
      <c r="N38" s="22" t="s">
        <v>200</v>
      </c>
      <c r="O38" s="22" t="s">
        <v>201</v>
      </c>
      <c r="P38" s="22" t="s">
        <v>202</v>
      </c>
      <c r="Q38" s="22" t="s">
        <v>198</v>
      </c>
      <c r="R38" s="22" t="s">
        <v>199</v>
      </c>
      <c r="S38" s="22" t="s">
        <v>200</v>
      </c>
      <c r="T38" s="22" t="s">
        <v>201</v>
      </c>
      <c r="U38" s="22" t="s">
        <v>202</v>
      </c>
    </row>
    <row r="39" spans="1:22" ht="13.5" thickBot="1">
      <c r="A39" s="25" t="s">
        <v>203</v>
      </c>
      <c r="B39" s="32">
        <v>1800</v>
      </c>
      <c r="C39" s="33">
        <v>1900</v>
      </c>
      <c r="D39" s="33">
        <v>2000</v>
      </c>
      <c r="E39" s="33">
        <v>2100</v>
      </c>
      <c r="F39" s="34">
        <v>2200</v>
      </c>
      <c r="G39" s="32">
        <v>2050</v>
      </c>
      <c r="H39" s="33">
        <v>2150</v>
      </c>
      <c r="I39" s="33">
        <v>2250</v>
      </c>
      <c r="J39" s="33">
        <v>2350</v>
      </c>
      <c r="K39" s="34">
        <v>2450</v>
      </c>
      <c r="L39" s="35">
        <v>2250</v>
      </c>
      <c r="M39" s="33">
        <v>2350</v>
      </c>
      <c r="N39" s="33">
        <v>2450</v>
      </c>
      <c r="O39" s="33">
        <v>2550</v>
      </c>
      <c r="P39" s="36">
        <v>2650</v>
      </c>
      <c r="Q39" s="32">
        <v>2450</v>
      </c>
      <c r="R39" s="33">
        <v>2550</v>
      </c>
      <c r="S39" s="33">
        <v>2650</v>
      </c>
      <c r="T39" s="33">
        <v>2750</v>
      </c>
      <c r="U39" s="34">
        <v>2850</v>
      </c>
    </row>
    <row r="40" spans="1:22" ht="13.5" thickBot="1">
      <c r="A40" s="25" t="s">
        <v>204</v>
      </c>
      <c r="B40" s="26">
        <f t="shared" ref="B40:U43" si="4">B39+100</f>
        <v>1900</v>
      </c>
      <c r="C40" s="27">
        <f t="shared" si="4"/>
        <v>2000</v>
      </c>
      <c r="D40" s="27">
        <f t="shared" si="4"/>
        <v>2100</v>
      </c>
      <c r="E40" s="27">
        <f t="shared" si="4"/>
        <v>2200</v>
      </c>
      <c r="F40" s="28">
        <f t="shared" si="4"/>
        <v>2300</v>
      </c>
      <c r="G40" s="26">
        <f t="shared" si="4"/>
        <v>2150</v>
      </c>
      <c r="H40" s="27">
        <f t="shared" si="4"/>
        <v>2250</v>
      </c>
      <c r="I40" s="27">
        <f t="shared" si="4"/>
        <v>2350</v>
      </c>
      <c r="J40" s="27">
        <f t="shared" si="4"/>
        <v>2450</v>
      </c>
      <c r="K40" s="28">
        <f t="shared" si="4"/>
        <v>2550</v>
      </c>
      <c r="L40" s="29">
        <f t="shared" si="4"/>
        <v>2350</v>
      </c>
      <c r="M40" s="27">
        <f t="shared" si="4"/>
        <v>2450</v>
      </c>
      <c r="N40" s="27">
        <f t="shared" si="4"/>
        <v>2550</v>
      </c>
      <c r="O40" s="27">
        <f t="shared" si="4"/>
        <v>2650</v>
      </c>
      <c r="P40" s="30">
        <f t="shared" si="4"/>
        <v>2750</v>
      </c>
      <c r="Q40" s="26">
        <f t="shared" si="4"/>
        <v>2550</v>
      </c>
      <c r="R40" s="27">
        <f t="shared" si="4"/>
        <v>2650</v>
      </c>
      <c r="S40" s="27">
        <f t="shared" si="4"/>
        <v>2750</v>
      </c>
      <c r="T40" s="27">
        <f t="shared" si="4"/>
        <v>2850</v>
      </c>
      <c r="U40" s="28">
        <f t="shared" si="4"/>
        <v>2950</v>
      </c>
    </row>
    <row r="41" spans="1:22" ht="13.5" thickBot="1">
      <c r="A41" s="25" t="s">
        <v>205</v>
      </c>
      <c r="B41" s="26">
        <f t="shared" si="4"/>
        <v>2000</v>
      </c>
      <c r="C41" s="27">
        <f t="shared" si="4"/>
        <v>2100</v>
      </c>
      <c r="D41" s="27">
        <f t="shared" si="4"/>
        <v>2200</v>
      </c>
      <c r="E41" s="27">
        <f t="shared" si="4"/>
        <v>2300</v>
      </c>
      <c r="F41" s="28">
        <f t="shared" si="4"/>
        <v>2400</v>
      </c>
      <c r="G41" s="26">
        <f t="shared" si="4"/>
        <v>2250</v>
      </c>
      <c r="H41" s="27">
        <f t="shared" si="4"/>
        <v>2350</v>
      </c>
      <c r="I41" s="27">
        <f t="shared" si="4"/>
        <v>2450</v>
      </c>
      <c r="J41" s="27">
        <f t="shared" si="4"/>
        <v>2550</v>
      </c>
      <c r="K41" s="28">
        <f t="shared" si="4"/>
        <v>2650</v>
      </c>
      <c r="L41" s="29">
        <f t="shared" si="4"/>
        <v>2450</v>
      </c>
      <c r="M41" s="27">
        <f t="shared" si="4"/>
        <v>2550</v>
      </c>
      <c r="N41" s="27">
        <f t="shared" si="4"/>
        <v>2650</v>
      </c>
      <c r="O41" s="27">
        <f t="shared" si="4"/>
        <v>2750</v>
      </c>
      <c r="P41" s="30">
        <f t="shared" si="4"/>
        <v>2850</v>
      </c>
      <c r="Q41" s="26">
        <f t="shared" si="4"/>
        <v>2650</v>
      </c>
      <c r="R41" s="27">
        <f t="shared" si="4"/>
        <v>2750</v>
      </c>
      <c r="S41" s="27">
        <f t="shared" si="4"/>
        <v>2850</v>
      </c>
      <c r="T41" s="27">
        <f t="shared" si="4"/>
        <v>2950</v>
      </c>
      <c r="U41" s="28">
        <f t="shared" si="4"/>
        <v>3050</v>
      </c>
    </row>
    <row r="42" spans="1:22" ht="13.5" thickBot="1">
      <c r="A42" s="25" t="s">
        <v>206</v>
      </c>
      <c r="B42" s="26">
        <f t="shared" si="4"/>
        <v>2100</v>
      </c>
      <c r="C42" s="27">
        <f t="shared" si="4"/>
        <v>2200</v>
      </c>
      <c r="D42" s="27">
        <f t="shared" si="4"/>
        <v>2300</v>
      </c>
      <c r="E42" s="27">
        <f t="shared" si="4"/>
        <v>2400</v>
      </c>
      <c r="F42" s="28">
        <f t="shared" si="4"/>
        <v>2500</v>
      </c>
      <c r="G42" s="26">
        <f t="shared" si="4"/>
        <v>2350</v>
      </c>
      <c r="H42" s="27">
        <f t="shared" si="4"/>
        <v>2450</v>
      </c>
      <c r="I42" s="27">
        <f t="shared" si="4"/>
        <v>2550</v>
      </c>
      <c r="J42" s="27">
        <f t="shared" si="4"/>
        <v>2650</v>
      </c>
      <c r="K42" s="28">
        <f t="shared" si="4"/>
        <v>2750</v>
      </c>
      <c r="L42" s="29">
        <f t="shared" si="4"/>
        <v>2550</v>
      </c>
      <c r="M42" s="27">
        <f t="shared" si="4"/>
        <v>2650</v>
      </c>
      <c r="N42" s="27">
        <f t="shared" si="4"/>
        <v>2750</v>
      </c>
      <c r="O42" s="27">
        <f t="shared" si="4"/>
        <v>2850</v>
      </c>
      <c r="P42" s="30">
        <f t="shared" si="4"/>
        <v>2950</v>
      </c>
      <c r="Q42" s="26">
        <f t="shared" si="4"/>
        <v>2750</v>
      </c>
      <c r="R42" s="27">
        <f t="shared" si="4"/>
        <v>2850</v>
      </c>
      <c r="S42" s="27">
        <f t="shared" si="4"/>
        <v>2950</v>
      </c>
      <c r="T42" s="27">
        <f t="shared" si="4"/>
        <v>3050</v>
      </c>
      <c r="U42" s="28">
        <f t="shared" si="4"/>
        <v>3150</v>
      </c>
      <c r="V42" s="37"/>
    </row>
    <row r="43" spans="1:22" ht="13.5" thickBot="1">
      <c r="A43" s="25" t="s">
        <v>207</v>
      </c>
      <c r="B43" s="26">
        <f t="shared" si="4"/>
        <v>2200</v>
      </c>
      <c r="C43" s="27">
        <f t="shared" si="4"/>
        <v>2300</v>
      </c>
      <c r="D43" s="27">
        <f t="shared" si="4"/>
        <v>2400</v>
      </c>
      <c r="E43" s="27">
        <f t="shared" si="4"/>
        <v>2500</v>
      </c>
      <c r="F43" s="28">
        <f t="shared" si="4"/>
        <v>2600</v>
      </c>
      <c r="G43" s="26">
        <f t="shared" si="4"/>
        <v>2450</v>
      </c>
      <c r="H43" s="27">
        <f t="shared" si="4"/>
        <v>2550</v>
      </c>
      <c r="I43" s="27">
        <f t="shared" si="4"/>
        <v>2650</v>
      </c>
      <c r="J43" s="27">
        <f t="shared" si="4"/>
        <v>2750</v>
      </c>
      <c r="K43" s="28">
        <f t="shared" si="4"/>
        <v>2850</v>
      </c>
      <c r="L43" s="29">
        <f t="shared" si="4"/>
        <v>2650</v>
      </c>
      <c r="M43" s="27">
        <f t="shared" si="4"/>
        <v>2750</v>
      </c>
      <c r="N43" s="27">
        <f t="shared" si="4"/>
        <v>2850</v>
      </c>
      <c r="O43" s="27">
        <f t="shared" si="4"/>
        <v>2950</v>
      </c>
      <c r="P43" s="30">
        <f t="shared" si="4"/>
        <v>3050</v>
      </c>
      <c r="Q43" s="26">
        <f t="shared" si="4"/>
        <v>2850</v>
      </c>
      <c r="R43" s="27">
        <f t="shared" si="4"/>
        <v>2950</v>
      </c>
      <c r="S43" s="27">
        <f t="shared" si="4"/>
        <v>3050</v>
      </c>
      <c r="T43" s="27">
        <f t="shared" si="4"/>
        <v>3150</v>
      </c>
      <c r="U43" s="28">
        <f t="shared" si="4"/>
        <v>3250</v>
      </c>
      <c r="V43" s="37">
        <f>AVERAGE(B39:U43)*0.1</f>
        <v>253.75</v>
      </c>
    </row>
  </sheetData>
  <mergeCells count="25">
    <mergeCell ref="B19:F19"/>
    <mergeCell ref="G19:K19"/>
    <mergeCell ref="L19:P19"/>
    <mergeCell ref="Q19:U19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8:U18"/>
    <mergeCell ref="B37:F37"/>
    <mergeCell ref="G37:K37"/>
    <mergeCell ref="L37:P37"/>
    <mergeCell ref="Q37:U37"/>
    <mergeCell ref="A27:U27"/>
    <mergeCell ref="B28:F28"/>
    <mergeCell ref="G28:K28"/>
    <mergeCell ref="L28:P28"/>
    <mergeCell ref="Q28:U28"/>
    <mergeCell ref="A36:U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G34"/>
  <sheetViews>
    <sheetView showGridLines="0" zoomScale="115" zoomScaleNormal="115" workbookViewId="0">
      <selection activeCell="G9" sqref="G9"/>
    </sheetView>
  </sheetViews>
  <sheetFormatPr defaultColWidth="9.140625" defaultRowHeight="15" customHeight="1"/>
  <cols>
    <col min="1" max="1" width="10.28515625" style="287" customWidth="1"/>
    <col min="2" max="2" width="51.140625" style="337" customWidth="1"/>
    <col min="3" max="3" width="12.85546875" style="424" hidden="1" customWidth="1"/>
    <col min="4" max="4" width="17.140625" style="287" customWidth="1"/>
    <col min="5" max="5" width="36.140625" style="287" customWidth="1"/>
    <col min="6" max="16384" width="9.140625" style="287"/>
  </cols>
  <sheetData>
    <row r="1" spans="1:7" ht="15" customHeight="1" thickBot="1">
      <c r="A1" s="317"/>
      <c r="B1" s="535" t="s">
        <v>353</v>
      </c>
      <c r="C1" s="536"/>
      <c r="D1" s="318">
        <v>0</v>
      </c>
      <c r="F1" s="319"/>
      <c r="G1" s="320"/>
    </row>
    <row r="2" spans="1:7" ht="15" customHeight="1" thickBot="1">
      <c r="A2" s="321">
        <v>1059245</v>
      </c>
      <c r="B2" s="322" t="s">
        <v>334</v>
      </c>
      <c r="C2" s="326">
        <f>SUMIF('Steel Calculations'!$AH:$AH,'Steel Calculations'!$X$18,'Steel Calculations'!$AI:$AI)/'BUSBAR DATA'!$C$63</f>
        <v>5.0473714285714282</v>
      </c>
      <c r="D2" s="324">
        <f>C2</f>
        <v>5.0473714285714282</v>
      </c>
    </row>
    <row r="3" spans="1:7" ht="15" customHeight="1" thickBot="1">
      <c r="A3" s="317"/>
      <c r="B3" s="535" t="s">
        <v>293</v>
      </c>
      <c r="C3" s="536"/>
      <c r="D3" s="318">
        <f>SUM(D4:D13)</f>
        <v>559.15140000000008</v>
      </c>
    </row>
    <row r="4" spans="1:7" ht="15" customHeight="1">
      <c r="A4" s="334">
        <v>1011779</v>
      </c>
      <c r="B4" s="335" t="s">
        <v>361</v>
      </c>
      <c r="C4" s="336">
        <f>((SUMIF('BUSBAR DATA'!$Y$4:$Y$19,BOM!A4,'BUSBAR DATA'!$AA$4:$AA$19)+SUMIF('BUSBAR DATA'!$AB$4:$AB$19,BOM!A4,'BUSBAR DATA'!$AD$4:$AD$19)+SUMIF('BUSBAR DATA'!$AE$4:$AE$19,BOM!A4,'BUSBAR DATA'!$AG$4:$AG$19))*IF('BUSBAR DATA'!$D$42=1,1,0)+(SUMIF('BUSBAR DATA'!$Y$24:$Y$39,BOM!A4,'BUSBAR DATA'!$AA$24:$AA$39)+SUMIF('BUSBAR DATA'!$AB$24:$AB$39,BOM!A4,'BUSBAR DATA'!$AD$24:$AD$39)+SUMIF('BUSBAR DATA'!$AE$24:$AE$39,BOM!A4,'BUSBAR DATA'!$AG$24:$AG$39))*IF('BUSBAR DATA'!$D$42=2,1,0))</f>
        <v>0</v>
      </c>
      <c r="D4" s="336">
        <f>C4*'Busbar Calculations'!$C$4</f>
        <v>0</v>
      </c>
    </row>
    <row r="5" spans="1:7" ht="15" customHeight="1">
      <c r="A5" s="330">
        <v>1016259</v>
      </c>
      <c r="B5" s="328" t="s">
        <v>360</v>
      </c>
      <c r="C5" s="336">
        <f>((SUMIF('BUSBAR DATA'!$Y$4:$Y$19,BOM!A5,'BUSBAR DATA'!$AA$4:$AA$19)+SUMIF('BUSBAR DATA'!$AB$4:$AB$19,BOM!A5,'BUSBAR DATA'!$AD$4:$AD$19)+SUMIF('BUSBAR DATA'!$AE$4:$AE$19,BOM!A5,'BUSBAR DATA'!$AG$4:$AG$19))*IF('BUSBAR DATA'!$D$42=1,1,0)+(SUMIF('BUSBAR DATA'!$Y$24:$Y$39,BOM!A5,'BUSBAR DATA'!$AA$24:$AA$39)+SUMIF('BUSBAR DATA'!$AB$24:$AB$39,BOM!A5,'BUSBAR DATA'!$AD$24:$AD$39)+SUMIF('BUSBAR DATA'!$AE$24:$AE$39,BOM!A5,'BUSBAR DATA'!$AG$24:$AG$39))*IF('BUSBAR DATA'!$D$42=2,1,0))</f>
        <v>0</v>
      </c>
      <c r="D5" s="336">
        <f>C5*'Busbar Calculations'!$C$4</f>
        <v>0</v>
      </c>
    </row>
    <row r="6" spans="1:7" ht="15" customHeight="1">
      <c r="A6" s="330">
        <v>1016260</v>
      </c>
      <c r="B6" s="328" t="s">
        <v>377</v>
      </c>
      <c r="C6" s="336">
        <f>((SUMIF('BUSBAR DATA'!$Y$4:$Y$19,BOM!A6,'BUSBAR DATA'!$AA$4:$AA$19)+SUMIF('BUSBAR DATA'!$AB$4:$AB$19,BOM!A6,'BUSBAR DATA'!$AD$4:$AD$19)+SUMIF('BUSBAR DATA'!$AE$4:$AE$19,BOM!A6,'BUSBAR DATA'!$AG$4:$AG$19))*IF('BUSBAR DATA'!$D$42=1,1,0)+(SUMIF('BUSBAR DATA'!$Y$24:$Y$39,BOM!A6,'BUSBAR DATA'!$AA$24:$AA$39)+SUMIF('BUSBAR DATA'!$AB$24:$AB$39,BOM!A6,'BUSBAR DATA'!$AD$24:$AD$39)+SUMIF('BUSBAR DATA'!$AE$24:$AE$39,BOM!A6,'BUSBAR DATA'!$AG$24:$AG$39))*IF('BUSBAR DATA'!$D$42=2,1,0))</f>
        <v>0</v>
      </c>
      <c r="D6" s="336">
        <f>C6*'Busbar Calculations'!$C$4</f>
        <v>0</v>
      </c>
    </row>
    <row r="7" spans="1:7" ht="15" customHeight="1">
      <c r="A7" s="330">
        <v>1016262</v>
      </c>
      <c r="B7" s="328" t="s">
        <v>421</v>
      </c>
      <c r="C7" s="336">
        <f>((SUMIF('BUSBAR DATA'!$Y$4:$Y$19,BOM!A7,'BUSBAR DATA'!$AA$4:$AA$19)+SUMIF('BUSBAR DATA'!$AB$4:$AB$19,BOM!A7,'BUSBAR DATA'!$AD$4:$AD$19)+SUMIF('BUSBAR DATA'!$AE$4:$AE$19,BOM!A7,'BUSBAR DATA'!$AG$4:$AG$19))*IF('BUSBAR DATA'!$D$42=1,1,0)+(SUMIF('BUSBAR DATA'!$Y$24:$Y$39,BOM!A7,'BUSBAR DATA'!$AA$24:$AA$39)+SUMIF('BUSBAR DATA'!$AB$24:$AB$39,BOM!A7,'BUSBAR DATA'!$AD$24:$AD$39)+SUMIF('BUSBAR DATA'!$AE$24:$AE$39,BOM!A7,'BUSBAR DATA'!$AG$24:$AG$39))*IF('BUSBAR DATA'!$D$42=2,1,0))</f>
        <v>4.8060000000000009</v>
      </c>
      <c r="D7" s="336">
        <f>C7*'Busbar Calculations'!$C$4</f>
        <v>4.8060000000000009</v>
      </c>
      <c r="F7" s="370"/>
      <c r="G7" s="370"/>
    </row>
    <row r="8" spans="1:7" ht="15" customHeight="1">
      <c r="A8" s="351">
        <v>1016263</v>
      </c>
      <c r="B8" s="352" t="s">
        <v>378</v>
      </c>
      <c r="C8" s="336">
        <f>((SUMIF('BUSBAR DATA'!$Y$4:$Y$19,BOM!A8,'BUSBAR DATA'!$AA$4:$AA$19)+SUMIF('BUSBAR DATA'!$AB$4:$AB$19,BOM!A8,'BUSBAR DATA'!$AD$4:$AD$19)+SUMIF('BUSBAR DATA'!$AE$4:$AE$19,BOM!A8,'BUSBAR DATA'!$AG$4:$AG$19))*IF('BUSBAR DATA'!$D$42=1,1,0)+(SUMIF('BUSBAR DATA'!$Y$24:$Y$39,BOM!A8,'BUSBAR DATA'!$AA$24:$AA$39)+SUMIF('BUSBAR DATA'!$AB$24:$AB$39,BOM!A8,'BUSBAR DATA'!$AD$24:$AD$39)+SUMIF('BUSBAR DATA'!$AE$24:$AE$39,BOM!A8,'BUSBAR DATA'!$AG$24:$AG$39))*IF('BUSBAR DATA'!$D$42=2,1,0))</f>
        <v>0</v>
      </c>
      <c r="D8" s="336">
        <f>C8*'Busbar Calculations'!$C$4</f>
        <v>0</v>
      </c>
      <c r="F8" s="370"/>
      <c r="G8" s="370"/>
    </row>
    <row r="9" spans="1:7" ht="15" customHeight="1">
      <c r="A9" s="327">
        <v>1013430</v>
      </c>
      <c r="B9" s="328" t="s">
        <v>355</v>
      </c>
      <c r="C9" s="336">
        <f>((SUMIF('BUSBAR DATA'!$Y$4:$Y$19,BOM!A9,'BUSBAR DATA'!$AA$4:$AA$19)+SUMIF('BUSBAR DATA'!$AB$4:$AB$19,BOM!A9,'BUSBAR DATA'!$AD$4:$AD$19)+SUMIF('BUSBAR DATA'!$AE$4:$AE$19,BOM!A9,'BUSBAR DATA'!$AG$4:$AG$19))*IF('BUSBAR DATA'!$D$42=1,1,0)+(SUMIF('BUSBAR DATA'!$Y$24:$Y$39,BOM!A9,'BUSBAR DATA'!$AA$24:$AA$39)+SUMIF('BUSBAR DATA'!$AB$24:$AB$39,BOM!A9,'BUSBAR DATA'!$AD$24:$AD$39)+SUMIF('BUSBAR DATA'!$AE$24:$AE$39,BOM!A9,'BUSBAR DATA'!$AG$24:$AG$39))*IF('BUSBAR DATA'!$D$42=2,1,0))</f>
        <v>0</v>
      </c>
      <c r="D9" s="336">
        <f>C9*'Busbar Calculations'!$C$4</f>
        <v>0</v>
      </c>
      <c r="F9" s="370"/>
      <c r="G9" s="370"/>
    </row>
    <row r="10" spans="1:7" ht="15" customHeight="1">
      <c r="A10" s="327">
        <v>1016279</v>
      </c>
      <c r="B10" s="328" t="s">
        <v>356</v>
      </c>
      <c r="C10" s="336">
        <f>((SUMIF('BUSBAR DATA'!$Y$4:$Y$19,BOM!A10,'BUSBAR DATA'!$AA$4:$AA$19)+SUMIF('BUSBAR DATA'!$AB$4:$AB$19,BOM!A10,'BUSBAR DATA'!$AD$4:$AD$19)+SUMIF('BUSBAR DATA'!$AE$4:$AE$19,BOM!A10,'BUSBAR DATA'!$AG$4:$AG$19))*IF('BUSBAR DATA'!$D$42=1,1,0)+(SUMIF('BUSBAR DATA'!$Y$24:$Y$39,BOM!A10,'BUSBAR DATA'!$AA$24:$AA$39)+SUMIF('BUSBAR DATA'!$AB$24:$AB$39,BOM!A10,'BUSBAR DATA'!$AD$24:$AD$39)+SUMIF('BUSBAR DATA'!$AE$24:$AE$39,BOM!A10,'BUSBAR DATA'!$AG$24:$AG$39))*IF('BUSBAR DATA'!$D$42=2,1,0))</f>
        <v>0</v>
      </c>
      <c r="D10" s="336">
        <f>C10*'Busbar Calculations'!$C$4</f>
        <v>0</v>
      </c>
      <c r="F10" s="370"/>
      <c r="G10" s="370"/>
    </row>
    <row r="11" spans="1:7" ht="15" customHeight="1">
      <c r="A11" s="327">
        <v>1016275</v>
      </c>
      <c r="B11" s="328" t="s">
        <v>357</v>
      </c>
      <c r="C11" s="336">
        <f>((SUMIF('BUSBAR DATA'!$Y$4:$Y$19,BOM!A11,'BUSBAR DATA'!$AA$4:$AA$19)+SUMIF('BUSBAR DATA'!$AB$4:$AB$19,BOM!A11,'BUSBAR DATA'!$AD$4:$AD$19)+SUMIF('BUSBAR DATA'!$AE$4:$AE$19,BOM!A11,'BUSBAR DATA'!$AG$4:$AG$19))*IF('BUSBAR DATA'!$D$42=1,1,0)+(SUMIF('BUSBAR DATA'!$Y$24:$Y$39,BOM!A11,'BUSBAR DATA'!$AA$24:$AA$39)+SUMIF('BUSBAR DATA'!$AB$24:$AB$39,BOM!A11,'BUSBAR DATA'!$AD$24:$AD$39)+SUMIF('BUSBAR DATA'!$AE$24:$AE$39,BOM!A11,'BUSBAR DATA'!$AG$24:$AG$39))*IF('BUSBAR DATA'!$D$42=2,1,0))</f>
        <v>48.594000000000001</v>
      </c>
      <c r="D11" s="336">
        <f>C11*'Busbar Calculations'!$C$4</f>
        <v>48.594000000000001</v>
      </c>
      <c r="F11" s="370"/>
      <c r="G11" s="370"/>
    </row>
    <row r="12" spans="1:7" ht="15" customHeight="1">
      <c r="A12" s="327">
        <v>1016280</v>
      </c>
      <c r="B12" s="328" t="s">
        <v>358</v>
      </c>
      <c r="C12" s="336">
        <f>((SUMIF('BUSBAR DATA'!$Y$4:$Y$19,BOM!A12,'BUSBAR DATA'!$AA$4:$AA$19)+SUMIF('BUSBAR DATA'!$AB$4:$AB$19,BOM!A12,'BUSBAR DATA'!$AD$4:$AD$19)+SUMIF('BUSBAR DATA'!$AE$4:$AE$19,BOM!A12,'BUSBAR DATA'!$AG$4:$AG$19))*IF('BUSBAR DATA'!$D$42=1,1,0)+(SUMIF('BUSBAR DATA'!$Y$24:$Y$39,BOM!A12,'BUSBAR DATA'!$AA$24:$AA$39)+SUMIF('BUSBAR DATA'!$AB$24:$AB$39,BOM!A12,'BUSBAR DATA'!$AD$24:$AD$39)+SUMIF('BUSBAR DATA'!$AE$24:$AE$39,BOM!A12,'BUSBAR DATA'!$AG$24:$AG$39))*IF('BUSBAR DATA'!$D$42=2,1,0))</f>
        <v>125.27640000000002</v>
      </c>
      <c r="D12" s="336">
        <f>C12*'Busbar Calculations'!$C$4</f>
        <v>125.27640000000002</v>
      </c>
      <c r="F12" s="370"/>
      <c r="G12" s="370"/>
    </row>
    <row r="13" spans="1:7" ht="15" customHeight="1" thickBot="1">
      <c r="A13" s="327">
        <v>1016276</v>
      </c>
      <c r="B13" s="328" t="s">
        <v>359</v>
      </c>
      <c r="C13" s="336">
        <f>((SUMIF('BUSBAR DATA'!$Y$4:$Y$19,BOM!A13,'BUSBAR DATA'!$AA$4:$AA$19)+SUMIF('BUSBAR DATA'!$AB$4:$AB$19,BOM!A13,'BUSBAR DATA'!$AD$4:$AD$19)+SUMIF('BUSBAR DATA'!$AE$4:$AE$19,BOM!A13,'BUSBAR DATA'!$AG$4:$AG$19))*IF('BUSBAR DATA'!$D$42=1,1,0)+(SUMIF('BUSBAR DATA'!$Y$24:$Y$39,BOM!A13,'BUSBAR DATA'!$AA$24:$AA$39)+SUMIF('BUSBAR DATA'!$AB$24:$AB$39,BOM!A13,'BUSBAR DATA'!$AD$24:$AD$39)+SUMIF('BUSBAR DATA'!$AE$24:$AE$39,BOM!A13,'BUSBAR DATA'!$AG$24:$AG$39))*IF('BUSBAR DATA'!$D$42=2,1,0))</f>
        <v>380.47500000000008</v>
      </c>
      <c r="D13" s="336">
        <f>C13*'Busbar Calculations'!$C$4</f>
        <v>380.47500000000008</v>
      </c>
      <c r="F13" s="370"/>
      <c r="G13" s="370"/>
    </row>
    <row r="14" spans="1:7" ht="15" customHeight="1" thickBot="1">
      <c r="A14" s="317"/>
      <c r="B14" s="535" t="s">
        <v>294</v>
      </c>
      <c r="C14" s="536"/>
      <c r="D14" s="318">
        <f>SUM(D15:D24)</f>
        <v>0</v>
      </c>
      <c r="F14" s="370"/>
      <c r="G14" s="370"/>
    </row>
    <row r="15" spans="1:7" ht="15" customHeight="1">
      <c r="A15" s="353">
        <v>1016258</v>
      </c>
      <c r="B15" s="335" t="s">
        <v>430</v>
      </c>
      <c r="C15" s="336">
        <f>((SUMIF('BUSBAR DATA'!$Z$4:$Z$19,BOM!A15,'BUSBAR DATA'!$AA$4:$AA$19)+SUMIF('BUSBAR DATA'!$AC$4:$AC$19,BOM!A15,'BUSBAR DATA'!$AD$4:$AD$19)+SUMIF('BUSBAR DATA'!$AF$4:$AF$19,BOM!A15,'BUSBAR DATA'!$AG$4:$AG$19))*IF('BUSBAR DATA'!$D$42=1,1,0)+(SUMIF('BUSBAR DATA'!$Z$24:$Z$39,BOM!A15,'BUSBAR DATA'!$AA$24:$AA$39)+SUMIF('BUSBAR DATA'!$AC$24:$AC$39,BOM!A15,'BUSBAR DATA'!$AD$24:$AD$39)+SUMIF('BUSBAR DATA'!$AF$24:$AF$39,BOM!A15,'BUSBAR DATA'!$AG$24:$AG$39))*IF('BUSBAR DATA'!$D$42=2,1,0))</f>
        <v>0</v>
      </c>
      <c r="D15" s="336">
        <f>C15*'Busbar Calculations'!$E$4</f>
        <v>0</v>
      </c>
      <c r="F15" s="370"/>
      <c r="G15" s="370"/>
    </row>
    <row r="16" spans="1:7" ht="15" customHeight="1">
      <c r="A16" s="327">
        <v>1030335</v>
      </c>
      <c r="B16" s="328" t="s">
        <v>431</v>
      </c>
      <c r="C16" s="336">
        <f>((SUMIF('BUSBAR DATA'!$Z$4:$Z$19,BOM!A16,'BUSBAR DATA'!$AA$4:$AA$19)+SUMIF('BUSBAR DATA'!$AC$4:$AC$19,BOM!A16,'BUSBAR DATA'!$AD$4:$AD$19)+SUMIF('BUSBAR DATA'!$AF$4:$AF$19,BOM!A16,'BUSBAR DATA'!$AG$4:$AG$19))*IF('BUSBAR DATA'!$D$42=1,1,0)+(SUMIF('BUSBAR DATA'!$Z$24:$Z$39,BOM!A16,'BUSBAR DATA'!$AA$24:$AA$39)+SUMIF('BUSBAR DATA'!$AC$24:$AC$39,BOM!A16,'BUSBAR DATA'!$AD$24:$AD$39)+SUMIF('BUSBAR DATA'!$AF$24:$AF$39,BOM!A16,'BUSBAR DATA'!$AG$24:$AG$39))*IF('BUSBAR DATA'!$D$42=2,1,0))</f>
        <v>0</v>
      </c>
      <c r="D16" s="336">
        <f>C16*'Busbar Calculations'!$E$4</f>
        <v>0</v>
      </c>
      <c r="F16" s="370"/>
      <c r="G16" s="370"/>
    </row>
    <row r="17" spans="1:7" ht="15" customHeight="1">
      <c r="A17" s="330">
        <v>1011781</v>
      </c>
      <c r="B17" s="328" t="s">
        <v>427</v>
      </c>
      <c r="C17" s="336">
        <f>((SUMIF('BUSBAR DATA'!$Z$4:$Z$19,BOM!A17,'BUSBAR DATA'!$AA$4:$AA$19)+SUMIF('BUSBAR DATA'!$AC$4:$AC$19,BOM!A17,'BUSBAR DATA'!$AD$4:$AD$19)+SUMIF('BUSBAR DATA'!$AF$4:$AF$19,BOM!A17,'BUSBAR DATA'!$AG$4:$AG$19))*IF('BUSBAR DATA'!$D$42=1,1,0)+(SUMIF('BUSBAR DATA'!$Z$24:$Z$39,BOM!A17,'BUSBAR DATA'!$AA$24:$AA$39)+SUMIF('BUSBAR DATA'!$AC$24:$AC$39,BOM!A17,'BUSBAR DATA'!$AD$24:$AD$39)+SUMIF('BUSBAR DATA'!$AF$24:$AF$39,BOM!A17,'BUSBAR DATA'!$AG$24:$AG$39))*IF('BUSBAR DATA'!$D$42=2,1,0))</f>
        <v>0</v>
      </c>
      <c r="D17" s="336">
        <f>C17*'Busbar Calculations'!$E$4</f>
        <v>0</v>
      </c>
    </row>
    <row r="18" spans="1:7" ht="15" customHeight="1">
      <c r="A18" s="330">
        <v>1011783</v>
      </c>
      <c r="B18" s="328" t="s">
        <v>428</v>
      </c>
      <c r="C18" s="336">
        <f>((SUMIF('BUSBAR DATA'!$Z$4:$Z$19,BOM!A18,'BUSBAR DATA'!$AA$4:$AA$19)+SUMIF('BUSBAR DATA'!$AC$4:$AC$19,BOM!A18,'BUSBAR DATA'!$AD$4:$AD$19)+SUMIF('BUSBAR DATA'!$AF$4:$AF$19,BOM!A18,'BUSBAR DATA'!$AG$4:$AG$19))*IF('BUSBAR DATA'!$D$42=1,1,0)+(SUMIF('BUSBAR DATA'!$Z$24:$Z$39,BOM!A18,'BUSBAR DATA'!$AA$24:$AA$39)+SUMIF('BUSBAR DATA'!$AC$24:$AC$39,BOM!A18,'BUSBAR DATA'!$AD$24:$AD$39)+SUMIF('BUSBAR DATA'!$AF$24:$AF$39,BOM!A18,'BUSBAR DATA'!$AG$24:$AG$39))*IF('BUSBAR DATA'!$D$42=2,1,0))</f>
        <v>4.8060000000000009</v>
      </c>
      <c r="D18" s="336">
        <f>C18*'Busbar Calculations'!$E$4</f>
        <v>0</v>
      </c>
      <c r="F18" s="370"/>
      <c r="G18" s="370"/>
    </row>
    <row r="19" spans="1:7" ht="15" customHeight="1">
      <c r="A19" s="351">
        <v>1011784</v>
      </c>
      <c r="B19" s="352" t="s">
        <v>429</v>
      </c>
      <c r="C19" s="336">
        <f>((SUMIF('BUSBAR DATA'!$Z$4:$Z$19,BOM!A19,'BUSBAR DATA'!$AA$4:$AA$19)+SUMIF('BUSBAR DATA'!$AC$4:$AC$19,BOM!A19,'BUSBAR DATA'!$AD$4:$AD$19)+SUMIF('BUSBAR DATA'!$AF$4:$AF$19,BOM!A19,'BUSBAR DATA'!$AG$4:$AG$19))*IF('BUSBAR DATA'!$D$42=1,1,0)+(SUMIF('BUSBAR DATA'!$Z$24:$Z$39,BOM!A19,'BUSBAR DATA'!$AA$24:$AA$39)+SUMIF('BUSBAR DATA'!$AC$24:$AC$39,BOM!A19,'BUSBAR DATA'!$AD$24:$AD$39)+SUMIF('BUSBAR DATA'!$AF$24:$AF$39,BOM!A19,'BUSBAR DATA'!$AG$24:$AG$39))*IF('BUSBAR DATA'!$D$42=2,1,0))</f>
        <v>0</v>
      </c>
      <c r="D19" s="336">
        <f>C19*'Busbar Calculations'!$E$4</f>
        <v>0</v>
      </c>
      <c r="F19" s="370"/>
      <c r="G19" s="370"/>
    </row>
    <row r="20" spans="1:7" ht="15" customHeight="1">
      <c r="A20" s="327">
        <v>1016264</v>
      </c>
      <c r="B20" s="328" t="s">
        <v>432</v>
      </c>
      <c r="C20" s="336">
        <f>((SUMIF('BUSBAR DATA'!$Z$4:$Z$19,BOM!A20,'BUSBAR DATA'!$AA$4:$AA$19)+SUMIF('BUSBAR DATA'!$AC$4:$AC$19,BOM!A20,'BUSBAR DATA'!$AD$4:$AD$19)+SUMIF('BUSBAR DATA'!$AF$4:$AF$19,BOM!A20,'BUSBAR DATA'!$AG$4:$AG$19))*IF('BUSBAR DATA'!$D$42=1,1,0)+(SUMIF('BUSBAR DATA'!$Z$24:$Z$39,BOM!A20,'BUSBAR DATA'!$AA$24:$AA$39)+SUMIF('BUSBAR DATA'!$AC$24:$AC$39,BOM!A20,'BUSBAR DATA'!$AD$24:$AD$39)+SUMIF('BUSBAR DATA'!$AF$24:$AF$39,BOM!A20,'BUSBAR DATA'!$AG$24:$AG$39))*IF('BUSBAR DATA'!$D$42=2,1,0))</f>
        <v>0</v>
      </c>
      <c r="D20" s="336">
        <f>C20*'Busbar Calculations'!$E$4</f>
        <v>0</v>
      </c>
    </row>
    <row r="21" spans="1:7" ht="15" customHeight="1">
      <c r="A21" s="327">
        <v>1016268</v>
      </c>
      <c r="B21" s="328" t="s">
        <v>433</v>
      </c>
      <c r="C21" s="336">
        <f>((SUMIF('BUSBAR DATA'!$Z$4:$Z$19,BOM!A21,'BUSBAR DATA'!$AA$4:$AA$19)+SUMIF('BUSBAR DATA'!$AC$4:$AC$19,BOM!A21,'BUSBAR DATA'!$AD$4:$AD$19)+SUMIF('BUSBAR DATA'!$AF$4:$AF$19,BOM!A21,'BUSBAR DATA'!$AG$4:$AG$19))*IF('BUSBAR DATA'!$D$42=1,1,0)+(SUMIF('BUSBAR DATA'!$Z$24:$Z$39,BOM!A21,'BUSBAR DATA'!$AA$24:$AA$39)+SUMIF('BUSBAR DATA'!$AC$24:$AC$39,BOM!A21,'BUSBAR DATA'!$AD$24:$AD$39)+SUMIF('BUSBAR DATA'!$AF$24:$AF$39,BOM!A21,'BUSBAR DATA'!$AG$24:$AG$39))*IF('BUSBAR DATA'!$D$42=2,1,0))</f>
        <v>0</v>
      </c>
      <c r="D21" s="336">
        <f>C21*'Busbar Calculations'!$E$4</f>
        <v>0</v>
      </c>
    </row>
    <row r="22" spans="1:7" ht="15" customHeight="1">
      <c r="A22" s="327">
        <v>1016266</v>
      </c>
      <c r="B22" s="328" t="s">
        <v>434</v>
      </c>
      <c r="C22" s="336">
        <f>((SUMIF('BUSBAR DATA'!$Z$4:$Z$19,BOM!A22,'BUSBAR DATA'!$AA$4:$AA$19)+SUMIF('BUSBAR DATA'!$AC$4:$AC$19,BOM!A22,'BUSBAR DATA'!$AD$4:$AD$19)+SUMIF('BUSBAR DATA'!$AF$4:$AF$19,BOM!A22,'BUSBAR DATA'!$AG$4:$AG$19))*IF('BUSBAR DATA'!$D$42=1,1,0)+(SUMIF('BUSBAR DATA'!$Z$24:$Z$39,BOM!A22,'BUSBAR DATA'!$AA$24:$AA$39)+SUMIF('BUSBAR DATA'!$AC$24:$AC$39,BOM!A22,'BUSBAR DATA'!$AD$24:$AD$39)+SUMIF('BUSBAR DATA'!$AF$24:$AF$39,BOM!A22,'BUSBAR DATA'!$AG$24:$AG$39))*IF('BUSBAR DATA'!$D$42=2,1,0))</f>
        <v>48.594000000000001</v>
      </c>
      <c r="D22" s="336">
        <f>C22*'Busbar Calculations'!$E$4</f>
        <v>0</v>
      </c>
    </row>
    <row r="23" spans="1:7" ht="15" customHeight="1">
      <c r="A23" s="327">
        <v>1016269</v>
      </c>
      <c r="B23" s="328" t="s">
        <v>435</v>
      </c>
      <c r="C23" s="336">
        <f>((SUMIF('BUSBAR DATA'!$Z$4:$Z$19,BOM!A23,'BUSBAR DATA'!$AA$4:$AA$19)+SUMIF('BUSBAR DATA'!$AC$4:$AC$19,BOM!A23,'BUSBAR DATA'!$AD$4:$AD$19)+SUMIF('BUSBAR DATA'!$AF$4:$AF$19,BOM!A23,'BUSBAR DATA'!$AG$4:$AG$19))*IF('BUSBAR DATA'!$D$42=1,1,0)+(SUMIF('BUSBAR DATA'!$Z$24:$Z$39,BOM!A23,'BUSBAR DATA'!$AA$24:$AA$39)+SUMIF('BUSBAR DATA'!$AC$24:$AC$39,BOM!A23,'BUSBAR DATA'!$AD$24:$AD$39)+SUMIF('BUSBAR DATA'!$AF$24:$AF$39,BOM!A23,'BUSBAR DATA'!$AG$24:$AG$39))*IF('BUSBAR DATA'!$D$42=2,1,0))</f>
        <v>125.27640000000002</v>
      </c>
      <c r="D23" s="336">
        <f>C23*'Busbar Calculations'!$E$4</f>
        <v>0</v>
      </c>
    </row>
    <row r="24" spans="1:7" ht="15" customHeight="1" thickBot="1">
      <c r="A24" s="327">
        <v>1016267</v>
      </c>
      <c r="B24" s="328" t="s">
        <v>436</v>
      </c>
      <c r="C24" s="336">
        <f>((SUMIF('BUSBAR DATA'!$Z$4:$Z$19,BOM!A24,'BUSBAR DATA'!$AA$4:$AA$19)+SUMIF('BUSBAR DATA'!$AC$4:$AC$19,BOM!A24,'BUSBAR DATA'!$AD$4:$AD$19)+SUMIF('BUSBAR DATA'!$AF$4:$AF$19,BOM!A24,'BUSBAR DATA'!$AG$4:$AG$19))*IF('BUSBAR DATA'!$D$42=1,1,0)+(SUMIF('BUSBAR DATA'!$Z$24:$Z$39,BOM!A24,'BUSBAR DATA'!$AA$24:$AA$39)+SUMIF('BUSBAR DATA'!$AC$24:$AC$39,BOM!A24,'BUSBAR DATA'!$AD$24:$AD$39)+SUMIF('BUSBAR DATA'!$AF$24:$AF$39,BOM!A24,'BUSBAR DATA'!$AG$24:$AG$39))*IF('BUSBAR DATA'!$D$42=2,1,0))</f>
        <v>380.47500000000008</v>
      </c>
      <c r="D24" s="336">
        <f>C24*'Busbar Calculations'!$E$4</f>
        <v>0</v>
      </c>
    </row>
    <row r="25" spans="1:7" ht="15" customHeight="1" thickBot="1">
      <c r="A25" s="317"/>
      <c r="B25" s="535" t="s">
        <v>354</v>
      </c>
      <c r="C25" s="536"/>
      <c r="D25" s="318">
        <f>SUM(D26)</f>
        <v>0</v>
      </c>
    </row>
    <row r="26" spans="1:7" ht="15" customHeight="1" thickBot="1">
      <c r="A26" s="321">
        <v>1077468</v>
      </c>
      <c r="B26" s="322" t="s">
        <v>41</v>
      </c>
      <c r="C26" s="324">
        <f>'Busbar Calculations'!$G$261</f>
        <v>13.961400000000001</v>
      </c>
      <c r="D26" s="324">
        <f>C26*'Busbar Calculations'!$E$4</f>
        <v>0</v>
      </c>
    </row>
    <row r="27" spans="1:7" ht="15" customHeight="1" thickBot="1">
      <c r="A27" s="317"/>
      <c r="B27" s="535" t="s">
        <v>295</v>
      </c>
      <c r="C27" s="536"/>
      <c r="D27" s="318">
        <f>SUM(D28:D34)</f>
        <v>0</v>
      </c>
    </row>
    <row r="28" spans="1:7" ht="15" customHeight="1">
      <c r="A28" s="323">
        <v>1014755</v>
      </c>
      <c r="B28" s="325" t="s">
        <v>79</v>
      </c>
      <c r="C28" s="326">
        <f>'Busbar Calculations'!$N$250</f>
        <v>0</v>
      </c>
      <c r="D28" s="326">
        <f>C28*'Busbar Calculations'!$C$4</f>
        <v>0</v>
      </c>
    </row>
    <row r="29" spans="1:7" ht="15" customHeight="1">
      <c r="A29" s="327">
        <v>1014756</v>
      </c>
      <c r="B29" s="328" t="s">
        <v>80</v>
      </c>
      <c r="C29" s="329">
        <f>'Busbar Calculations'!$N$251</f>
        <v>0</v>
      </c>
      <c r="D29" s="329">
        <f>C29*'Busbar Calculations'!$C$4</f>
        <v>0</v>
      </c>
    </row>
    <row r="30" spans="1:7" ht="15" customHeight="1">
      <c r="A30" s="327">
        <v>1014757</v>
      </c>
      <c r="B30" s="328" t="s">
        <v>81</v>
      </c>
      <c r="C30" s="329">
        <f>'Busbar Calculations'!$N$252</f>
        <v>0</v>
      </c>
      <c r="D30" s="329">
        <f>C30*'Busbar Calculations'!$C$4</f>
        <v>0</v>
      </c>
    </row>
    <row r="31" spans="1:7" ht="15" customHeight="1">
      <c r="A31" s="327">
        <v>1059137</v>
      </c>
      <c r="B31" s="328" t="s">
        <v>82</v>
      </c>
      <c r="C31" s="329">
        <f>'Busbar Calculations'!$N$250</f>
        <v>0</v>
      </c>
      <c r="D31" s="329">
        <f>C31*'Busbar Calculations'!$E$4</f>
        <v>0</v>
      </c>
    </row>
    <row r="32" spans="1:7" ht="15" customHeight="1">
      <c r="A32" s="327">
        <v>1059138</v>
      </c>
      <c r="B32" s="328" t="s">
        <v>83</v>
      </c>
      <c r="C32" s="329">
        <f>'Busbar Calculations'!$N$251</f>
        <v>0</v>
      </c>
      <c r="D32" s="329">
        <f>C32*'Busbar Calculations'!$E$4</f>
        <v>0</v>
      </c>
    </row>
    <row r="33" spans="1:4" ht="15" customHeight="1">
      <c r="A33" s="334">
        <v>1059139</v>
      </c>
      <c r="B33" s="335" t="s">
        <v>78</v>
      </c>
      <c r="C33" s="336">
        <f>'Busbar Calculations'!$N$252</f>
        <v>0</v>
      </c>
      <c r="D33" s="336">
        <f>C33*'Busbar Calculations'!$E$4</f>
        <v>0</v>
      </c>
    </row>
    <row r="34" spans="1:4" ht="15" customHeight="1" thickBot="1">
      <c r="A34" s="331">
        <v>1040806</v>
      </c>
      <c r="B34" s="332" t="s">
        <v>382</v>
      </c>
      <c r="C34" s="333">
        <f>'Busbar Calculations'!$N$253</f>
        <v>0</v>
      </c>
      <c r="D34" s="333">
        <f t="shared" ref="D34" si="0">C34</f>
        <v>0</v>
      </c>
    </row>
  </sheetData>
  <autoFilter ref="D1:D34"/>
  <mergeCells count="5">
    <mergeCell ref="B1:C1"/>
    <mergeCell ref="B3:C3"/>
    <mergeCell ref="B14:C14"/>
    <mergeCell ref="B25:C25"/>
    <mergeCell ref="B27:C27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111"/>
  <sheetViews>
    <sheetView zoomScale="85" zoomScaleNormal="85" zoomScaleSheetLayoutView="85" workbookViewId="0">
      <selection activeCell="A2" sqref="A2:U2"/>
    </sheetView>
  </sheetViews>
  <sheetFormatPr defaultRowHeight="12.75"/>
  <cols>
    <col min="1" max="1" width="16.7109375" style="19" customWidth="1"/>
    <col min="2" max="2" width="11.28515625" style="19" customWidth="1"/>
    <col min="3" max="3" width="12.5703125" style="19" bestFit="1" customWidth="1"/>
    <col min="4" max="4" width="9.140625" style="19"/>
    <col min="5" max="5" width="9.7109375" style="19" bestFit="1" customWidth="1"/>
    <col min="6" max="6" width="9.140625" style="19"/>
    <col min="7" max="7" width="16.42578125" style="19" bestFit="1" customWidth="1"/>
    <col min="8" max="8" width="9.140625" style="19"/>
    <col min="9" max="9" width="13" style="19" bestFit="1" customWidth="1"/>
    <col min="10" max="11" width="9.140625" style="19"/>
    <col min="12" max="12" width="15.7109375" style="19" bestFit="1" customWidth="1"/>
    <col min="13" max="23" width="9.140625" style="19"/>
    <col min="24" max="25" width="9.28515625" style="45" bestFit="1" customWidth="1"/>
    <col min="26" max="43" width="9.140625" style="45"/>
    <col min="44" max="44" width="24.140625" style="45" customWidth="1"/>
    <col min="45" max="51" width="9.140625" style="45"/>
    <col min="52" max="52" width="24.140625" style="45" customWidth="1"/>
    <col min="53" max="256" width="9.140625" style="19"/>
    <col min="257" max="257" width="16.7109375" style="19" customWidth="1"/>
    <col min="258" max="258" width="11.28515625" style="19" customWidth="1"/>
    <col min="259" max="259" width="12.5703125" style="19" bestFit="1" customWidth="1"/>
    <col min="260" max="260" width="9.140625" style="19"/>
    <col min="261" max="261" width="9.7109375" style="19" bestFit="1" customWidth="1"/>
    <col min="262" max="262" width="9.140625" style="19"/>
    <col min="263" max="263" width="16.42578125" style="19" bestFit="1" customWidth="1"/>
    <col min="264" max="264" width="9.140625" style="19"/>
    <col min="265" max="265" width="13" style="19" bestFit="1" customWidth="1"/>
    <col min="266" max="267" width="9.140625" style="19"/>
    <col min="268" max="268" width="12" style="19" bestFit="1" customWidth="1"/>
    <col min="269" max="279" width="9.140625" style="19"/>
    <col min="280" max="281" width="9.28515625" style="19" bestFit="1" customWidth="1"/>
    <col min="282" max="299" width="9.140625" style="19"/>
    <col min="300" max="300" width="24.140625" style="19" customWidth="1"/>
    <col min="301" max="307" width="9.140625" style="19"/>
    <col min="308" max="308" width="24.140625" style="19" customWidth="1"/>
    <col min="309" max="512" width="9.140625" style="19"/>
    <col min="513" max="513" width="16.7109375" style="19" customWidth="1"/>
    <col min="514" max="514" width="11.28515625" style="19" customWidth="1"/>
    <col min="515" max="515" width="12.5703125" style="19" bestFit="1" customWidth="1"/>
    <col min="516" max="516" width="9.140625" style="19"/>
    <col min="517" max="517" width="9.7109375" style="19" bestFit="1" customWidth="1"/>
    <col min="518" max="518" width="9.140625" style="19"/>
    <col min="519" max="519" width="16.42578125" style="19" bestFit="1" customWidth="1"/>
    <col min="520" max="520" width="9.140625" style="19"/>
    <col min="521" max="521" width="13" style="19" bestFit="1" customWidth="1"/>
    <col min="522" max="523" width="9.140625" style="19"/>
    <col min="524" max="524" width="12" style="19" bestFit="1" customWidth="1"/>
    <col min="525" max="535" width="9.140625" style="19"/>
    <col min="536" max="537" width="9.28515625" style="19" bestFit="1" customWidth="1"/>
    <col min="538" max="555" width="9.140625" style="19"/>
    <col min="556" max="556" width="24.140625" style="19" customWidth="1"/>
    <col min="557" max="563" width="9.140625" style="19"/>
    <col min="564" max="564" width="24.140625" style="19" customWidth="1"/>
    <col min="565" max="768" width="9.140625" style="19"/>
    <col min="769" max="769" width="16.7109375" style="19" customWidth="1"/>
    <col min="770" max="770" width="11.28515625" style="19" customWidth="1"/>
    <col min="771" max="771" width="12.5703125" style="19" bestFit="1" customWidth="1"/>
    <col min="772" max="772" width="9.140625" style="19"/>
    <col min="773" max="773" width="9.7109375" style="19" bestFit="1" customWidth="1"/>
    <col min="774" max="774" width="9.140625" style="19"/>
    <col min="775" max="775" width="16.42578125" style="19" bestFit="1" customWidth="1"/>
    <col min="776" max="776" width="9.140625" style="19"/>
    <col min="777" max="777" width="13" style="19" bestFit="1" customWidth="1"/>
    <col min="778" max="779" width="9.140625" style="19"/>
    <col min="780" max="780" width="12" style="19" bestFit="1" customWidth="1"/>
    <col min="781" max="791" width="9.140625" style="19"/>
    <col min="792" max="793" width="9.28515625" style="19" bestFit="1" customWidth="1"/>
    <col min="794" max="811" width="9.140625" style="19"/>
    <col min="812" max="812" width="24.140625" style="19" customWidth="1"/>
    <col min="813" max="819" width="9.140625" style="19"/>
    <col min="820" max="820" width="24.140625" style="19" customWidth="1"/>
    <col min="821" max="1024" width="9.140625" style="19"/>
    <col min="1025" max="1025" width="16.7109375" style="19" customWidth="1"/>
    <col min="1026" max="1026" width="11.28515625" style="19" customWidth="1"/>
    <col min="1027" max="1027" width="12.5703125" style="19" bestFit="1" customWidth="1"/>
    <col min="1028" max="1028" width="9.140625" style="19"/>
    <col min="1029" max="1029" width="9.7109375" style="19" bestFit="1" customWidth="1"/>
    <col min="1030" max="1030" width="9.140625" style="19"/>
    <col min="1031" max="1031" width="16.42578125" style="19" bestFit="1" customWidth="1"/>
    <col min="1032" max="1032" width="9.140625" style="19"/>
    <col min="1033" max="1033" width="13" style="19" bestFit="1" customWidth="1"/>
    <col min="1034" max="1035" width="9.140625" style="19"/>
    <col min="1036" max="1036" width="12" style="19" bestFit="1" customWidth="1"/>
    <col min="1037" max="1047" width="9.140625" style="19"/>
    <col min="1048" max="1049" width="9.28515625" style="19" bestFit="1" customWidth="1"/>
    <col min="1050" max="1067" width="9.140625" style="19"/>
    <col min="1068" max="1068" width="24.140625" style="19" customWidth="1"/>
    <col min="1069" max="1075" width="9.140625" style="19"/>
    <col min="1076" max="1076" width="24.140625" style="19" customWidth="1"/>
    <col min="1077" max="1280" width="9.140625" style="19"/>
    <col min="1281" max="1281" width="16.7109375" style="19" customWidth="1"/>
    <col min="1282" max="1282" width="11.28515625" style="19" customWidth="1"/>
    <col min="1283" max="1283" width="12.5703125" style="19" bestFit="1" customWidth="1"/>
    <col min="1284" max="1284" width="9.140625" style="19"/>
    <col min="1285" max="1285" width="9.7109375" style="19" bestFit="1" customWidth="1"/>
    <col min="1286" max="1286" width="9.140625" style="19"/>
    <col min="1287" max="1287" width="16.42578125" style="19" bestFit="1" customWidth="1"/>
    <col min="1288" max="1288" width="9.140625" style="19"/>
    <col min="1289" max="1289" width="13" style="19" bestFit="1" customWidth="1"/>
    <col min="1290" max="1291" width="9.140625" style="19"/>
    <col min="1292" max="1292" width="12" style="19" bestFit="1" customWidth="1"/>
    <col min="1293" max="1303" width="9.140625" style="19"/>
    <col min="1304" max="1305" width="9.28515625" style="19" bestFit="1" customWidth="1"/>
    <col min="1306" max="1323" width="9.140625" style="19"/>
    <col min="1324" max="1324" width="24.140625" style="19" customWidth="1"/>
    <col min="1325" max="1331" width="9.140625" style="19"/>
    <col min="1332" max="1332" width="24.140625" style="19" customWidth="1"/>
    <col min="1333" max="1536" width="9.140625" style="19"/>
    <col min="1537" max="1537" width="16.7109375" style="19" customWidth="1"/>
    <col min="1538" max="1538" width="11.28515625" style="19" customWidth="1"/>
    <col min="1539" max="1539" width="12.5703125" style="19" bestFit="1" customWidth="1"/>
    <col min="1540" max="1540" width="9.140625" style="19"/>
    <col min="1541" max="1541" width="9.7109375" style="19" bestFit="1" customWidth="1"/>
    <col min="1542" max="1542" width="9.140625" style="19"/>
    <col min="1543" max="1543" width="16.42578125" style="19" bestFit="1" customWidth="1"/>
    <col min="1544" max="1544" width="9.140625" style="19"/>
    <col min="1545" max="1545" width="13" style="19" bestFit="1" customWidth="1"/>
    <col min="1546" max="1547" width="9.140625" style="19"/>
    <col min="1548" max="1548" width="12" style="19" bestFit="1" customWidth="1"/>
    <col min="1549" max="1559" width="9.140625" style="19"/>
    <col min="1560" max="1561" width="9.28515625" style="19" bestFit="1" customWidth="1"/>
    <col min="1562" max="1579" width="9.140625" style="19"/>
    <col min="1580" max="1580" width="24.140625" style="19" customWidth="1"/>
    <col min="1581" max="1587" width="9.140625" style="19"/>
    <col min="1588" max="1588" width="24.140625" style="19" customWidth="1"/>
    <col min="1589" max="1792" width="9.140625" style="19"/>
    <col min="1793" max="1793" width="16.7109375" style="19" customWidth="1"/>
    <col min="1794" max="1794" width="11.28515625" style="19" customWidth="1"/>
    <col min="1795" max="1795" width="12.5703125" style="19" bestFit="1" customWidth="1"/>
    <col min="1796" max="1796" width="9.140625" style="19"/>
    <col min="1797" max="1797" width="9.7109375" style="19" bestFit="1" customWidth="1"/>
    <col min="1798" max="1798" width="9.140625" style="19"/>
    <col min="1799" max="1799" width="16.42578125" style="19" bestFit="1" customWidth="1"/>
    <col min="1800" max="1800" width="9.140625" style="19"/>
    <col min="1801" max="1801" width="13" style="19" bestFit="1" customWidth="1"/>
    <col min="1802" max="1803" width="9.140625" style="19"/>
    <col min="1804" max="1804" width="12" style="19" bestFit="1" customWidth="1"/>
    <col min="1805" max="1815" width="9.140625" style="19"/>
    <col min="1816" max="1817" width="9.28515625" style="19" bestFit="1" customWidth="1"/>
    <col min="1818" max="1835" width="9.140625" style="19"/>
    <col min="1836" max="1836" width="24.140625" style="19" customWidth="1"/>
    <col min="1837" max="1843" width="9.140625" style="19"/>
    <col min="1844" max="1844" width="24.140625" style="19" customWidth="1"/>
    <col min="1845" max="2048" width="9.140625" style="19"/>
    <col min="2049" max="2049" width="16.7109375" style="19" customWidth="1"/>
    <col min="2050" max="2050" width="11.28515625" style="19" customWidth="1"/>
    <col min="2051" max="2051" width="12.5703125" style="19" bestFit="1" customWidth="1"/>
    <col min="2052" max="2052" width="9.140625" style="19"/>
    <col min="2053" max="2053" width="9.7109375" style="19" bestFit="1" customWidth="1"/>
    <col min="2054" max="2054" width="9.140625" style="19"/>
    <col min="2055" max="2055" width="16.42578125" style="19" bestFit="1" customWidth="1"/>
    <col min="2056" max="2056" width="9.140625" style="19"/>
    <col min="2057" max="2057" width="13" style="19" bestFit="1" customWidth="1"/>
    <col min="2058" max="2059" width="9.140625" style="19"/>
    <col min="2060" max="2060" width="12" style="19" bestFit="1" customWidth="1"/>
    <col min="2061" max="2071" width="9.140625" style="19"/>
    <col min="2072" max="2073" width="9.28515625" style="19" bestFit="1" customWidth="1"/>
    <col min="2074" max="2091" width="9.140625" style="19"/>
    <col min="2092" max="2092" width="24.140625" style="19" customWidth="1"/>
    <col min="2093" max="2099" width="9.140625" style="19"/>
    <col min="2100" max="2100" width="24.140625" style="19" customWidth="1"/>
    <col min="2101" max="2304" width="9.140625" style="19"/>
    <col min="2305" max="2305" width="16.7109375" style="19" customWidth="1"/>
    <col min="2306" max="2306" width="11.28515625" style="19" customWidth="1"/>
    <col min="2307" max="2307" width="12.5703125" style="19" bestFit="1" customWidth="1"/>
    <col min="2308" max="2308" width="9.140625" style="19"/>
    <col min="2309" max="2309" width="9.7109375" style="19" bestFit="1" customWidth="1"/>
    <col min="2310" max="2310" width="9.140625" style="19"/>
    <col min="2311" max="2311" width="16.42578125" style="19" bestFit="1" customWidth="1"/>
    <col min="2312" max="2312" width="9.140625" style="19"/>
    <col min="2313" max="2313" width="13" style="19" bestFit="1" customWidth="1"/>
    <col min="2314" max="2315" width="9.140625" style="19"/>
    <col min="2316" max="2316" width="12" style="19" bestFit="1" customWidth="1"/>
    <col min="2317" max="2327" width="9.140625" style="19"/>
    <col min="2328" max="2329" width="9.28515625" style="19" bestFit="1" customWidth="1"/>
    <col min="2330" max="2347" width="9.140625" style="19"/>
    <col min="2348" max="2348" width="24.140625" style="19" customWidth="1"/>
    <col min="2349" max="2355" width="9.140625" style="19"/>
    <col min="2356" max="2356" width="24.140625" style="19" customWidth="1"/>
    <col min="2357" max="2560" width="9.140625" style="19"/>
    <col min="2561" max="2561" width="16.7109375" style="19" customWidth="1"/>
    <col min="2562" max="2562" width="11.28515625" style="19" customWidth="1"/>
    <col min="2563" max="2563" width="12.5703125" style="19" bestFit="1" customWidth="1"/>
    <col min="2564" max="2564" width="9.140625" style="19"/>
    <col min="2565" max="2565" width="9.7109375" style="19" bestFit="1" customWidth="1"/>
    <col min="2566" max="2566" width="9.140625" style="19"/>
    <col min="2567" max="2567" width="16.42578125" style="19" bestFit="1" customWidth="1"/>
    <col min="2568" max="2568" width="9.140625" style="19"/>
    <col min="2569" max="2569" width="13" style="19" bestFit="1" customWidth="1"/>
    <col min="2570" max="2571" width="9.140625" style="19"/>
    <col min="2572" max="2572" width="12" style="19" bestFit="1" customWidth="1"/>
    <col min="2573" max="2583" width="9.140625" style="19"/>
    <col min="2584" max="2585" width="9.28515625" style="19" bestFit="1" customWidth="1"/>
    <col min="2586" max="2603" width="9.140625" style="19"/>
    <col min="2604" max="2604" width="24.140625" style="19" customWidth="1"/>
    <col min="2605" max="2611" width="9.140625" style="19"/>
    <col min="2612" max="2612" width="24.140625" style="19" customWidth="1"/>
    <col min="2613" max="2816" width="9.140625" style="19"/>
    <col min="2817" max="2817" width="16.7109375" style="19" customWidth="1"/>
    <col min="2818" max="2818" width="11.28515625" style="19" customWidth="1"/>
    <col min="2819" max="2819" width="12.5703125" style="19" bestFit="1" customWidth="1"/>
    <col min="2820" max="2820" width="9.140625" style="19"/>
    <col min="2821" max="2821" width="9.7109375" style="19" bestFit="1" customWidth="1"/>
    <col min="2822" max="2822" width="9.140625" style="19"/>
    <col min="2823" max="2823" width="16.42578125" style="19" bestFit="1" customWidth="1"/>
    <col min="2824" max="2824" width="9.140625" style="19"/>
    <col min="2825" max="2825" width="13" style="19" bestFit="1" customWidth="1"/>
    <col min="2826" max="2827" width="9.140625" style="19"/>
    <col min="2828" max="2828" width="12" style="19" bestFit="1" customWidth="1"/>
    <col min="2829" max="2839" width="9.140625" style="19"/>
    <col min="2840" max="2841" width="9.28515625" style="19" bestFit="1" customWidth="1"/>
    <col min="2842" max="2859" width="9.140625" style="19"/>
    <col min="2860" max="2860" width="24.140625" style="19" customWidth="1"/>
    <col min="2861" max="2867" width="9.140625" style="19"/>
    <col min="2868" max="2868" width="24.140625" style="19" customWidth="1"/>
    <col min="2869" max="3072" width="9.140625" style="19"/>
    <col min="3073" max="3073" width="16.7109375" style="19" customWidth="1"/>
    <col min="3074" max="3074" width="11.28515625" style="19" customWidth="1"/>
    <col min="3075" max="3075" width="12.5703125" style="19" bestFit="1" customWidth="1"/>
    <col min="3076" max="3076" width="9.140625" style="19"/>
    <col min="3077" max="3077" width="9.7109375" style="19" bestFit="1" customWidth="1"/>
    <col min="3078" max="3078" width="9.140625" style="19"/>
    <col min="3079" max="3079" width="16.42578125" style="19" bestFit="1" customWidth="1"/>
    <col min="3080" max="3080" width="9.140625" style="19"/>
    <col min="3081" max="3081" width="13" style="19" bestFit="1" customWidth="1"/>
    <col min="3082" max="3083" width="9.140625" style="19"/>
    <col min="3084" max="3084" width="12" style="19" bestFit="1" customWidth="1"/>
    <col min="3085" max="3095" width="9.140625" style="19"/>
    <col min="3096" max="3097" width="9.28515625" style="19" bestFit="1" customWidth="1"/>
    <col min="3098" max="3115" width="9.140625" style="19"/>
    <col min="3116" max="3116" width="24.140625" style="19" customWidth="1"/>
    <col min="3117" max="3123" width="9.140625" style="19"/>
    <col min="3124" max="3124" width="24.140625" style="19" customWidth="1"/>
    <col min="3125" max="3328" width="9.140625" style="19"/>
    <col min="3329" max="3329" width="16.7109375" style="19" customWidth="1"/>
    <col min="3330" max="3330" width="11.28515625" style="19" customWidth="1"/>
    <col min="3331" max="3331" width="12.5703125" style="19" bestFit="1" customWidth="1"/>
    <col min="3332" max="3332" width="9.140625" style="19"/>
    <col min="3333" max="3333" width="9.7109375" style="19" bestFit="1" customWidth="1"/>
    <col min="3334" max="3334" width="9.140625" style="19"/>
    <col min="3335" max="3335" width="16.42578125" style="19" bestFit="1" customWidth="1"/>
    <col min="3336" max="3336" width="9.140625" style="19"/>
    <col min="3337" max="3337" width="13" style="19" bestFit="1" customWidth="1"/>
    <col min="3338" max="3339" width="9.140625" style="19"/>
    <col min="3340" max="3340" width="12" style="19" bestFit="1" customWidth="1"/>
    <col min="3341" max="3351" width="9.140625" style="19"/>
    <col min="3352" max="3353" width="9.28515625" style="19" bestFit="1" customWidth="1"/>
    <col min="3354" max="3371" width="9.140625" style="19"/>
    <col min="3372" max="3372" width="24.140625" style="19" customWidth="1"/>
    <col min="3373" max="3379" width="9.140625" style="19"/>
    <col min="3380" max="3380" width="24.140625" style="19" customWidth="1"/>
    <col min="3381" max="3584" width="9.140625" style="19"/>
    <col min="3585" max="3585" width="16.7109375" style="19" customWidth="1"/>
    <col min="3586" max="3586" width="11.28515625" style="19" customWidth="1"/>
    <col min="3587" max="3587" width="12.5703125" style="19" bestFit="1" customWidth="1"/>
    <col min="3588" max="3588" width="9.140625" style="19"/>
    <col min="3589" max="3589" width="9.7109375" style="19" bestFit="1" customWidth="1"/>
    <col min="3590" max="3590" width="9.140625" style="19"/>
    <col min="3591" max="3591" width="16.42578125" style="19" bestFit="1" customWidth="1"/>
    <col min="3592" max="3592" width="9.140625" style="19"/>
    <col min="3593" max="3593" width="13" style="19" bestFit="1" customWidth="1"/>
    <col min="3594" max="3595" width="9.140625" style="19"/>
    <col min="3596" max="3596" width="12" style="19" bestFit="1" customWidth="1"/>
    <col min="3597" max="3607" width="9.140625" style="19"/>
    <col min="3608" max="3609" width="9.28515625" style="19" bestFit="1" customWidth="1"/>
    <col min="3610" max="3627" width="9.140625" style="19"/>
    <col min="3628" max="3628" width="24.140625" style="19" customWidth="1"/>
    <col min="3629" max="3635" width="9.140625" style="19"/>
    <col min="3636" max="3636" width="24.140625" style="19" customWidth="1"/>
    <col min="3637" max="3840" width="9.140625" style="19"/>
    <col min="3841" max="3841" width="16.7109375" style="19" customWidth="1"/>
    <col min="3842" max="3842" width="11.28515625" style="19" customWidth="1"/>
    <col min="3843" max="3843" width="12.5703125" style="19" bestFit="1" customWidth="1"/>
    <col min="3844" max="3844" width="9.140625" style="19"/>
    <col min="3845" max="3845" width="9.7109375" style="19" bestFit="1" customWidth="1"/>
    <col min="3846" max="3846" width="9.140625" style="19"/>
    <col min="3847" max="3847" width="16.42578125" style="19" bestFit="1" customWidth="1"/>
    <col min="3848" max="3848" width="9.140625" style="19"/>
    <col min="3849" max="3849" width="13" style="19" bestFit="1" customWidth="1"/>
    <col min="3850" max="3851" width="9.140625" style="19"/>
    <col min="3852" max="3852" width="12" style="19" bestFit="1" customWidth="1"/>
    <col min="3853" max="3863" width="9.140625" style="19"/>
    <col min="3864" max="3865" width="9.28515625" style="19" bestFit="1" customWidth="1"/>
    <col min="3866" max="3883" width="9.140625" style="19"/>
    <col min="3884" max="3884" width="24.140625" style="19" customWidth="1"/>
    <col min="3885" max="3891" width="9.140625" style="19"/>
    <col min="3892" max="3892" width="24.140625" style="19" customWidth="1"/>
    <col min="3893" max="4096" width="9.140625" style="19"/>
    <col min="4097" max="4097" width="16.7109375" style="19" customWidth="1"/>
    <col min="4098" max="4098" width="11.28515625" style="19" customWidth="1"/>
    <col min="4099" max="4099" width="12.5703125" style="19" bestFit="1" customWidth="1"/>
    <col min="4100" max="4100" width="9.140625" style="19"/>
    <col min="4101" max="4101" width="9.7109375" style="19" bestFit="1" customWidth="1"/>
    <col min="4102" max="4102" width="9.140625" style="19"/>
    <col min="4103" max="4103" width="16.42578125" style="19" bestFit="1" customWidth="1"/>
    <col min="4104" max="4104" width="9.140625" style="19"/>
    <col min="4105" max="4105" width="13" style="19" bestFit="1" customWidth="1"/>
    <col min="4106" max="4107" width="9.140625" style="19"/>
    <col min="4108" max="4108" width="12" style="19" bestFit="1" customWidth="1"/>
    <col min="4109" max="4119" width="9.140625" style="19"/>
    <col min="4120" max="4121" width="9.28515625" style="19" bestFit="1" customWidth="1"/>
    <col min="4122" max="4139" width="9.140625" style="19"/>
    <col min="4140" max="4140" width="24.140625" style="19" customWidth="1"/>
    <col min="4141" max="4147" width="9.140625" style="19"/>
    <col min="4148" max="4148" width="24.140625" style="19" customWidth="1"/>
    <col min="4149" max="4352" width="9.140625" style="19"/>
    <col min="4353" max="4353" width="16.7109375" style="19" customWidth="1"/>
    <col min="4354" max="4354" width="11.28515625" style="19" customWidth="1"/>
    <col min="4355" max="4355" width="12.5703125" style="19" bestFit="1" customWidth="1"/>
    <col min="4356" max="4356" width="9.140625" style="19"/>
    <col min="4357" max="4357" width="9.7109375" style="19" bestFit="1" customWidth="1"/>
    <col min="4358" max="4358" width="9.140625" style="19"/>
    <col min="4359" max="4359" width="16.42578125" style="19" bestFit="1" customWidth="1"/>
    <col min="4360" max="4360" width="9.140625" style="19"/>
    <col min="4361" max="4361" width="13" style="19" bestFit="1" customWidth="1"/>
    <col min="4362" max="4363" width="9.140625" style="19"/>
    <col min="4364" max="4364" width="12" style="19" bestFit="1" customWidth="1"/>
    <col min="4365" max="4375" width="9.140625" style="19"/>
    <col min="4376" max="4377" width="9.28515625" style="19" bestFit="1" customWidth="1"/>
    <col min="4378" max="4395" width="9.140625" style="19"/>
    <col min="4396" max="4396" width="24.140625" style="19" customWidth="1"/>
    <col min="4397" max="4403" width="9.140625" style="19"/>
    <col min="4404" max="4404" width="24.140625" style="19" customWidth="1"/>
    <col min="4405" max="4608" width="9.140625" style="19"/>
    <col min="4609" max="4609" width="16.7109375" style="19" customWidth="1"/>
    <col min="4610" max="4610" width="11.28515625" style="19" customWidth="1"/>
    <col min="4611" max="4611" width="12.5703125" style="19" bestFit="1" customWidth="1"/>
    <col min="4612" max="4612" width="9.140625" style="19"/>
    <col min="4613" max="4613" width="9.7109375" style="19" bestFit="1" customWidth="1"/>
    <col min="4614" max="4614" width="9.140625" style="19"/>
    <col min="4615" max="4615" width="16.42578125" style="19" bestFit="1" customWidth="1"/>
    <col min="4616" max="4616" width="9.140625" style="19"/>
    <col min="4617" max="4617" width="13" style="19" bestFit="1" customWidth="1"/>
    <col min="4618" max="4619" width="9.140625" style="19"/>
    <col min="4620" max="4620" width="12" style="19" bestFit="1" customWidth="1"/>
    <col min="4621" max="4631" width="9.140625" style="19"/>
    <col min="4632" max="4633" width="9.28515625" style="19" bestFit="1" customWidth="1"/>
    <col min="4634" max="4651" width="9.140625" style="19"/>
    <col min="4652" max="4652" width="24.140625" style="19" customWidth="1"/>
    <col min="4653" max="4659" width="9.140625" style="19"/>
    <col min="4660" max="4660" width="24.140625" style="19" customWidth="1"/>
    <col min="4661" max="4864" width="9.140625" style="19"/>
    <col min="4865" max="4865" width="16.7109375" style="19" customWidth="1"/>
    <col min="4866" max="4866" width="11.28515625" style="19" customWidth="1"/>
    <col min="4867" max="4867" width="12.5703125" style="19" bestFit="1" customWidth="1"/>
    <col min="4868" max="4868" width="9.140625" style="19"/>
    <col min="4869" max="4869" width="9.7109375" style="19" bestFit="1" customWidth="1"/>
    <col min="4870" max="4870" width="9.140625" style="19"/>
    <col min="4871" max="4871" width="16.42578125" style="19" bestFit="1" customWidth="1"/>
    <col min="4872" max="4872" width="9.140625" style="19"/>
    <col min="4873" max="4873" width="13" style="19" bestFit="1" customWidth="1"/>
    <col min="4874" max="4875" width="9.140625" style="19"/>
    <col min="4876" max="4876" width="12" style="19" bestFit="1" customWidth="1"/>
    <col min="4877" max="4887" width="9.140625" style="19"/>
    <col min="4888" max="4889" width="9.28515625" style="19" bestFit="1" customWidth="1"/>
    <col min="4890" max="4907" width="9.140625" style="19"/>
    <col min="4908" max="4908" width="24.140625" style="19" customWidth="1"/>
    <col min="4909" max="4915" width="9.140625" style="19"/>
    <col min="4916" max="4916" width="24.140625" style="19" customWidth="1"/>
    <col min="4917" max="5120" width="9.140625" style="19"/>
    <col min="5121" max="5121" width="16.7109375" style="19" customWidth="1"/>
    <col min="5122" max="5122" width="11.28515625" style="19" customWidth="1"/>
    <col min="5123" max="5123" width="12.5703125" style="19" bestFit="1" customWidth="1"/>
    <col min="5124" max="5124" width="9.140625" style="19"/>
    <col min="5125" max="5125" width="9.7109375" style="19" bestFit="1" customWidth="1"/>
    <col min="5126" max="5126" width="9.140625" style="19"/>
    <col min="5127" max="5127" width="16.42578125" style="19" bestFit="1" customWidth="1"/>
    <col min="5128" max="5128" width="9.140625" style="19"/>
    <col min="5129" max="5129" width="13" style="19" bestFit="1" customWidth="1"/>
    <col min="5130" max="5131" width="9.140625" style="19"/>
    <col min="5132" max="5132" width="12" style="19" bestFit="1" customWidth="1"/>
    <col min="5133" max="5143" width="9.140625" style="19"/>
    <col min="5144" max="5145" width="9.28515625" style="19" bestFit="1" customWidth="1"/>
    <col min="5146" max="5163" width="9.140625" style="19"/>
    <col min="5164" max="5164" width="24.140625" style="19" customWidth="1"/>
    <col min="5165" max="5171" width="9.140625" style="19"/>
    <col min="5172" max="5172" width="24.140625" style="19" customWidth="1"/>
    <col min="5173" max="5376" width="9.140625" style="19"/>
    <col min="5377" max="5377" width="16.7109375" style="19" customWidth="1"/>
    <col min="5378" max="5378" width="11.28515625" style="19" customWidth="1"/>
    <col min="5379" max="5379" width="12.5703125" style="19" bestFit="1" customWidth="1"/>
    <col min="5380" max="5380" width="9.140625" style="19"/>
    <col min="5381" max="5381" width="9.7109375" style="19" bestFit="1" customWidth="1"/>
    <col min="5382" max="5382" width="9.140625" style="19"/>
    <col min="5383" max="5383" width="16.42578125" style="19" bestFit="1" customWidth="1"/>
    <col min="5384" max="5384" width="9.140625" style="19"/>
    <col min="5385" max="5385" width="13" style="19" bestFit="1" customWidth="1"/>
    <col min="5386" max="5387" width="9.140625" style="19"/>
    <col min="5388" max="5388" width="12" style="19" bestFit="1" customWidth="1"/>
    <col min="5389" max="5399" width="9.140625" style="19"/>
    <col min="5400" max="5401" width="9.28515625" style="19" bestFit="1" customWidth="1"/>
    <col min="5402" max="5419" width="9.140625" style="19"/>
    <col min="5420" max="5420" width="24.140625" style="19" customWidth="1"/>
    <col min="5421" max="5427" width="9.140625" style="19"/>
    <col min="5428" max="5428" width="24.140625" style="19" customWidth="1"/>
    <col min="5429" max="5632" width="9.140625" style="19"/>
    <col min="5633" max="5633" width="16.7109375" style="19" customWidth="1"/>
    <col min="5634" max="5634" width="11.28515625" style="19" customWidth="1"/>
    <col min="5635" max="5635" width="12.5703125" style="19" bestFit="1" customWidth="1"/>
    <col min="5636" max="5636" width="9.140625" style="19"/>
    <col min="5637" max="5637" width="9.7109375" style="19" bestFit="1" customWidth="1"/>
    <col min="5638" max="5638" width="9.140625" style="19"/>
    <col min="5639" max="5639" width="16.42578125" style="19" bestFit="1" customWidth="1"/>
    <col min="5640" max="5640" width="9.140625" style="19"/>
    <col min="5641" max="5641" width="13" style="19" bestFit="1" customWidth="1"/>
    <col min="5642" max="5643" width="9.140625" style="19"/>
    <col min="5644" max="5644" width="12" style="19" bestFit="1" customWidth="1"/>
    <col min="5645" max="5655" width="9.140625" style="19"/>
    <col min="5656" max="5657" width="9.28515625" style="19" bestFit="1" customWidth="1"/>
    <col min="5658" max="5675" width="9.140625" style="19"/>
    <col min="5676" max="5676" width="24.140625" style="19" customWidth="1"/>
    <col min="5677" max="5683" width="9.140625" style="19"/>
    <col min="5684" max="5684" width="24.140625" style="19" customWidth="1"/>
    <col min="5685" max="5888" width="9.140625" style="19"/>
    <col min="5889" max="5889" width="16.7109375" style="19" customWidth="1"/>
    <col min="5890" max="5890" width="11.28515625" style="19" customWidth="1"/>
    <col min="5891" max="5891" width="12.5703125" style="19" bestFit="1" customWidth="1"/>
    <col min="5892" max="5892" width="9.140625" style="19"/>
    <col min="5893" max="5893" width="9.7109375" style="19" bestFit="1" customWidth="1"/>
    <col min="5894" max="5894" width="9.140625" style="19"/>
    <col min="5895" max="5895" width="16.42578125" style="19" bestFit="1" customWidth="1"/>
    <col min="5896" max="5896" width="9.140625" style="19"/>
    <col min="5897" max="5897" width="13" style="19" bestFit="1" customWidth="1"/>
    <col min="5898" max="5899" width="9.140625" style="19"/>
    <col min="5900" max="5900" width="12" style="19" bestFit="1" customWidth="1"/>
    <col min="5901" max="5911" width="9.140625" style="19"/>
    <col min="5912" max="5913" width="9.28515625" style="19" bestFit="1" customWidth="1"/>
    <col min="5914" max="5931" width="9.140625" style="19"/>
    <col min="5932" max="5932" width="24.140625" style="19" customWidth="1"/>
    <col min="5933" max="5939" width="9.140625" style="19"/>
    <col min="5940" max="5940" width="24.140625" style="19" customWidth="1"/>
    <col min="5941" max="6144" width="9.140625" style="19"/>
    <col min="6145" max="6145" width="16.7109375" style="19" customWidth="1"/>
    <col min="6146" max="6146" width="11.28515625" style="19" customWidth="1"/>
    <col min="6147" max="6147" width="12.5703125" style="19" bestFit="1" customWidth="1"/>
    <col min="6148" max="6148" width="9.140625" style="19"/>
    <col min="6149" max="6149" width="9.7109375" style="19" bestFit="1" customWidth="1"/>
    <col min="6150" max="6150" width="9.140625" style="19"/>
    <col min="6151" max="6151" width="16.42578125" style="19" bestFit="1" customWidth="1"/>
    <col min="6152" max="6152" width="9.140625" style="19"/>
    <col min="6153" max="6153" width="13" style="19" bestFit="1" customWidth="1"/>
    <col min="6154" max="6155" width="9.140625" style="19"/>
    <col min="6156" max="6156" width="12" style="19" bestFit="1" customWidth="1"/>
    <col min="6157" max="6167" width="9.140625" style="19"/>
    <col min="6168" max="6169" width="9.28515625" style="19" bestFit="1" customWidth="1"/>
    <col min="6170" max="6187" width="9.140625" style="19"/>
    <col min="6188" max="6188" width="24.140625" style="19" customWidth="1"/>
    <col min="6189" max="6195" width="9.140625" style="19"/>
    <col min="6196" max="6196" width="24.140625" style="19" customWidth="1"/>
    <col min="6197" max="6400" width="9.140625" style="19"/>
    <col min="6401" max="6401" width="16.7109375" style="19" customWidth="1"/>
    <col min="6402" max="6402" width="11.28515625" style="19" customWidth="1"/>
    <col min="6403" max="6403" width="12.5703125" style="19" bestFit="1" customWidth="1"/>
    <col min="6404" max="6404" width="9.140625" style="19"/>
    <col min="6405" max="6405" width="9.7109375" style="19" bestFit="1" customWidth="1"/>
    <col min="6406" max="6406" width="9.140625" style="19"/>
    <col min="6407" max="6407" width="16.42578125" style="19" bestFit="1" customWidth="1"/>
    <col min="6408" max="6408" width="9.140625" style="19"/>
    <col min="6409" max="6409" width="13" style="19" bestFit="1" customWidth="1"/>
    <col min="6410" max="6411" width="9.140625" style="19"/>
    <col min="6412" max="6412" width="12" style="19" bestFit="1" customWidth="1"/>
    <col min="6413" max="6423" width="9.140625" style="19"/>
    <col min="6424" max="6425" width="9.28515625" style="19" bestFit="1" customWidth="1"/>
    <col min="6426" max="6443" width="9.140625" style="19"/>
    <col min="6444" max="6444" width="24.140625" style="19" customWidth="1"/>
    <col min="6445" max="6451" width="9.140625" style="19"/>
    <col min="6452" max="6452" width="24.140625" style="19" customWidth="1"/>
    <col min="6453" max="6656" width="9.140625" style="19"/>
    <col min="6657" max="6657" width="16.7109375" style="19" customWidth="1"/>
    <col min="6658" max="6658" width="11.28515625" style="19" customWidth="1"/>
    <col min="6659" max="6659" width="12.5703125" style="19" bestFit="1" customWidth="1"/>
    <col min="6660" max="6660" width="9.140625" style="19"/>
    <col min="6661" max="6661" width="9.7109375" style="19" bestFit="1" customWidth="1"/>
    <col min="6662" max="6662" width="9.140625" style="19"/>
    <col min="6663" max="6663" width="16.42578125" style="19" bestFit="1" customWidth="1"/>
    <col min="6664" max="6664" width="9.140625" style="19"/>
    <col min="6665" max="6665" width="13" style="19" bestFit="1" customWidth="1"/>
    <col min="6666" max="6667" width="9.140625" style="19"/>
    <col min="6668" max="6668" width="12" style="19" bestFit="1" customWidth="1"/>
    <col min="6669" max="6679" width="9.140625" style="19"/>
    <col min="6680" max="6681" width="9.28515625" style="19" bestFit="1" customWidth="1"/>
    <col min="6682" max="6699" width="9.140625" style="19"/>
    <col min="6700" max="6700" width="24.140625" style="19" customWidth="1"/>
    <col min="6701" max="6707" width="9.140625" style="19"/>
    <col min="6708" max="6708" width="24.140625" style="19" customWidth="1"/>
    <col min="6709" max="6912" width="9.140625" style="19"/>
    <col min="6913" max="6913" width="16.7109375" style="19" customWidth="1"/>
    <col min="6914" max="6914" width="11.28515625" style="19" customWidth="1"/>
    <col min="6915" max="6915" width="12.5703125" style="19" bestFit="1" customWidth="1"/>
    <col min="6916" max="6916" width="9.140625" style="19"/>
    <col min="6917" max="6917" width="9.7109375" style="19" bestFit="1" customWidth="1"/>
    <col min="6918" max="6918" width="9.140625" style="19"/>
    <col min="6919" max="6919" width="16.42578125" style="19" bestFit="1" customWidth="1"/>
    <col min="6920" max="6920" width="9.140625" style="19"/>
    <col min="6921" max="6921" width="13" style="19" bestFit="1" customWidth="1"/>
    <col min="6922" max="6923" width="9.140625" style="19"/>
    <col min="6924" max="6924" width="12" style="19" bestFit="1" customWidth="1"/>
    <col min="6925" max="6935" width="9.140625" style="19"/>
    <col min="6936" max="6937" width="9.28515625" style="19" bestFit="1" customWidth="1"/>
    <col min="6938" max="6955" width="9.140625" style="19"/>
    <col min="6956" max="6956" width="24.140625" style="19" customWidth="1"/>
    <col min="6957" max="6963" width="9.140625" style="19"/>
    <col min="6964" max="6964" width="24.140625" style="19" customWidth="1"/>
    <col min="6965" max="7168" width="9.140625" style="19"/>
    <col min="7169" max="7169" width="16.7109375" style="19" customWidth="1"/>
    <col min="7170" max="7170" width="11.28515625" style="19" customWidth="1"/>
    <col min="7171" max="7171" width="12.5703125" style="19" bestFit="1" customWidth="1"/>
    <col min="7172" max="7172" width="9.140625" style="19"/>
    <col min="7173" max="7173" width="9.7109375" style="19" bestFit="1" customWidth="1"/>
    <col min="7174" max="7174" width="9.140625" style="19"/>
    <col min="7175" max="7175" width="16.42578125" style="19" bestFit="1" customWidth="1"/>
    <col min="7176" max="7176" width="9.140625" style="19"/>
    <col min="7177" max="7177" width="13" style="19" bestFit="1" customWidth="1"/>
    <col min="7178" max="7179" width="9.140625" style="19"/>
    <col min="7180" max="7180" width="12" style="19" bestFit="1" customWidth="1"/>
    <col min="7181" max="7191" width="9.140625" style="19"/>
    <col min="7192" max="7193" width="9.28515625" style="19" bestFit="1" customWidth="1"/>
    <col min="7194" max="7211" width="9.140625" style="19"/>
    <col min="7212" max="7212" width="24.140625" style="19" customWidth="1"/>
    <col min="7213" max="7219" width="9.140625" style="19"/>
    <col min="7220" max="7220" width="24.140625" style="19" customWidth="1"/>
    <col min="7221" max="7424" width="9.140625" style="19"/>
    <col min="7425" max="7425" width="16.7109375" style="19" customWidth="1"/>
    <col min="7426" max="7426" width="11.28515625" style="19" customWidth="1"/>
    <col min="7427" max="7427" width="12.5703125" style="19" bestFit="1" customWidth="1"/>
    <col min="7428" max="7428" width="9.140625" style="19"/>
    <col min="7429" max="7429" width="9.7109375" style="19" bestFit="1" customWidth="1"/>
    <col min="7430" max="7430" width="9.140625" style="19"/>
    <col min="7431" max="7431" width="16.42578125" style="19" bestFit="1" customWidth="1"/>
    <col min="7432" max="7432" width="9.140625" style="19"/>
    <col min="7433" max="7433" width="13" style="19" bestFit="1" customWidth="1"/>
    <col min="7434" max="7435" width="9.140625" style="19"/>
    <col min="7436" max="7436" width="12" style="19" bestFit="1" customWidth="1"/>
    <col min="7437" max="7447" width="9.140625" style="19"/>
    <col min="7448" max="7449" width="9.28515625" style="19" bestFit="1" customWidth="1"/>
    <col min="7450" max="7467" width="9.140625" style="19"/>
    <col min="7468" max="7468" width="24.140625" style="19" customWidth="1"/>
    <col min="7469" max="7475" width="9.140625" style="19"/>
    <col min="7476" max="7476" width="24.140625" style="19" customWidth="1"/>
    <col min="7477" max="7680" width="9.140625" style="19"/>
    <col min="7681" max="7681" width="16.7109375" style="19" customWidth="1"/>
    <col min="7682" max="7682" width="11.28515625" style="19" customWidth="1"/>
    <col min="7683" max="7683" width="12.5703125" style="19" bestFit="1" customWidth="1"/>
    <col min="7684" max="7684" width="9.140625" style="19"/>
    <col min="7685" max="7685" width="9.7109375" style="19" bestFit="1" customWidth="1"/>
    <col min="7686" max="7686" width="9.140625" style="19"/>
    <col min="7687" max="7687" width="16.42578125" style="19" bestFit="1" customWidth="1"/>
    <col min="7688" max="7688" width="9.140625" style="19"/>
    <col min="7689" max="7689" width="13" style="19" bestFit="1" customWidth="1"/>
    <col min="7690" max="7691" width="9.140625" style="19"/>
    <col min="7692" max="7692" width="12" style="19" bestFit="1" customWidth="1"/>
    <col min="7693" max="7703" width="9.140625" style="19"/>
    <col min="7704" max="7705" width="9.28515625" style="19" bestFit="1" customWidth="1"/>
    <col min="7706" max="7723" width="9.140625" style="19"/>
    <col min="7724" max="7724" width="24.140625" style="19" customWidth="1"/>
    <col min="7725" max="7731" width="9.140625" style="19"/>
    <col min="7732" max="7732" width="24.140625" style="19" customWidth="1"/>
    <col min="7733" max="7936" width="9.140625" style="19"/>
    <col min="7937" max="7937" width="16.7109375" style="19" customWidth="1"/>
    <col min="7938" max="7938" width="11.28515625" style="19" customWidth="1"/>
    <col min="7939" max="7939" width="12.5703125" style="19" bestFit="1" customWidth="1"/>
    <col min="7940" max="7940" width="9.140625" style="19"/>
    <col min="7941" max="7941" width="9.7109375" style="19" bestFit="1" customWidth="1"/>
    <col min="7942" max="7942" width="9.140625" style="19"/>
    <col min="7943" max="7943" width="16.42578125" style="19" bestFit="1" customWidth="1"/>
    <col min="7944" max="7944" width="9.140625" style="19"/>
    <col min="7945" max="7945" width="13" style="19" bestFit="1" customWidth="1"/>
    <col min="7946" max="7947" width="9.140625" style="19"/>
    <col min="7948" max="7948" width="12" style="19" bestFit="1" customWidth="1"/>
    <col min="7949" max="7959" width="9.140625" style="19"/>
    <col min="7960" max="7961" width="9.28515625" style="19" bestFit="1" customWidth="1"/>
    <col min="7962" max="7979" width="9.140625" style="19"/>
    <col min="7980" max="7980" width="24.140625" style="19" customWidth="1"/>
    <col min="7981" max="7987" width="9.140625" style="19"/>
    <col min="7988" max="7988" width="24.140625" style="19" customWidth="1"/>
    <col min="7989" max="8192" width="9.140625" style="19"/>
    <col min="8193" max="8193" width="16.7109375" style="19" customWidth="1"/>
    <col min="8194" max="8194" width="11.28515625" style="19" customWidth="1"/>
    <col min="8195" max="8195" width="12.5703125" style="19" bestFit="1" customWidth="1"/>
    <col min="8196" max="8196" width="9.140625" style="19"/>
    <col min="8197" max="8197" width="9.7109375" style="19" bestFit="1" customWidth="1"/>
    <col min="8198" max="8198" width="9.140625" style="19"/>
    <col min="8199" max="8199" width="16.42578125" style="19" bestFit="1" customWidth="1"/>
    <col min="8200" max="8200" width="9.140625" style="19"/>
    <col min="8201" max="8201" width="13" style="19" bestFit="1" customWidth="1"/>
    <col min="8202" max="8203" width="9.140625" style="19"/>
    <col min="8204" max="8204" width="12" style="19" bestFit="1" customWidth="1"/>
    <col min="8205" max="8215" width="9.140625" style="19"/>
    <col min="8216" max="8217" width="9.28515625" style="19" bestFit="1" customWidth="1"/>
    <col min="8218" max="8235" width="9.140625" style="19"/>
    <col min="8236" max="8236" width="24.140625" style="19" customWidth="1"/>
    <col min="8237" max="8243" width="9.140625" style="19"/>
    <col min="8244" max="8244" width="24.140625" style="19" customWidth="1"/>
    <col min="8245" max="8448" width="9.140625" style="19"/>
    <col min="8449" max="8449" width="16.7109375" style="19" customWidth="1"/>
    <col min="8450" max="8450" width="11.28515625" style="19" customWidth="1"/>
    <col min="8451" max="8451" width="12.5703125" style="19" bestFit="1" customWidth="1"/>
    <col min="8452" max="8452" width="9.140625" style="19"/>
    <col min="8453" max="8453" width="9.7109375" style="19" bestFit="1" customWidth="1"/>
    <col min="8454" max="8454" width="9.140625" style="19"/>
    <col min="8455" max="8455" width="16.42578125" style="19" bestFit="1" customWidth="1"/>
    <col min="8456" max="8456" width="9.140625" style="19"/>
    <col min="8457" max="8457" width="13" style="19" bestFit="1" customWidth="1"/>
    <col min="8458" max="8459" width="9.140625" style="19"/>
    <col min="8460" max="8460" width="12" style="19" bestFit="1" customWidth="1"/>
    <col min="8461" max="8471" width="9.140625" style="19"/>
    <col min="8472" max="8473" width="9.28515625" style="19" bestFit="1" customWidth="1"/>
    <col min="8474" max="8491" width="9.140625" style="19"/>
    <col min="8492" max="8492" width="24.140625" style="19" customWidth="1"/>
    <col min="8493" max="8499" width="9.140625" style="19"/>
    <col min="8500" max="8500" width="24.140625" style="19" customWidth="1"/>
    <col min="8501" max="8704" width="9.140625" style="19"/>
    <col min="8705" max="8705" width="16.7109375" style="19" customWidth="1"/>
    <col min="8706" max="8706" width="11.28515625" style="19" customWidth="1"/>
    <col min="8707" max="8707" width="12.5703125" style="19" bestFit="1" customWidth="1"/>
    <col min="8708" max="8708" width="9.140625" style="19"/>
    <col min="8709" max="8709" width="9.7109375" style="19" bestFit="1" customWidth="1"/>
    <col min="8710" max="8710" width="9.140625" style="19"/>
    <col min="8711" max="8711" width="16.42578125" style="19" bestFit="1" customWidth="1"/>
    <col min="8712" max="8712" width="9.140625" style="19"/>
    <col min="8713" max="8713" width="13" style="19" bestFit="1" customWidth="1"/>
    <col min="8714" max="8715" width="9.140625" style="19"/>
    <col min="8716" max="8716" width="12" style="19" bestFit="1" customWidth="1"/>
    <col min="8717" max="8727" width="9.140625" style="19"/>
    <col min="8728" max="8729" width="9.28515625" style="19" bestFit="1" customWidth="1"/>
    <col min="8730" max="8747" width="9.140625" style="19"/>
    <col min="8748" max="8748" width="24.140625" style="19" customWidth="1"/>
    <col min="8749" max="8755" width="9.140625" style="19"/>
    <col min="8756" max="8756" width="24.140625" style="19" customWidth="1"/>
    <col min="8757" max="8960" width="9.140625" style="19"/>
    <col min="8961" max="8961" width="16.7109375" style="19" customWidth="1"/>
    <col min="8962" max="8962" width="11.28515625" style="19" customWidth="1"/>
    <col min="8963" max="8963" width="12.5703125" style="19" bestFit="1" customWidth="1"/>
    <col min="8964" max="8964" width="9.140625" style="19"/>
    <col min="8965" max="8965" width="9.7109375" style="19" bestFit="1" customWidth="1"/>
    <col min="8966" max="8966" width="9.140625" style="19"/>
    <col min="8967" max="8967" width="16.42578125" style="19" bestFit="1" customWidth="1"/>
    <col min="8968" max="8968" width="9.140625" style="19"/>
    <col min="8969" max="8969" width="13" style="19" bestFit="1" customWidth="1"/>
    <col min="8970" max="8971" width="9.140625" style="19"/>
    <col min="8972" max="8972" width="12" style="19" bestFit="1" customWidth="1"/>
    <col min="8973" max="8983" width="9.140625" style="19"/>
    <col min="8984" max="8985" width="9.28515625" style="19" bestFit="1" customWidth="1"/>
    <col min="8986" max="9003" width="9.140625" style="19"/>
    <col min="9004" max="9004" width="24.140625" style="19" customWidth="1"/>
    <col min="9005" max="9011" width="9.140625" style="19"/>
    <col min="9012" max="9012" width="24.140625" style="19" customWidth="1"/>
    <col min="9013" max="9216" width="9.140625" style="19"/>
    <col min="9217" max="9217" width="16.7109375" style="19" customWidth="1"/>
    <col min="9218" max="9218" width="11.28515625" style="19" customWidth="1"/>
    <col min="9219" max="9219" width="12.5703125" style="19" bestFit="1" customWidth="1"/>
    <col min="9220" max="9220" width="9.140625" style="19"/>
    <col min="9221" max="9221" width="9.7109375" style="19" bestFit="1" customWidth="1"/>
    <col min="9222" max="9222" width="9.140625" style="19"/>
    <col min="9223" max="9223" width="16.42578125" style="19" bestFit="1" customWidth="1"/>
    <col min="9224" max="9224" width="9.140625" style="19"/>
    <col min="9225" max="9225" width="13" style="19" bestFit="1" customWidth="1"/>
    <col min="9226" max="9227" width="9.140625" style="19"/>
    <col min="9228" max="9228" width="12" style="19" bestFit="1" customWidth="1"/>
    <col min="9229" max="9239" width="9.140625" style="19"/>
    <col min="9240" max="9241" width="9.28515625" style="19" bestFit="1" customWidth="1"/>
    <col min="9242" max="9259" width="9.140625" style="19"/>
    <col min="9260" max="9260" width="24.140625" style="19" customWidth="1"/>
    <col min="9261" max="9267" width="9.140625" style="19"/>
    <col min="9268" max="9268" width="24.140625" style="19" customWidth="1"/>
    <col min="9269" max="9472" width="9.140625" style="19"/>
    <col min="9473" max="9473" width="16.7109375" style="19" customWidth="1"/>
    <col min="9474" max="9474" width="11.28515625" style="19" customWidth="1"/>
    <col min="9475" max="9475" width="12.5703125" style="19" bestFit="1" customWidth="1"/>
    <col min="9476" max="9476" width="9.140625" style="19"/>
    <col min="9477" max="9477" width="9.7109375" style="19" bestFit="1" customWidth="1"/>
    <col min="9478" max="9478" width="9.140625" style="19"/>
    <col min="9479" max="9479" width="16.42578125" style="19" bestFit="1" customWidth="1"/>
    <col min="9480" max="9480" width="9.140625" style="19"/>
    <col min="9481" max="9481" width="13" style="19" bestFit="1" customWidth="1"/>
    <col min="9482" max="9483" width="9.140625" style="19"/>
    <col min="9484" max="9484" width="12" style="19" bestFit="1" customWidth="1"/>
    <col min="9485" max="9495" width="9.140625" style="19"/>
    <col min="9496" max="9497" width="9.28515625" style="19" bestFit="1" customWidth="1"/>
    <col min="9498" max="9515" width="9.140625" style="19"/>
    <col min="9516" max="9516" width="24.140625" style="19" customWidth="1"/>
    <col min="9517" max="9523" width="9.140625" style="19"/>
    <col min="9524" max="9524" width="24.140625" style="19" customWidth="1"/>
    <col min="9525" max="9728" width="9.140625" style="19"/>
    <col min="9729" max="9729" width="16.7109375" style="19" customWidth="1"/>
    <col min="9730" max="9730" width="11.28515625" style="19" customWidth="1"/>
    <col min="9731" max="9731" width="12.5703125" style="19" bestFit="1" customWidth="1"/>
    <col min="9732" max="9732" width="9.140625" style="19"/>
    <col min="9733" max="9733" width="9.7109375" style="19" bestFit="1" customWidth="1"/>
    <col min="9734" max="9734" width="9.140625" style="19"/>
    <col min="9735" max="9735" width="16.42578125" style="19" bestFit="1" customWidth="1"/>
    <col min="9736" max="9736" width="9.140625" style="19"/>
    <col min="9737" max="9737" width="13" style="19" bestFit="1" customWidth="1"/>
    <col min="9738" max="9739" width="9.140625" style="19"/>
    <col min="9740" max="9740" width="12" style="19" bestFit="1" customWidth="1"/>
    <col min="9741" max="9751" width="9.140625" style="19"/>
    <col min="9752" max="9753" width="9.28515625" style="19" bestFit="1" customWidth="1"/>
    <col min="9754" max="9771" width="9.140625" style="19"/>
    <col min="9772" max="9772" width="24.140625" style="19" customWidth="1"/>
    <col min="9773" max="9779" width="9.140625" style="19"/>
    <col min="9780" max="9780" width="24.140625" style="19" customWidth="1"/>
    <col min="9781" max="9984" width="9.140625" style="19"/>
    <col min="9985" max="9985" width="16.7109375" style="19" customWidth="1"/>
    <col min="9986" max="9986" width="11.28515625" style="19" customWidth="1"/>
    <col min="9987" max="9987" width="12.5703125" style="19" bestFit="1" customWidth="1"/>
    <col min="9988" max="9988" width="9.140625" style="19"/>
    <col min="9989" max="9989" width="9.7109375" style="19" bestFit="1" customWidth="1"/>
    <col min="9990" max="9990" width="9.140625" style="19"/>
    <col min="9991" max="9991" width="16.42578125" style="19" bestFit="1" customWidth="1"/>
    <col min="9992" max="9992" width="9.140625" style="19"/>
    <col min="9993" max="9993" width="13" style="19" bestFit="1" customWidth="1"/>
    <col min="9994" max="9995" width="9.140625" style="19"/>
    <col min="9996" max="9996" width="12" style="19" bestFit="1" customWidth="1"/>
    <col min="9997" max="10007" width="9.140625" style="19"/>
    <col min="10008" max="10009" width="9.28515625" style="19" bestFit="1" customWidth="1"/>
    <col min="10010" max="10027" width="9.140625" style="19"/>
    <col min="10028" max="10028" width="24.140625" style="19" customWidth="1"/>
    <col min="10029" max="10035" width="9.140625" style="19"/>
    <col min="10036" max="10036" width="24.140625" style="19" customWidth="1"/>
    <col min="10037" max="10240" width="9.140625" style="19"/>
    <col min="10241" max="10241" width="16.7109375" style="19" customWidth="1"/>
    <col min="10242" max="10242" width="11.28515625" style="19" customWidth="1"/>
    <col min="10243" max="10243" width="12.5703125" style="19" bestFit="1" customWidth="1"/>
    <col min="10244" max="10244" width="9.140625" style="19"/>
    <col min="10245" max="10245" width="9.7109375" style="19" bestFit="1" customWidth="1"/>
    <col min="10246" max="10246" width="9.140625" style="19"/>
    <col min="10247" max="10247" width="16.42578125" style="19" bestFit="1" customWidth="1"/>
    <col min="10248" max="10248" width="9.140625" style="19"/>
    <col min="10249" max="10249" width="13" style="19" bestFit="1" customWidth="1"/>
    <col min="10250" max="10251" width="9.140625" style="19"/>
    <col min="10252" max="10252" width="12" style="19" bestFit="1" customWidth="1"/>
    <col min="10253" max="10263" width="9.140625" style="19"/>
    <col min="10264" max="10265" width="9.28515625" style="19" bestFit="1" customWidth="1"/>
    <col min="10266" max="10283" width="9.140625" style="19"/>
    <col min="10284" max="10284" width="24.140625" style="19" customWidth="1"/>
    <col min="10285" max="10291" width="9.140625" style="19"/>
    <col min="10292" max="10292" width="24.140625" style="19" customWidth="1"/>
    <col min="10293" max="10496" width="9.140625" style="19"/>
    <col min="10497" max="10497" width="16.7109375" style="19" customWidth="1"/>
    <col min="10498" max="10498" width="11.28515625" style="19" customWidth="1"/>
    <col min="10499" max="10499" width="12.5703125" style="19" bestFit="1" customWidth="1"/>
    <col min="10500" max="10500" width="9.140625" style="19"/>
    <col min="10501" max="10501" width="9.7109375" style="19" bestFit="1" customWidth="1"/>
    <col min="10502" max="10502" width="9.140625" style="19"/>
    <col min="10503" max="10503" width="16.42578125" style="19" bestFit="1" customWidth="1"/>
    <col min="10504" max="10504" width="9.140625" style="19"/>
    <col min="10505" max="10505" width="13" style="19" bestFit="1" customWidth="1"/>
    <col min="10506" max="10507" width="9.140625" style="19"/>
    <col min="10508" max="10508" width="12" style="19" bestFit="1" customWidth="1"/>
    <col min="10509" max="10519" width="9.140625" style="19"/>
    <col min="10520" max="10521" width="9.28515625" style="19" bestFit="1" customWidth="1"/>
    <col min="10522" max="10539" width="9.140625" style="19"/>
    <col min="10540" max="10540" width="24.140625" style="19" customWidth="1"/>
    <col min="10541" max="10547" width="9.140625" style="19"/>
    <col min="10548" max="10548" width="24.140625" style="19" customWidth="1"/>
    <col min="10549" max="10752" width="9.140625" style="19"/>
    <col min="10753" max="10753" width="16.7109375" style="19" customWidth="1"/>
    <col min="10754" max="10754" width="11.28515625" style="19" customWidth="1"/>
    <col min="10755" max="10755" width="12.5703125" style="19" bestFit="1" customWidth="1"/>
    <col min="10756" max="10756" width="9.140625" style="19"/>
    <col min="10757" max="10757" width="9.7109375" style="19" bestFit="1" customWidth="1"/>
    <col min="10758" max="10758" width="9.140625" style="19"/>
    <col min="10759" max="10759" width="16.42578125" style="19" bestFit="1" customWidth="1"/>
    <col min="10760" max="10760" width="9.140625" style="19"/>
    <col min="10761" max="10761" width="13" style="19" bestFit="1" customWidth="1"/>
    <col min="10762" max="10763" width="9.140625" style="19"/>
    <col min="10764" max="10764" width="12" style="19" bestFit="1" customWidth="1"/>
    <col min="10765" max="10775" width="9.140625" style="19"/>
    <col min="10776" max="10777" width="9.28515625" style="19" bestFit="1" customWidth="1"/>
    <col min="10778" max="10795" width="9.140625" style="19"/>
    <col min="10796" max="10796" width="24.140625" style="19" customWidth="1"/>
    <col min="10797" max="10803" width="9.140625" style="19"/>
    <col min="10804" max="10804" width="24.140625" style="19" customWidth="1"/>
    <col min="10805" max="11008" width="9.140625" style="19"/>
    <col min="11009" max="11009" width="16.7109375" style="19" customWidth="1"/>
    <col min="11010" max="11010" width="11.28515625" style="19" customWidth="1"/>
    <col min="11011" max="11011" width="12.5703125" style="19" bestFit="1" customWidth="1"/>
    <col min="11012" max="11012" width="9.140625" style="19"/>
    <col min="11013" max="11013" width="9.7109375" style="19" bestFit="1" customWidth="1"/>
    <col min="11014" max="11014" width="9.140625" style="19"/>
    <col min="11015" max="11015" width="16.42578125" style="19" bestFit="1" customWidth="1"/>
    <col min="11016" max="11016" width="9.140625" style="19"/>
    <col min="11017" max="11017" width="13" style="19" bestFit="1" customWidth="1"/>
    <col min="11018" max="11019" width="9.140625" style="19"/>
    <col min="11020" max="11020" width="12" style="19" bestFit="1" customWidth="1"/>
    <col min="11021" max="11031" width="9.140625" style="19"/>
    <col min="11032" max="11033" width="9.28515625" style="19" bestFit="1" customWidth="1"/>
    <col min="11034" max="11051" width="9.140625" style="19"/>
    <col min="11052" max="11052" width="24.140625" style="19" customWidth="1"/>
    <col min="11053" max="11059" width="9.140625" style="19"/>
    <col min="11060" max="11060" width="24.140625" style="19" customWidth="1"/>
    <col min="11061" max="11264" width="9.140625" style="19"/>
    <col min="11265" max="11265" width="16.7109375" style="19" customWidth="1"/>
    <col min="11266" max="11266" width="11.28515625" style="19" customWidth="1"/>
    <col min="11267" max="11267" width="12.5703125" style="19" bestFit="1" customWidth="1"/>
    <col min="11268" max="11268" width="9.140625" style="19"/>
    <col min="11269" max="11269" width="9.7109375" style="19" bestFit="1" customWidth="1"/>
    <col min="11270" max="11270" width="9.140625" style="19"/>
    <col min="11271" max="11271" width="16.42578125" style="19" bestFit="1" customWidth="1"/>
    <col min="11272" max="11272" width="9.140625" style="19"/>
    <col min="11273" max="11273" width="13" style="19" bestFit="1" customWidth="1"/>
    <col min="11274" max="11275" width="9.140625" style="19"/>
    <col min="11276" max="11276" width="12" style="19" bestFit="1" customWidth="1"/>
    <col min="11277" max="11287" width="9.140625" style="19"/>
    <col min="11288" max="11289" width="9.28515625" style="19" bestFit="1" customWidth="1"/>
    <col min="11290" max="11307" width="9.140625" style="19"/>
    <col min="11308" max="11308" width="24.140625" style="19" customWidth="1"/>
    <col min="11309" max="11315" width="9.140625" style="19"/>
    <col min="11316" max="11316" width="24.140625" style="19" customWidth="1"/>
    <col min="11317" max="11520" width="9.140625" style="19"/>
    <col min="11521" max="11521" width="16.7109375" style="19" customWidth="1"/>
    <col min="11522" max="11522" width="11.28515625" style="19" customWidth="1"/>
    <col min="11523" max="11523" width="12.5703125" style="19" bestFit="1" customWidth="1"/>
    <col min="11524" max="11524" width="9.140625" style="19"/>
    <col min="11525" max="11525" width="9.7109375" style="19" bestFit="1" customWidth="1"/>
    <col min="11526" max="11526" width="9.140625" style="19"/>
    <col min="11527" max="11527" width="16.42578125" style="19" bestFit="1" customWidth="1"/>
    <col min="11528" max="11528" width="9.140625" style="19"/>
    <col min="11529" max="11529" width="13" style="19" bestFit="1" customWidth="1"/>
    <col min="11530" max="11531" width="9.140625" style="19"/>
    <col min="11532" max="11532" width="12" style="19" bestFit="1" customWidth="1"/>
    <col min="11533" max="11543" width="9.140625" style="19"/>
    <col min="11544" max="11545" width="9.28515625" style="19" bestFit="1" customWidth="1"/>
    <col min="11546" max="11563" width="9.140625" style="19"/>
    <col min="11564" max="11564" width="24.140625" style="19" customWidth="1"/>
    <col min="11565" max="11571" width="9.140625" style="19"/>
    <col min="11572" max="11572" width="24.140625" style="19" customWidth="1"/>
    <col min="11573" max="11776" width="9.140625" style="19"/>
    <col min="11777" max="11777" width="16.7109375" style="19" customWidth="1"/>
    <col min="11778" max="11778" width="11.28515625" style="19" customWidth="1"/>
    <col min="11779" max="11779" width="12.5703125" style="19" bestFit="1" customWidth="1"/>
    <col min="11780" max="11780" width="9.140625" style="19"/>
    <col min="11781" max="11781" width="9.7109375" style="19" bestFit="1" customWidth="1"/>
    <col min="11782" max="11782" width="9.140625" style="19"/>
    <col min="11783" max="11783" width="16.42578125" style="19" bestFit="1" customWidth="1"/>
    <col min="11784" max="11784" width="9.140625" style="19"/>
    <col min="11785" max="11785" width="13" style="19" bestFit="1" customWidth="1"/>
    <col min="11786" max="11787" width="9.140625" style="19"/>
    <col min="11788" max="11788" width="12" style="19" bestFit="1" customWidth="1"/>
    <col min="11789" max="11799" width="9.140625" style="19"/>
    <col min="11800" max="11801" width="9.28515625" style="19" bestFit="1" customWidth="1"/>
    <col min="11802" max="11819" width="9.140625" style="19"/>
    <col min="11820" max="11820" width="24.140625" style="19" customWidth="1"/>
    <col min="11821" max="11827" width="9.140625" style="19"/>
    <col min="11828" max="11828" width="24.140625" style="19" customWidth="1"/>
    <col min="11829" max="12032" width="9.140625" style="19"/>
    <col min="12033" max="12033" width="16.7109375" style="19" customWidth="1"/>
    <col min="12034" max="12034" width="11.28515625" style="19" customWidth="1"/>
    <col min="12035" max="12035" width="12.5703125" style="19" bestFit="1" customWidth="1"/>
    <col min="12036" max="12036" width="9.140625" style="19"/>
    <col min="12037" max="12037" width="9.7109375" style="19" bestFit="1" customWidth="1"/>
    <col min="12038" max="12038" width="9.140625" style="19"/>
    <col min="12039" max="12039" width="16.42578125" style="19" bestFit="1" customWidth="1"/>
    <col min="12040" max="12040" width="9.140625" style="19"/>
    <col min="12041" max="12041" width="13" style="19" bestFit="1" customWidth="1"/>
    <col min="12042" max="12043" width="9.140625" style="19"/>
    <col min="12044" max="12044" width="12" style="19" bestFit="1" customWidth="1"/>
    <col min="12045" max="12055" width="9.140625" style="19"/>
    <col min="12056" max="12057" width="9.28515625" style="19" bestFit="1" customWidth="1"/>
    <col min="12058" max="12075" width="9.140625" style="19"/>
    <col min="12076" max="12076" width="24.140625" style="19" customWidth="1"/>
    <col min="12077" max="12083" width="9.140625" style="19"/>
    <col min="12084" max="12084" width="24.140625" style="19" customWidth="1"/>
    <col min="12085" max="12288" width="9.140625" style="19"/>
    <col min="12289" max="12289" width="16.7109375" style="19" customWidth="1"/>
    <col min="12290" max="12290" width="11.28515625" style="19" customWidth="1"/>
    <col min="12291" max="12291" width="12.5703125" style="19" bestFit="1" customWidth="1"/>
    <col min="12292" max="12292" width="9.140625" style="19"/>
    <col min="12293" max="12293" width="9.7109375" style="19" bestFit="1" customWidth="1"/>
    <col min="12294" max="12294" width="9.140625" style="19"/>
    <col min="12295" max="12295" width="16.42578125" style="19" bestFit="1" customWidth="1"/>
    <col min="12296" max="12296" width="9.140625" style="19"/>
    <col min="12297" max="12297" width="13" style="19" bestFit="1" customWidth="1"/>
    <col min="12298" max="12299" width="9.140625" style="19"/>
    <col min="12300" max="12300" width="12" style="19" bestFit="1" customWidth="1"/>
    <col min="12301" max="12311" width="9.140625" style="19"/>
    <col min="12312" max="12313" width="9.28515625" style="19" bestFit="1" customWidth="1"/>
    <col min="12314" max="12331" width="9.140625" style="19"/>
    <col min="12332" max="12332" width="24.140625" style="19" customWidth="1"/>
    <col min="12333" max="12339" width="9.140625" style="19"/>
    <col min="12340" max="12340" width="24.140625" style="19" customWidth="1"/>
    <col min="12341" max="12544" width="9.140625" style="19"/>
    <col min="12545" max="12545" width="16.7109375" style="19" customWidth="1"/>
    <col min="12546" max="12546" width="11.28515625" style="19" customWidth="1"/>
    <col min="12547" max="12547" width="12.5703125" style="19" bestFit="1" customWidth="1"/>
    <col min="12548" max="12548" width="9.140625" style="19"/>
    <col min="12549" max="12549" width="9.7109375" style="19" bestFit="1" customWidth="1"/>
    <col min="12550" max="12550" width="9.140625" style="19"/>
    <col min="12551" max="12551" width="16.42578125" style="19" bestFit="1" customWidth="1"/>
    <col min="12552" max="12552" width="9.140625" style="19"/>
    <col min="12553" max="12553" width="13" style="19" bestFit="1" customWidth="1"/>
    <col min="12554" max="12555" width="9.140625" style="19"/>
    <col min="12556" max="12556" width="12" style="19" bestFit="1" customWidth="1"/>
    <col min="12557" max="12567" width="9.140625" style="19"/>
    <col min="12568" max="12569" width="9.28515625" style="19" bestFit="1" customWidth="1"/>
    <col min="12570" max="12587" width="9.140625" style="19"/>
    <col min="12588" max="12588" width="24.140625" style="19" customWidth="1"/>
    <col min="12589" max="12595" width="9.140625" style="19"/>
    <col min="12596" max="12596" width="24.140625" style="19" customWidth="1"/>
    <col min="12597" max="12800" width="9.140625" style="19"/>
    <col min="12801" max="12801" width="16.7109375" style="19" customWidth="1"/>
    <col min="12802" max="12802" width="11.28515625" style="19" customWidth="1"/>
    <col min="12803" max="12803" width="12.5703125" style="19" bestFit="1" customWidth="1"/>
    <col min="12804" max="12804" width="9.140625" style="19"/>
    <col min="12805" max="12805" width="9.7109375" style="19" bestFit="1" customWidth="1"/>
    <col min="12806" max="12806" width="9.140625" style="19"/>
    <col min="12807" max="12807" width="16.42578125" style="19" bestFit="1" customWidth="1"/>
    <col min="12808" max="12808" width="9.140625" style="19"/>
    <col min="12809" max="12809" width="13" style="19" bestFit="1" customWidth="1"/>
    <col min="12810" max="12811" width="9.140625" style="19"/>
    <col min="12812" max="12812" width="12" style="19" bestFit="1" customWidth="1"/>
    <col min="12813" max="12823" width="9.140625" style="19"/>
    <col min="12824" max="12825" width="9.28515625" style="19" bestFit="1" customWidth="1"/>
    <col min="12826" max="12843" width="9.140625" style="19"/>
    <col min="12844" max="12844" width="24.140625" style="19" customWidth="1"/>
    <col min="12845" max="12851" width="9.140625" style="19"/>
    <col min="12852" max="12852" width="24.140625" style="19" customWidth="1"/>
    <col min="12853" max="13056" width="9.140625" style="19"/>
    <col min="13057" max="13057" width="16.7109375" style="19" customWidth="1"/>
    <col min="13058" max="13058" width="11.28515625" style="19" customWidth="1"/>
    <col min="13059" max="13059" width="12.5703125" style="19" bestFit="1" customWidth="1"/>
    <col min="13060" max="13060" width="9.140625" style="19"/>
    <col min="13061" max="13061" width="9.7109375" style="19" bestFit="1" customWidth="1"/>
    <col min="13062" max="13062" width="9.140625" style="19"/>
    <col min="13063" max="13063" width="16.42578125" style="19" bestFit="1" customWidth="1"/>
    <col min="13064" max="13064" width="9.140625" style="19"/>
    <col min="13065" max="13065" width="13" style="19" bestFit="1" customWidth="1"/>
    <col min="13066" max="13067" width="9.140625" style="19"/>
    <col min="13068" max="13068" width="12" style="19" bestFit="1" customWidth="1"/>
    <col min="13069" max="13079" width="9.140625" style="19"/>
    <col min="13080" max="13081" width="9.28515625" style="19" bestFit="1" customWidth="1"/>
    <col min="13082" max="13099" width="9.140625" style="19"/>
    <col min="13100" max="13100" width="24.140625" style="19" customWidth="1"/>
    <col min="13101" max="13107" width="9.140625" style="19"/>
    <col min="13108" max="13108" width="24.140625" style="19" customWidth="1"/>
    <col min="13109" max="13312" width="9.140625" style="19"/>
    <col min="13313" max="13313" width="16.7109375" style="19" customWidth="1"/>
    <col min="13314" max="13314" width="11.28515625" style="19" customWidth="1"/>
    <col min="13315" max="13315" width="12.5703125" style="19" bestFit="1" customWidth="1"/>
    <col min="13316" max="13316" width="9.140625" style="19"/>
    <col min="13317" max="13317" width="9.7109375" style="19" bestFit="1" customWidth="1"/>
    <col min="13318" max="13318" width="9.140625" style="19"/>
    <col min="13319" max="13319" width="16.42578125" style="19" bestFit="1" customWidth="1"/>
    <col min="13320" max="13320" width="9.140625" style="19"/>
    <col min="13321" max="13321" width="13" style="19" bestFit="1" customWidth="1"/>
    <col min="13322" max="13323" width="9.140625" style="19"/>
    <col min="13324" max="13324" width="12" style="19" bestFit="1" customWidth="1"/>
    <col min="13325" max="13335" width="9.140625" style="19"/>
    <col min="13336" max="13337" width="9.28515625" style="19" bestFit="1" customWidth="1"/>
    <col min="13338" max="13355" width="9.140625" style="19"/>
    <col min="13356" max="13356" width="24.140625" style="19" customWidth="1"/>
    <col min="13357" max="13363" width="9.140625" style="19"/>
    <col min="13364" max="13364" width="24.140625" style="19" customWidth="1"/>
    <col min="13365" max="13568" width="9.140625" style="19"/>
    <col min="13569" max="13569" width="16.7109375" style="19" customWidth="1"/>
    <col min="13570" max="13570" width="11.28515625" style="19" customWidth="1"/>
    <col min="13571" max="13571" width="12.5703125" style="19" bestFit="1" customWidth="1"/>
    <col min="13572" max="13572" width="9.140625" style="19"/>
    <col min="13573" max="13573" width="9.7109375" style="19" bestFit="1" customWidth="1"/>
    <col min="13574" max="13574" width="9.140625" style="19"/>
    <col min="13575" max="13575" width="16.42578125" style="19" bestFit="1" customWidth="1"/>
    <col min="13576" max="13576" width="9.140625" style="19"/>
    <col min="13577" max="13577" width="13" style="19" bestFit="1" customWidth="1"/>
    <col min="13578" max="13579" width="9.140625" style="19"/>
    <col min="13580" max="13580" width="12" style="19" bestFit="1" customWidth="1"/>
    <col min="13581" max="13591" width="9.140625" style="19"/>
    <col min="13592" max="13593" width="9.28515625" style="19" bestFit="1" customWidth="1"/>
    <col min="13594" max="13611" width="9.140625" style="19"/>
    <col min="13612" max="13612" width="24.140625" style="19" customWidth="1"/>
    <col min="13613" max="13619" width="9.140625" style="19"/>
    <col min="13620" max="13620" width="24.140625" style="19" customWidth="1"/>
    <col min="13621" max="13824" width="9.140625" style="19"/>
    <col min="13825" max="13825" width="16.7109375" style="19" customWidth="1"/>
    <col min="13826" max="13826" width="11.28515625" style="19" customWidth="1"/>
    <col min="13827" max="13827" width="12.5703125" style="19" bestFit="1" customWidth="1"/>
    <col min="13828" max="13828" width="9.140625" style="19"/>
    <col min="13829" max="13829" width="9.7109375" style="19" bestFit="1" customWidth="1"/>
    <col min="13830" max="13830" width="9.140625" style="19"/>
    <col min="13831" max="13831" width="16.42578125" style="19" bestFit="1" customWidth="1"/>
    <col min="13832" max="13832" width="9.140625" style="19"/>
    <col min="13833" max="13833" width="13" style="19" bestFit="1" customWidth="1"/>
    <col min="13834" max="13835" width="9.140625" style="19"/>
    <col min="13836" max="13836" width="12" style="19" bestFit="1" customWidth="1"/>
    <col min="13837" max="13847" width="9.140625" style="19"/>
    <col min="13848" max="13849" width="9.28515625" style="19" bestFit="1" customWidth="1"/>
    <col min="13850" max="13867" width="9.140625" style="19"/>
    <col min="13868" max="13868" width="24.140625" style="19" customWidth="1"/>
    <col min="13869" max="13875" width="9.140625" style="19"/>
    <col min="13876" max="13876" width="24.140625" style="19" customWidth="1"/>
    <col min="13877" max="14080" width="9.140625" style="19"/>
    <col min="14081" max="14081" width="16.7109375" style="19" customWidth="1"/>
    <col min="14082" max="14082" width="11.28515625" style="19" customWidth="1"/>
    <col min="14083" max="14083" width="12.5703125" style="19" bestFit="1" customWidth="1"/>
    <col min="14084" max="14084" width="9.140625" style="19"/>
    <col min="14085" max="14085" width="9.7109375" style="19" bestFit="1" customWidth="1"/>
    <col min="14086" max="14086" width="9.140625" style="19"/>
    <col min="14087" max="14087" width="16.42578125" style="19" bestFit="1" customWidth="1"/>
    <col min="14088" max="14088" width="9.140625" style="19"/>
    <col min="14089" max="14089" width="13" style="19" bestFit="1" customWidth="1"/>
    <col min="14090" max="14091" width="9.140625" style="19"/>
    <col min="14092" max="14092" width="12" style="19" bestFit="1" customWidth="1"/>
    <col min="14093" max="14103" width="9.140625" style="19"/>
    <col min="14104" max="14105" width="9.28515625" style="19" bestFit="1" customWidth="1"/>
    <col min="14106" max="14123" width="9.140625" style="19"/>
    <col min="14124" max="14124" width="24.140625" style="19" customWidth="1"/>
    <col min="14125" max="14131" width="9.140625" style="19"/>
    <col min="14132" max="14132" width="24.140625" style="19" customWidth="1"/>
    <col min="14133" max="14336" width="9.140625" style="19"/>
    <col min="14337" max="14337" width="16.7109375" style="19" customWidth="1"/>
    <col min="14338" max="14338" width="11.28515625" style="19" customWidth="1"/>
    <col min="14339" max="14339" width="12.5703125" style="19" bestFit="1" customWidth="1"/>
    <col min="14340" max="14340" width="9.140625" style="19"/>
    <col min="14341" max="14341" width="9.7109375" style="19" bestFit="1" customWidth="1"/>
    <col min="14342" max="14342" width="9.140625" style="19"/>
    <col min="14343" max="14343" width="16.42578125" style="19" bestFit="1" customWidth="1"/>
    <col min="14344" max="14344" width="9.140625" style="19"/>
    <col min="14345" max="14345" width="13" style="19" bestFit="1" customWidth="1"/>
    <col min="14346" max="14347" width="9.140625" style="19"/>
    <col min="14348" max="14348" width="12" style="19" bestFit="1" customWidth="1"/>
    <col min="14349" max="14359" width="9.140625" style="19"/>
    <col min="14360" max="14361" width="9.28515625" style="19" bestFit="1" customWidth="1"/>
    <col min="14362" max="14379" width="9.140625" style="19"/>
    <col min="14380" max="14380" width="24.140625" style="19" customWidth="1"/>
    <col min="14381" max="14387" width="9.140625" style="19"/>
    <col min="14388" max="14388" width="24.140625" style="19" customWidth="1"/>
    <col min="14389" max="14592" width="9.140625" style="19"/>
    <col min="14593" max="14593" width="16.7109375" style="19" customWidth="1"/>
    <col min="14594" max="14594" width="11.28515625" style="19" customWidth="1"/>
    <col min="14595" max="14595" width="12.5703125" style="19" bestFit="1" customWidth="1"/>
    <col min="14596" max="14596" width="9.140625" style="19"/>
    <col min="14597" max="14597" width="9.7109375" style="19" bestFit="1" customWidth="1"/>
    <col min="14598" max="14598" width="9.140625" style="19"/>
    <col min="14599" max="14599" width="16.42578125" style="19" bestFit="1" customWidth="1"/>
    <col min="14600" max="14600" width="9.140625" style="19"/>
    <col min="14601" max="14601" width="13" style="19" bestFit="1" customWidth="1"/>
    <col min="14602" max="14603" width="9.140625" style="19"/>
    <col min="14604" max="14604" width="12" style="19" bestFit="1" customWidth="1"/>
    <col min="14605" max="14615" width="9.140625" style="19"/>
    <col min="14616" max="14617" width="9.28515625" style="19" bestFit="1" customWidth="1"/>
    <col min="14618" max="14635" width="9.140625" style="19"/>
    <col min="14636" max="14636" width="24.140625" style="19" customWidth="1"/>
    <col min="14637" max="14643" width="9.140625" style="19"/>
    <col min="14644" max="14644" width="24.140625" style="19" customWidth="1"/>
    <col min="14645" max="14848" width="9.140625" style="19"/>
    <col min="14849" max="14849" width="16.7109375" style="19" customWidth="1"/>
    <col min="14850" max="14850" width="11.28515625" style="19" customWidth="1"/>
    <col min="14851" max="14851" width="12.5703125" style="19" bestFit="1" customWidth="1"/>
    <col min="14852" max="14852" width="9.140625" style="19"/>
    <col min="14853" max="14853" width="9.7109375" style="19" bestFit="1" customWidth="1"/>
    <col min="14854" max="14854" width="9.140625" style="19"/>
    <col min="14855" max="14855" width="16.42578125" style="19" bestFit="1" customWidth="1"/>
    <col min="14856" max="14856" width="9.140625" style="19"/>
    <col min="14857" max="14857" width="13" style="19" bestFit="1" customWidth="1"/>
    <col min="14858" max="14859" width="9.140625" style="19"/>
    <col min="14860" max="14860" width="12" style="19" bestFit="1" customWidth="1"/>
    <col min="14861" max="14871" width="9.140625" style="19"/>
    <col min="14872" max="14873" width="9.28515625" style="19" bestFit="1" customWidth="1"/>
    <col min="14874" max="14891" width="9.140625" style="19"/>
    <col min="14892" max="14892" width="24.140625" style="19" customWidth="1"/>
    <col min="14893" max="14899" width="9.140625" style="19"/>
    <col min="14900" max="14900" width="24.140625" style="19" customWidth="1"/>
    <col min="14901" max="15104" width="9.140625" style="19"/>
    <col min="15105" max="15105" width="16.7109375" style="19" customWidth="1"/>
    <col min="15106" max="15106" width="11.28515625" style="19" customWidth="1"/>
    <col min="15107" max="15107" width="12.5703125" style="19" bestFit="1" customWidth="1"/>
    <col min="15108" max="15108" width="9.140625" style="19"/>
    <col min="15109" max="15109" width="9.7109375" style="19" bestFit="1" customWidth="1"/>
    <col min="15110" max="15110" width="9.140625" style="19"/>
    <col min="15111" max="15111" width="16.42578125" style="19" bestFit="1" customWidth="1"/>
    <col min="15112" max="15112" width="9.140625" style="19"/>
    <col min="15113" max="15113" width="13" style="19" bestFit="1" customWidth="1"/>
    <col min="15114" max="15115" width="9.140625" style="19"/>
    <col min="15116" max="15116" width="12" style="19" bestFit="1" customWidth="1"/>
    <col min="15117" max="15127" width="9.140625" style="19"/>
    <col min="15128" max="15129" width="9.28515625" style="19" bestFit="1" customWidth="1"/>
    <col min="15130" max="15147" width="9.140625" style="19"/>
    <col min="15148" max="15148" width="24.140625" style="19" customWidth="1"/>
    <col min="15149" max="15155" width="9.140625" style="19"/>
    <col min="15156" max="15156" width="24.140625" style="19" customWidth="1"/>
    <col min="15157" max="15360" width="9.140625" style="19"/>
    <col min="15361" max="15361" width="16.7109375" style="19" customWidth="1"/>
    <col min="15362" max="15362" width="11.28515625" style="19" customWidth="1"/>
    <col min="15363" max="15363" width="12.5703125" style="19" bestFit="1" customWidth="1"/>
    <col min="15364" max="15364" width="9.140625" style="19"/>
    <col min="15365" max="15365" width="9.7109375" style="19" bestFit="1" customWidth="1"/>
    <col min="15366" max="15366" width="9.140625" style="19"/>
    <col min="15367" max="15367" width="16.42578125" style="19" bestFit="1" customWidth="1"/>
    <col min="15368" max="15368" width="9.140625" style="19"/>
    <col min="15369" max="15369" width="13" style="19" bestFit="1" customWidth="1"/>
    <col min="15370" max="15371" width="9.140625" style="19"/>
    <col min="15372" max="15372" width="12" style="19" bestFit="1" customWidth="1"/>
    <col min="15373" max="15383" width="9.140625" style="19"/>
    <col min="15384" max="15385" width="9.28515625" style="19" bestFit="1" customWidth="1"/>
    <col min="15386" max="15403" width="9.140625" style="19"/>
    <col min="15404" max="15404" width="24.140625" style="19" customWidth="1"/>
    <col min="15405" max="15411" width="9.140625" style="19"/>
    <col min="15412" max="15412" width="24.140625" style="19" customWidth="1"/>
    <col min="15413" max="15616" width="9.140625" style="19"/>
    <col min="15617" max="15617" width="16.7109375" style="19" customWidth="1"/>
    <col min="15618" max="15618" width="11.28515625" style="19" customWidth="1"/>
    <col min="15619" max="15619" width="12.5703125" style="19" bestFit="1" customWidth="1"/>
    <col min="15620" max="15620" width="9.140625" style="19"/>
    <col min="15621" max="15621" width="9.7109375" style="19" bestFit="1" customWidth="1"/>
    <col min="15622" max="15622" width="9.140625" style="19"/>
    <col min="15623" max="15623" width="16.42578125" style="19" bestFit="1" customWidth="1"/>
    <col min="15624" max="15624" width="9.140625" style="19"/>
    <col min="15625" max="15625" width="13" style="19" bestFit="1" customWidth="1"/>
    <col min="15626" max="15627" width="9.140625" style="19"/>
    <col min="15628" max="15628" width="12" style="19" bestFit="1" customWidth="1"/>
    <col min="15629" max="15639" width="9.140625" style="19"/>
    <col min="15640" max="15641" width="9.28515625" style="19" bestFit="1" customWidth="1"/>
    <col min="15642" max="15659" width="9.140625" style="19"/>
    <col min="15660" max="15660" width="24.140625" style="19" customWidth="1"/>
    <col min="15661" max="15667" width="9.140625" style="19"/>
    <col min="15668" max="15668" width="24.140625" style="19" customWidth="1"/>
    <col min="15669" max="15872" width="9.140625" style="19"/>
    <col min="15873" max="15873" width="16.7109375" style="19" customWidth="1"/>
    <col min="15874" max="15874" width="11.28515625" style="19" customWidth="1"/>
    <col min="15875" max="15875" width="12.5703125" style="19" bestFit="1" customWidth="1"/>
    <col min="15876" max="15876" width="9.140625" style="19"/>
    <col min="15877" max="15877" width="9.7109375" style="19" bestFit="1" customWidth="1"/>
    <col min="15878" max="15878" width="9.140625" style="19"/>
    <col min="15879" max="15879" width="16.42578125" style="19" bestFit="1" customWidth="1"/>
    <col min="15880" max="15880" width="9.140625" style="19"/>
    <col min="15881" max="15881" width="13" style="19" bestFit="1" customWidth="1"/>
    <col min="15882" max="15883" width="9.140625" style="19"/>
    <col min="15884" max="15884" width="12" style="19" bestFit="1" customWidth="1"/>
    <col min="15885" max="15895" width="9.140625" style="19"/>
    <col min="15896" max="15897" width="9.28515625" style="19" bestFit="1" customWidth="1"/>
    <col min="15898" max="15915" width="9.140625" style="19"/>
    <col min="15916" max="15916" width="24.140625" style="19" customWidth="1"/>
    <col min="15917" max="15923" width="9.140625" style="19"/>
    <col min="15924" max="15924" width="24.140625" style="19" customWidth="1"/>
    <col min="15925" max="16128" width="9.140625" style="19"/>
    <col min="16129" max="16129" width="16.7109375" style="19" customWidth="1"/>
    <col min="16130" max="16130" width="11.28515625" style="19" customWidth="1"/>
    <col min="16131" max="16131" width="12.5703125" style="19" bestFit="1" customWidth="1"/>
    <col min="16132" max="16132" width="9.140625" style="19"/>
    <col min="16133" max="16133" width="9.7109375" style="19" bestFit="1" customWidth="1"/>
    <col min="16134" max="16134" width="9.140625" style="19"/>
    <col min="16135" max="16135" width="16.42578125" style="19" bestFit="1" customWidth="1"/>
    <col min="16136" max="16136" width="9.140625" style="19"/>
    <col min="16137" max="16137" width="13" style="19" bestFit="1" customWidth="1"/>
    <col min="16138" max="16139" width="9.140625" style="19"/>
    <col min="16140" max="16140" width="12" style="19" bestFit="1" customWidth="1"/>
    <col min="16141" max="16151" width="9.140625" style="19"/>
    <col min="16152" max="16153" width="9.28515625" style="19" bestFit="1" customWidth="1"/>
    <col min="16154" max="16171" width="9.140625" style="19"/>
    <col min="16172" max="16172" width="24.140625" style="19" customWidth="1"/>
    <col min="16173" max="16179" width="9.140625" style="19"/>
    <col min="16180" max="16180" width="24.140625" style="19" customWidth="1"/>
    <col min="16181" max="16384" width="9.140625" style="19"/>
  </cols>
  <sheetData>
    <row r="1" spans="1:52" s="43" customFormat="1" ht="23.25" customHeight="1" thickBot="1">
      <c r="A1" s="39" t="s">
        <v>224</v>
      </c>
      <c r="B1" s="40">
        <v>3.7</v>
      </c>
      <c r="C1" s="39" t="s">
        <v>225</v>
      </c>
      <c r="D1" s="41">
        <v>0</v>
      </c>
      <c r="E1" s="42" t="s">
        <v>226</v>
      </c>
      <c r="F1" s="41">
        <v>0</v>
      </c>
      <c r="G1" s="39" t="s">
        <v>227</v>
      </c>
      <c r="H1" s="40">
        <v>25</v>
      </c>
      <c r="I1" s="39" t="s">
        <v>228</v>
      </c>
      <c r="J1" s="41">
        <v>0</v>
      </c>
      <c r="L1" s="44" t="s">
        <v>437</v>
      </c>
      <c r="M1" s="43">
        <f>IF('Steel Calculations'!AC3&gt;1,'Steel Calculations'!AC3*2-2,0)</f>
        <v>4</v>
      </c>
      <c r="N1" s="44" t="s">
        <v>229</v>
      </c>
      <c r="O1" s="43">
        <v>1</v>
      </c>
      <c r="P1" s="44" t="s">
        <v>230</v>
      </c>
      <c r="Q1" s="43">
        <f>IF(O1=0.95,0.97,IF(O1=0.9,0.95,1))</f>
        <v>1</v>
      </c>
      <c r="AS1" s="541" t="s">
        <v>231</v>
      </c>
      <c r="AT1" s="541"/>
      <c r="AU1" s="541"/>
      <c r="AV1" s="541"/>
      <c r="AW1" s="541"/>
      <c r="AX1" s="541"/>
      <c r="AY1" s="541"/>
    </row>
    <row r="2" spans="1:52" ht="15.75" customHeight="1" thickBot="1">
      <c r="A2" s="533" t="s">
        <v>232</v>
      </c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Y2" s="542" t="s">
        <v>233</v>
      </c>
      <c r="Z2" s="543"/>
      <c r="AA2" s="543"/>
      <c r="AB2" s="543"/>
      <c r="AC2" s="543"/>
      <c r="AD2" s="543"/>
      <c r="AE2" s="543"/>
      <c r="AF2" s="543"/>
      <c r="AG2" s="543"/>
      <c r="AH2" s="543"/>
      <c r="AI2" s="543"/>
      <c r="AJ2" s="543"/>
      <c r="AK2" s="543"/>
      <c r="AL2" s="543"/>
      <c r="AM2" s="543"/>
      <c r="AN2" s="543"/>
      <c r="AO2" s="543"/>
      <c r="AP2" s="543"/>
      <c r="AQ2" s="544"/>
      <c r="AS2" s="545" t="s">
        <v>234</v>
      </c>
      <c r="AT2" s="546"/>
      <c r="AU2" s="546"/>
      <c r="AV2" s="547"/>
      <c r="AW2" s="545" t="s">
        <v>235</v>
      </c>
      <c r="AX2" s="546"/>
      <c r="AY2" s="547"/>
    </row>
    <row r="3" spans="1:52" ht="13.5" thickBot="1">
      <c r="A3" s="20" t="s">
        <v>0</v>
      </c>
      <c r="B3" s="529" t="s">
        <v>194</v>
      </c>
      <c r="C3" s="530"/>
      <c r="D3" s="530"/>
      <c r="E3" s="530"/>
      <c r="F3" s="531"/>
      <c r="G3" s="532" t="s">
        <v>195</v>
      </c>
      <c r="H3" s="530"/>
      <c r="I3" s="530"/>
      <c r="J3" s="530"/>
      <c r="K3" s="531"/>
      <c r="L3" s="532" t="s">
        <v>196</v>
      </c>
      <c r="M3" s="530"/>
      <c r="N3" s="530"/>
      <c r="O3" s="530"/>
      <c r="P3" s="531"/>
      <c r="Q3" s="532" t="s">
        <v>197</v>
      </c>
      <c r="R3" s="530"/>
      <c r="S3" s="530"/>
      <c r="T3" s="530"/>
      <c r="U3" s="531"/>
      <c r="X3" s="532" t="s">
        <v>194</v>
      </c>
      <c r="Y3" s="530"/>
      <c r="Z3" s="530"/>
      <c r="AA3" s="530"/>
      <c r="AB3" s="531"/>
      <c r="AC3" s="532" t="s">
        <v>195</v>
      </c>
      <c r="AD3" s="530"/>
      <c r="AE3" s="530"/>
      <c r="AF3" s="530"/>
      <c r="AG3" s="531"/>
      <c r="AH3" s="532" t="s">
        <v>196</v>
      </c>
      <c r="AI3" s="530"/>
      <c r="AJ3" s="530"/>
      <c r="AK3" s="530"/>
      <c r="AL3" s="531"/>
      <c r="AM3" s="532" t="s">
        <v>197</v>
      </c>
      <c r="AN3" s="530"/>
      <c r="AO3" s="530"/>
      <c r="AP3" s="530"/>
      <c r="AQ3" s="531"/>
      <c r="AS3" s="537" t="s">
        <v>197</v>
      </c>
      <c r="AT3" s="538"/>
      <c r="AU3" s="538"/>
      <c r="AV3" s="539"/>
      <c r="AW3" s="540" t="s">
        <v>197</v>
      </c>
      <c r="AX3" s="538"/>
      <c r="AY3" s="539"/>
    </row>
    <row r="4" spans="1:52" ht="13.5" thickBot="1">
      <c r="A4" s="21"/>
      <c r="B4" s="22" t="s">
        <v>198</v>
      </c>
      <c r="C4" s="22" t="s">
        <v>199</v>
      </c>
      <c r="D4" s="22" t="s">
        <v>200</v>
      </c>
      <c r="E4" s="22" t="s">
        <v>201</v>
      </c>
      <c r="F4" s="23" t="s">
        <v>202</v>
      </c>
      <c r="G4" s="22" t="s">
        <v>198</v>
      </c>
      <c r="H4" s="22" t="s">
        <v>199</v>
      </c>
      <c r="I4" s="22" t="s">
        <v>200</v>
      </c>
      <c r="J4" s="22" t="s">
        <v>201</v>
      </c>
      <c r="K4" s="22" t="s">
        <v>202</v>
      </c>
      <c r="L4" s="24" t="s">
        <v>198</v>
      </c>
      <c r="M4" s="22" t="s">
        <v>199</v>
      </c>
      <c r="N4" s="22" t="s">
        <v>200</v>
      </c>
      <c r="O4" s="22" t="s">
        <v>201</v>
      </c>
      <c r="P4" s="22" t="s">
        <v>202</v>
      </c>
      <c r="Q4" s="22" t="s">
        <v>198</v>
      </c>
      <c r="R4" s="22" t="s">
        <v>199</v>
      </c>
      <c r="S4" s="22" t="s">
        <v>200</v>
      </c>
      <c r="T4" s="22" t="s">
        <v>201</v>
      </c>
      <c r="U4" s="22" t="s">
        <v>202</v>
      </c>
      <c r="X4" s="46" t="s">
        <v>198</v>
      </c>
      <c r="Y4" s="46" t="s">
        <v>199</v>
      </c>
      <c r="Z4" s="46" t="s">
        <v>200</v>
      </c>
      <c r="AA4" s="46" t="s">
        <v>201</v>
      </c>
      <c r="AB4" s="47" t="s">
        <v>202</v>
      </c>
      <c r="AC4" s="46" t="s">
        <v>198</v>
      </c>
      <c r="AD4" s="46" t="s">
        <v>199</v>
      </c>
      <c r="AE4" s="46" t="s">
        <v>200</v>
      </c>
      <c r="AF4" s="46" t="s">
        <v>201</v>
      </c>
      <c r="AG4" s="46" t="s">
        <v>202</v>
      </c>
      <c r="AH4" s="48" t="s">
        <v>198</v>
      </c>
      <c r="AI4" s="46" t="s">
        <v>199</v>
      </c>
      <c r="AJ4" s="46" t="s">
        <v>200</v>
      </c>
      <c r="AK4" s="46" t="s">
        <v>201</v>
      </c>
      <c r="AL4" s="46" t="s">
        <v>202</v>
      </c>
      <c r="AM4" s="46" t="s">
        <v>198</v>
      </c>
      <c r="AN4" s="46" t="s">
        <v>199</v>
      </c>
      <c r="AO4" s="46" t="s">
        <v>200</v>
      </c>
      <c r="AP4" s="46" t="s">
        <v>201</v>
      </c>
      <c r="AQ4" s="46" t="s">
        <v>202</v>
      </c>
      <c r="AS4" s="46" t="s">
        <v>199</v>
      </c>
      <c r="AT4" s="46" t="s">
        <v>200</v>
      </c>
      <c r="AU4" s="46" t="s">
        <v>201</v>
      </c>
      <c r="AV4" s="46" t="s">
        <v>202</v>
      </c>
      <c r="AW4" s="46" t="s">
        <v>200</v>
      </c>
      <c r="AX4" s="46" t="s">
        <v>201</v>
      </c>
      <c r="AY4" s="46" t="s">
        <v>202</v>
      </c>
    </row>
    <row r="5" spans="1:52" ht="13.5" thickBot="1">
      <c r="A5" s="25" t="s">
        <v>203</v>
      </c>
      <c r="B5" s="26">
        <f>'MF-STEEL(KG)'!B4*O$1*B$1+(D$1+F$1)+'MACHINE RATE'!B4*O$1</f>
        <v>864</v>
      </c>
      <c r="C5" s="27">
        <f>'MF-STEEL(KG)'!C4*O$1*B$1+(D$1+F$1)+'MACHINE RATE'!C4*O$1</f>
        <v>1091.2</v>
      </c>
      <c r="D5" s="27">
        <f>'MF-STEEL(KG)'!D4*O$1*B$1+(D$1+F$1)+'MACHINE RATE'!D4*O$1</f>
        <v>1170.4000000000001</v>
      </c>
      <c r="E5" s="27">
        <f>'MF-STEEL(KG)'!E4*O$1*B$1+(D$1+F$1)+'MACHINE RATE'!E4*O$1</f>
        <v>1249.5999999999999</v>
      </c>
      <c r="F5" s="28">
        <f>'MF-STEEL(KG)'!F4*O$1*B$1+(D$1+F$1)+'MACHINE RATE'!F4*O$1</f>
        <v>1328.8000000000002</v>
      </c>
      <c r="G5" s="26">
        <f>'MF-STEEL(KG)'!G4*O$1*B$1+(D$1+F$1)+'MACHINE RATE'!G4*O$1</f>
        <v>897.875</v>
      </c>
      <c r="H5" s="27">
        <f>'MF-STEEL(KG)'!H4*O$1*B$1+(D$1+F$1)+'MACHINE RATE'!H4*O$1</f>
        <v>1123.4000000000001</v>
      </c>
      <c r="I5" s="27">
        <f>'MF-STEEL(KG)'!I4*O$1*B$1+(D$1+F$1)+'MACHINE RATE'!I4*O$1</f>
        <v>1212.5999999999999</v>
      </c>
      <c r="J5" s="27">
        <f>'MF-STEEL(KG)'!J4*O$1*B$1+(D$1+F$1)+'MACHINE RATE'!J4*O$1</f>
        <v>1305.5</v>
      </c>
      <c r="K5" s="28">
        <f>'MF-STEEL(KG)'!K4*O$1*B$1+(D$1+F$1)+'MACHINE RATE'!K4*O$1</f>
        <v>1198.4000000000001</v>
      </c>
      <c r="L5" s="29">
        <f>'MF-STEEL(KG)'!L4*O$1*B$1+(D$1+F$1)+'MACHINE RATE'!L4*O$1</f>
        <v>872.9375</v>
      </c>
      <c r="M5" s="27">
        <f>'MF-STEEL(KG)'!M4*O$1*B$1+(D$1+F$1)+'MACHINE RATE'!M4*O$1</f>
        <v>1131.5</v>
      </c>
      <c r="N5" s="27">
        <f>'MF-STEEL(KG)'!N4*O$1*B$1+(D$1+F$1)+'MACHINE RATE'!N4*O$1</f>
        <v>1315.7</v>
      </c>
      <c r="O5" s="27">
        <f>'MF-STEEL(KG)'!O4*O$1*B$1+(D$1+F$1)+'MACHINE RATE'!O4*O$1</f>
        <v>1407.3000000000002</v>
      </c>
      <c r="P5" s="30">
        <f>'MF-STEEL(KG)'!P4*O$1*B$1+(D$1+F$1)+'MACHINE RATE'!P4*O$1</f>
        <v>1493.9</v>
      </c>
      <c r="Q5" s="26">
        <f>'MF-STEEL(KG)'!O$1*B$1+(D$1+F$1)+'MACHINE RATE'!Q4*O$1</f>
        <v>520</v>
      </c>
      <c r="R5" s="27">
        <f>'MF-STEEL(KG)'!R4*O$1*B$1+(D$1+F$1)+'MACHINE RATE'!R4*O$1</f>
        <v>1293.7</v>
      </c>
      <c r="S5" s="27">
        <f>'MF-STEEL(KG)'!S4*O$1*B$1+(D$1+F$1)+'MACHINE RATE'!S4*O$1</f>
        <v>1382.9</v>
      </c>
      <c r="T5" s="27">
        <f>'MF-STEEL(KG)'!T4*O$1*B$1+(D$1+F$1)+'MACHINE RATE'!T4*O$1</f>
        <v>1483.2</v>
      </c>
      <c r="U5" s="28">
        <f>'MF-STEEL(KG)'!U4*O$1*B$1+(D$1+F$1)+'MACHINE RATE'!U4*O$1</f>
        <v>1583.5</v>
      </c>
      <c r="X5" s="45">
        <f>B5*'Steel Calculations'!B3</f>
        <v>0</v>
      </c>
      <c r="Y5" s="45">
        <f>C5*'Steel Calculations'!C3</f>
        <v>0</v>
      </c>
      <c r="Z5" s="45">
        <f>D5*'Steel Calculations'!D3</f>
        <v>0</v>
      </c>
      <c r="AA5" s="45">
        <f>E5*'Steel Calculations'!E3</f>
        <v>0</v>
      </c>
      <c r="AB5" s="45">
        <f>F5*'Steel Calculations'!F3</f>
        <v>0</v>
      </c>
      <c r="AC5" s="45">
        <f>G5*'Steel Calculations'!G3</f>
        <v>0</v>
      </c>
      <c r="AD5" s="45">
        <f>H5*'Steel Calculations'!H3</f>
        <v>0</v>
      </c>
      <c r="AE5" s="45">
        <f>I5*'Steel Calculations'!I3</f>
        <v>0</v>
      </c>
      <c r="AF5" s="45">
        <f>J5*'Steel Calculations'!J3</f>
        <v>0</v>
      </c>
      <c r="AG5" s="45">
        <f>K5*'Steel Calculations'!K3</f>
        <v>0</v>
      </c>
      <c r="AH5" s="45">
        <f>L5*'Steel Calculations'!L3</f>
        <v>0</v>
      </c>
      <c r="AI5" s="45">
        <f>M5*'Steel Calculations'!M3</f>
        <v>0</v>
      </c>
      <c r="AJ5" s="45">
        <f>N5*'Steel Calculations'!N3</f>
        <v>0</v>
      </c>
      <c r="AK5" s="45">
        <f>O5*'Steel Calculations'!O3</f>
        <v>0</v>
      </c>
      <c r="AL5" s="45">
        <f>P5*'Steel Calculations'!P3</f>
        <v>0</v>
      </c>
      <c r="AM5" s="45">
        <f>Q5*'Steel Calculations'!Q3</f>
        <v>0</v>
      </c>
      <c r="AN5" s="45">
        <f>R5*'Steel Calculations'!R3</f>
        <v>0</v>
      </c>
      <c r="AO5" s="45">
        <f>S5*'Steel Calculations'!S3</f>
        <v>0</v>
      </c>
      <c r="AP5" s="45">
        <f>T5*'Steel Calculations'!T3</f>
        <v>0</v>
      </c>
      <c r="AQ5" s="45">
        <f>U5*'Steel Calculations'!U3</f>
        <v>0</v>
      </c>
      <c r="AS5" s="49"/>
      <c r="AT5" s="49"/>
      <c r="AU5" s="49"/>
      <c r="AV5" s="49"/>
      <c r="AW5" s="49"/>
      <c r="AX5" s="49"/>
      <c r="AY5" s="49"/>
    </row>
    <row r="6" spans="1:52" ht="13.5" thickBot="1">
      <c r="A6" s="25" t="s">
        <v>204</v>
      </c>
      <c r="B6" s="26">
        <f>'MF-STEEL(KG)'!B5*O$1*B$1+(D$1+F$1)+'MACHINE RATE'!B5*O$1</f>
        <v>918.6875</v>
      </c>
      <c r="C6" s="27">
        <f>'MF-STEEL(KG)'!C5*O$1*B$1+(D$1+F$1)+'MACHINE RATE'!C5*O$1</f>
        <v>1166.7</v>
      </c>
      <c r="D6" s="27">
        <f>'MF-STEEL(KG)'!D5*O$1*B$1+(D$1+F$1)+'MACHINE RATE'!D5*O$1</f>
        <v>1245.9000000000001</v>
      </c>
      <c r="E6" s="27">
        <f>'MF-STEEL(KG)'!E5*O$1*B$1+(D$1+F$1)+'MACHINE RATE'!E5*O$1</f>
        <v>1332.5</v>
      </c>
      <c r="F6" s="28">
        <f>'MF-STEEL(KG)'!F5*O$1*B$1+(D$1+F$1)+'MACHINE RATE'!F5*O$1</f>
        <v>1415.4</v>
      </c>
      <c r="G6" s="26">
        <f>'MF-STEEL(KG)'!G5*O$1*B$1+(D$1+F$1)+'MACHINE RATE'!G5*O$1</f>
        <v>961.8125</v>
      </c>
      <c r="H6" s="27">
        <f>'MF-STEEL(KG)'!H5*O$1*B$1+(D$1+F$1)+'MACHINE RATE'!H5*O$1</f>
        <v>1213.7</v>
      </c>
      <c r="I6" s="27">
        <f>'MF-STEEL(KG)'!I5*O$1*B$1+(D$1+F$1)+'MACHINE RATE'!I5*O$1</f>
        <v>1302.9000000000001</v>
      </c>
      <c r="J6" s="27">
        <f>'MF-STEEL(KG)'!J5*O$1*B$1+(D$1+F$1)+'MACHINE RATE'!J5*O$1</f>
        <v>1392.1</v>
      </c>
      <c r="K6" s="28">
        <f>'MF-STEEL(KG)'!K5*O$1*B$1+(D$1+F$1)+'MACHINE RATE'!K5*O$1</f>
        <v>1288.7</v>
      </c>
      <c r="L6" s="29">
        <f>'MF-STEEL(KG)'!L5*O$1*B$1+(D$1+F$1)+'MACHINE RATE'!L5*O$1</f>
        <v>936.875</v>
      </c>
      <c r="M6" s="27">
        <f>'MF-STEEL(KG)'!M5*O$1*B$1+(D$1+F$1)+'MACHINE RATE'!M5*O$1</f>
        <v>1221.8000000000002</v>
      </c>
      <c r="N6" s="27">
        <f>'MF-STEEL(KG)'!N5*O$1*B$1+(D$1+F$1)+'MACHINE RATE'!N5*O$1</f>
        <v>1406</v>
      </c>
      <c r="O6" s="27">
        <f>'MF-STEEL(KG)'!O5*O$1*B$1+(D$1+F$1)+'MACHINE RATE'!O5*O$1</f>
        <v>1501.3000000000002</v>
      </c>
      <c r="P6" s="30">
        <f>'MF-STEEL(KG)'!P5*O$1*B$1+(D$1+F$1)+'MACHINE RATE'!P5*O$1</f>
        <v>1587.9</v>
      </c>
      <c r="Q6" s="26">
        <f>'MF-STEEL(KG)'!O$1*B$1+(D$1+F$1)+'MACHINE RATE'!Q5*O$1</f>
        <v>540</v>
      </c>
      <c r="R6" s="27">
        <f>'MF-STEEL(KG)'!R5*O$1*B$1+(D$1+F$1)+'MACHINE RATE'!R5*O$1</f>
        <v>1398.8000000000002</v>
      </c>
      <c r="S6" s="27">
        <f>'MF-STEEL(KG)'!S5*O$1*B$1+(D$1+F$1)+'MACHINE RATE'!S5*O$1</f>
        <v>1488</v>
      </c>
      <c r="T6" s="27">
        <f>'MF-STEEL(KG)'!T5*O$1*B$1+(D$1+F$1)+'MACHINE RATE'!T5*O$1</f>
        <v>1580.9</v>
      </c>
      <c r="U6" s="28">
        <f>'MF-STEEL(KG)'!U5*O$1*B$1+(D$1+F$1)+'MACHINE RATE'!U5*O$1</f>
        <v>1681.2</v>
      </c>
      <c r="X6" s="45">
        <f>B6*'Steel Calculations'!B4</f>
        <v>0</v>
      </c>
      <c r="Y6" s="45">
        <f>C6*'Steel Calculations'!C4</f>
        <v>0</v>
      </c>
      <c r="Z6" s="45">
        <f>D6*'Steel Calculations'!D4</f>
        <v>0</v>
      </c>
      <c r="AA6" s="45">
        <f>E6*'Steel Calculations'!E4</f>
        <v>0</v>
      </c>
      <c r="AB6" s="45">
        <f>F6*'Steel Calculations'!F4</f>
        <v>0</v>
      </c>
      <c r="AC6" s="45">
        <f>G6*'Steel Calculations'!G4</f>
        <v>0</v>
      </c>
      <c r="AD6" s="45">
        <f>H6*'Steel Calculations'!H4</f>
        <v>0</v>
      </c>
      <c r="AE6" s="45">
        <f>I6*'Steel Calculations'!I4</f>
        <v>0</v>
      </c>
      <c r="AF6" s="45">
        <f>J6*'Steel Calculations'!J4</f>
        <v>0</v>
      </c>
      <c r="AG6" s="45">
        <f>K6*'Steel Calculations'!K4</f>
        <v>0</v>
      </c>
      <c r="AH6" s="45">
        <f>L6*'Steel Calculations'!L4</f>
        <v>0</v>
      </c>
      <c r="AI6" s="45">
        <f>M6*'Steel Calculations'!M4</f>
        <v>0</v>
      </c>
      <c r="AJ6" s="45">
        <f>N6*'Steel Calculations'!N4</f>
        <v>0</v>
      </c>
      <c r="AK6" s="45">
        <f>O6*'Steel Calculations'!O4</f>
        <v>0</v>
      </c>
      <c r="AL6" s="45">
        <f>P6*'Steel Calculations'!P4</f>
        <v>0</v>
      </c>
      <c r="AM6" s="45">
        <f>Q6*'Steel Calculations'!Q4</f>
        <v>0</v>
      </c>
      <c r="AN6" s="45">
        <f>R6*'Steel Calculations'!R4</f>
        <v>0</v>
      </c>
      <c r="AO6" s="45">
        <f>S6*'Steel Calculations'!S4</f>
        <v>0</v>
      </c>
      <c r="AP6" s="45">
        <f>T6*'Steel Calculations'!T4</f>
        <v>0</v>
      </c>
      <c r="AQ6" s="45">
        <f>U6*'Steel Calculations'!U4</f>
        <v>0</v>
      </c>
      <c r="AS6" s="45">
        <f>R6*'Steel Calculations'!$B$13</f>
        <v>0</v>
      </c>
      <c r="AT6" s="45">
        <f>S6*'Steel Calculations'!$C$13</f>
        <v>0</v>
      </c>
      <c r="AU6" s="45">
        <f>T6*'Steel Calculations'!$D$13</f>
        <v>0</v>
      </c>
      <c r="AV6" s="45">
        <f>U6*'Steel Calculations'!$E$13</f>
        <v>0</v>
      </c>
      <c r="AW6" s="45">
        <f>S6*'Steel Calculations'!$F$13</f>
        <v>0</v>
      </c>
      <c r="AX6" s="45">
        <f>T6*'Steel Calculations'!$G$13</f>
        <v>0</v>
      </c>
      <c r="AY6" s="45">
        <f>U6*'Steel Calculations'!$H$13</f>
        <v>0</v>
      </c>
    </row>
    <row r="7" spans="1:52" ht="13.5" thickBot="1">
      <c r="A7" s="25" t="s">
        <v>205</v>
      </c>
      <c r="B7" s="26">
        <f>'MF-STEEL(KG)'!B6*O$1*B$1+(D$1+F$1)+'MACHINE RATE'!B6*O$1</f>
        <v>987.25</v>
      </c>
      <c r="C7" s="27">
        <f>'MF-STEEL(KG)'!C6*O$1*B$1+(D$1+F$1)+'MACHINE RATE'!C6*O$1</f>
        <v>1264.4000000000001</v>
      </c>
      <c r="D7" s="27">
        <f>'MF-STEEL(KG)'!D6*O$1*B$1+(D$1+F$1)+'MACHINE RATE'!D6*O$1</f>
        <v>1343.6</v>
      </c>
      <c r="E7" s="27">
        <f>'MF-STEEL(KG)'!E6*O$1*B$1+(D$1+F$1)+'MACHINE RATE'!E6*O$1</f>
        <v>1433.9</v>
      </c>
      <c r="F7" s="28">
        <f>'MF-STEEL(KG)'!F6*O$1*B$1+(D$1+F$1)+'MACHINE RATE'!F6*O$1</f>
        <v>1520.5</v>
      </c>
      <c r="G7" s="26">
        <f>'MF-STEEL(KG)'!G6*O$1*B$1+(D$1+F$1)+'MACHINE RATE'!G6*O$1</f>
        <v>1028.0625</v>
      </c>
      <c r="H7" s="27">
        <f>'MF-STEEL(KG)'!H6*O$1*B$1+(D$1+F$1)+'MACHINE RATE'!H6*O$1</f>
        <v>1307.7</v>
      </c>
      <c r="I7" s="27">
        <f>'MF-STEEL(KG)'!I6*O$1*B$1+(D$1+F$1)+'MACHINE RATE'!I6*O$1</f>
        <v>1396.9</v>
      </c>
      <c r="J7" s="27">
        <f>'MF-STEEL(KG)'!J6*O$1*B$1+(D$1+F$1)+'MACHINE RATE'!J6*O$1</f>
        <v>1497.2</v>
      </c>
      <c r="K7" s="28">
        <f>'MF-STEEL(KG)'!K6*O$1*B$1+(D$1+F$1)+'MACHINE RATE'!K6*O$1</f>
        <v>1401.2</v>
      </c>
      <c r="L7" s="29">
        <f>'MF-STEEL(KG)'!L6*O$1*B$1+(D$1+F$1)+'MACHINE RATE'!L6*O$1</f>
        <v>1012.375</v>
      </c>
      <c r="M7" s="27">
        <f>'MF-STEEL(KG)'!M6*O$1*B$1+(D$1+F$1)+'MACHINE RATE'!M6*O$1</f>
        <v>1330.6</v>
      </c>
      <c r="N7" s="27">
        <f>'MF-STEEL(KG)'!N6*O$1*B$1+(D$1+F$1)+'MACHINE RATE'!N6*O$1</f>
        <v>1514.8000000000002</v>
      </c>
      <c r="O7" s="27">
        <f>'MF-STEEL(KG)'!O6*O$1*B$1+(D$1+F$1)+'MACHINE RATE'!O6*O$1</f>
        <v>1613.8000000000002</v>
      </c>
      <c r="P7" s="30">
        <f>'MF-STEEL(KG)'!P6*O$1*B$1+(D$1+F$1)+'MACHINE RATE'!P6*O$1</f>
        <v>1707.8</v>
      </c>
      <c r="Q7" s="26">
        <f>'MF-STEEL(KG)'!O$1*B$1+(D$1+F$1)+'MACHINE RATE'!Q6*O$1</f>
        <v>560</v>
      </c>
      <c r="R7" s="27">
        <f>'MF-STEEL(KG)'!R6*O$1*B$1+(D$1+F$1)+'MACHINE RATE'!R6*O$1</f>
        <v>1503.9</v>
      </c>
      <c r="S7" s="27">
        <f>'MF-STEEL(KG)'!S6*O$1*B$1+(D$1+F$1)+'MACHINE RATE'!S6*O$1</f>
        <v>1593.1</v>
      </c>
      <c r="T7" s="27">
        <f>'MF-STEEL(KG)'!T6*O$1*B$1+(D$1+F$1)+'MACHINE RATE'!T6*O$1</f>
        <v>1697.1000000000001</v>
      </c>
      <c r="U7" s="28">
        <f>'MF-STEEL(KG)'!U6*O$1*B$1+(D$1+F$1)+'MACHINE RATE'!U6*O$1</f>
        <v>1808.5</v>
      </c>
      <c r="X7" s="45">
        <f>B7*'Steel Calculations'!B5</f>
        <v>0</v>
      </c>
      <c r="Y7" s="45">
        <f>C7*'Steel Calculations'!C5</f>
        <v>0</v>
      </c>
      <c r="Z7" s="45">
        <f>D7*'Steel Calculations'!D5</f>
        <v>0</v>
      </c>
      <c r="AA7" s="45">
        <f>E7*'Steel Calculations'!E5</f>
        <v>0</v>
      </c>
      <c r="AB7" s="45">
        <f>F7*'Steel Calculations'!F5</f>
        <v>0</v>
      </c>
      <c r="AC7" s="45">
        <f>G7*'Steel Calculations'!G5</f>
        <v>0</v>
      </c>
      <c r="AD7" s="45">
        <f>H7*'Steel Calculations'!H5</f>
        <v>0</v>
      </c>
      <c r="AE7" s="45">
        <f>I7*'Steel Calculations'!I5</f>
        <v>2793.8</v>
      </c>
      <c r="AF7" s="45">
        <f>J7*'Steel Calculations'!J5</f>
        <v>1497.2</v>
      </c>
      <c r="AG7" s="45">
        <f>K7*'Steel Calculations'!K5</f>
        <v>0</v>
      </c>
      <c r="AH7" s="45">
        <f>L7*'Steel Calculations'!L5</f>
        <v>0</v>
      </c>
      <c r="AI7" s="45">
        <f>M7*'Steel Calculations'!M5</f>
        <v>0</v>
      </c>
      <c r="AJ7" s="45">
        <f>N7*'Steel Calculations'!N5</f>
        <v>0</v>
      </c>
      <c r="AK7" s="45">
        <f>O7*'Steel Calculations'!O5</f>
        <v>0</v>
      </c>
      <c r="AL7" s="45">
        <f>P7*'Steel Calculations'!P5</f>
        <v>0</v>
      </c>
      <c r="AM7" s="45">
        <f>Q7*'Steel Calculations'!Q5</f>
        <v>0</v>
      </c>
      <c r="AN7" s="45">
        <f>R7*'Steel Calculations'!R5</f>
        <v>0</v>
      </c>
      <c r="AO7" s="45">
        <f>S7*'Steel Calculations'!S5</f>
        <v>0</v>
      </c>
      <c r="AP7" s="45">
        <f>T7*'Steel Calculations'!T5</f>
        <v>0</v>
      </c>
      <c r="AQ7" s="45">
        <f>U7*'Steel Calculations'!U5</f>
        <v>0</v>
      </c>
      <c r="AS7" s="45">
        <f>R7*'Steel Calculations'!$B$14</f>
        <v>0</v>
      </c>
      <c r="AT7" s="45">
        <f>S7*'Steel Calculations'!$C$14</f>
        <v>0</v>
      </c>
      <c r="AU7" s="45">
        <f>T7*'Steel Calculations'!$D$14</f>
        <v>0</v>
      </c>
      <c r="AV7" s="45">
        <f>U7*'Steel Calculations'!$E$14</f>
        <v>0</v>
      </c>
      <c r="AW7" s="45">
        <f>S7*'Steel Calculations'!$F$14</f>
        <v>0</v>
      </c>
      <c r="AX7" s="45">
        <f>T7*'Steel Calculations'!$G$14</f>
        <v>0</v>
      </c>
      <c r="AY7" s="45">
        <f>U7*'Steel Calculations'!$H$14</f>
        <v>0</v>
      </c>
    </row>
    <row r="8" spans="1:52" ht="13.5" thickBot="1">
      <c r="A8" s="25" t="s">
        <v>206</v>
      </c>
      <c r="B8" s="26">
        <f>'MF-STEEL(KG)'!B7*O$1*B$1+(D$1+F$1)+'MACHINE RATE'!B7*O$1</f>
        <v>1044.25</v>
      </c>
      <c r="C8" s="27">
        <f>'MF-STEEL(KG)'!C7*O$1*B$1+(D$1+F$1)+'MACHINE RATE'!C7*O$1</f>
        <v>1343.6</v>
      </c>
      <c r="D8" s="27">
        <f>'MF-STEEL(KG)'!D7*O$1*B$1+(D$1+F$1)+'MACHINE RATE'!D7*O$1</f>
        <v>1422.8000000000002</v>
      </c>
      <c r="E8" s="27">
        <f>'MF-STEEL(KG)'!E7*O$1*B$1+(D$1+F$1)+'MACHINE RATE'!E7*O$1</f>
        <v>1513.1</v>
      </c>
      <c r="F8" s="28">
        <f>'MF-STEEL(KG)'!F7*O$1*B$1+(D$1+F$1)+'MACHINE RATE'!F7*O$1</f>
        <v>1599.7</v>
      </c>
      <c r="G8" s="26">
        <f>'MF-STEEL(KG)'!G7*O$1*B$1+(D$1+F$1)+'MACHINE RATE'!G7*O$1</f>
        <v>1085.0625</v>
      </c>
      <c r="H8" s="27">
        <f>'MF-STEEL(KG)'!H7*O$1*B$1+(D$1+F$1)+'MACHINE RATE'!H7*O$1</f>
        <v>1386.9</v>
      </c>
      <c r="I8" s="27">
        <f>'MF-STEEL(KG)'!I7*O$1*B$1+(D$1+F$1)+'MACHINE RATE'!I7*O$1</f>
        <v>1476.1</v>
      </c>
      <c r="J8" s="27">
        <f>'MF-STEEL(KG)'!J7*O$1*B$1+(D$1+F$1)+'MACHINE RATE'!J7*O$1</f>
        <v>1576.4</v>
      </c>
      <c r="K8" s="28">
        <f>'MF-STEEL(KG)'!K7*O$1*B$1+(D$1+F$1)+'MACHINE RATE'!K7*O$1</f>
        <v>1480.4</v>
      </c>
      <c r="L8" s="29">
        <f>'MF-STEEL(KG)'!L7*O$1*B$1+(D$1+F$1)+'MACHINE RATE'!L7*O$1</f>
        <v>1069.375</v>
      </c>
      <c r="M8" s="27">
        <f>'MF-STEEL(KG)'!M7*O$1*B$1+(D$1+F$1)+'MACHINE RATE'!M7*O$1</f>
        <v>1409.8000000000002</v>
      </c>
      <c r="N8" s="27">
        <f>'MF-STEEL(KG)'!N7*O$1*B$1+(D$1+F$1)+'MACHINE RATE'!N7*O$1</f>
        <v>1594</v>
      </c>
      <c r="O8" s="27">
        <f>'MF-STEEL(KG)'!O7*O$1*B$1+(D$1+F$1)+'MACHINE RATE'!O7*O$1</f>
        <v>1693</v>
      </c>
      <c r="P8" s="30">
        <f>'MF-STEEL(KG)'!P7*O$1*B$1+(D$1+F$1)+'MACHINE RATE'!P7*O$1</f>
        <v>1787</v>
      </c>
      <c r="Q8" s="26">
        <f>'MF-STEEL(KG)'!O$1*B$1+(D$1+F$1)+'MACHINE RATE'!Q7*O$1</f>
        <v>580</v>
      </c>
      <c r="R8" s="27">
        <f>'MF-STEEL(KG)'!R7*O$1*B$1+(D$1+F$1)+'MACHINE RATE'!R7*O$1</f>
        <v>1583.1</v>
      </c>
      <c r="S8" s="27">
        <f>'MF-STEEL(KG)'!S7*O$1*B$1+(D$1+F$1)+'MACHINE RATE'!S7*O$1</f>
        <v>1672.3</v>
      </c>
      <c r="T8" s="27">
        <f>'MF-STEEL(KG)'!T7*O$1*B$1+(D$1+F$1)+'MACHINE RATE'!T7*O$1</f>
        <v>1776.3</v>
      </c>
      <c r="U8" s="28">
        <f>'MF-STEEL(KG)'!U7*O$1*B$1+(D$1+F$1)+'MACHINE RATE'!U7*O$1</f>
        <v>1887.7</v>
      </c>
      <c r="X8" s="45">
        <f>B8*'Steel Calculations'!B6</f>
        <v>0</v>
      </c>
      <c r="Y8" s="45">
        <f>C8*'Steel Calculations'!C6</f>
        <v>0</v>
      </c>
      <c r="Z8" s="45">
        <f>D8*'Steel Calculations'!D6</f>
        <v>0</v>
      </c>
      <c r="AA8" s="45">
        <f>E8*'Steel Calculations'!E6</f>
        <v>0</v>
      </c>
      <c r="AB8" s="45">
        <f>F8*'Steel Calculations'!F6</f>
        <v>0</v>
      </c>
      <c r="AC8" s="45">
        <f>G8*'Steel Calculations'!G6</f>
        <v>0</v>
      </c>
      <c r="AD8" s="45">
        <f>H8*'Steel Calculations'!H6</f>
        <v>0</v>
      </c>
      <c r="AE8" s="45">
        <f>I8*'Steel Calculations'!I6</f>
        <v>0</v>
      </c>
      <c r="AF8" s="45">
        <f>J8*'Steel Calculations'!J6</f>
        <v>0</v>
      </c>
      <c r="AG8" s="45">
        <f>K8*'Steel Calculations'!K6</f>
        <v>0</v>
      </c>
      <c r="AH8" s="45">
        <f>L8*'Steel Calculations'!L6</f>
        <v>0</v>
      </c>
      <c r="AI8" s="45">
        <f>M8*'Steel Calculations'!M6</f>
        <v>0</v>
      </c>
      <c r="AJ8" s="45">
        <f>N8*'Steel Calculations'!N6</f>
        <v>0</v>
      </c>
      <c r="AK8" s="45">
        <f>O8*'Steel Calculations'!O6</f>
        <v>0</v>
      </c>
      <c r="AL8" s="45">
        <f>P8*'Steel Calculations'!P6</f>
        <v>0</v>
      </c>
      <c r="AM8" s="45">
        <f>Q8*'Steel Calculations'!Q6</f>
        <v>0</v>
      </c>
      <c r="AN8" s="45">
        <f>R8*'Steel Calculations'!R6</f>
        <v>0</v>
      </c>
      <c r="AO8" s="45">
        <f>S8*'Steel Calculations'!S6</f>
        <v>0</v>
      </c>
      <c r="AP8" s="45">
        <f>T8*'Steel Calculations'!T6</f>
        <v>0</v>
      </c>
      <c r="AQ8" s="45">
        <f>U8*'Steel Calculations'!U6</f>
        <v>0</v>
      </c>
      <c r="AS8" s="45">
        <f>R8*'Steel Calculations'!$B$15</f>
        <v>0</v>
      </c>
      <c r="AT8" s="45">
        <f>S8*'Steel Calculations'!$C$15</f>
        <v>0</v>
      </c>
      <c r="AU8" s="45">
        <f>T8*'Steel Calculations'!$D$15</f>
        <v>0</v>
      </c>
      <c r="AV8" s="45">
        <f>U8*'Steel Calculations'!$E$15</f>
        <v>0</v>
      </c>
      <c r="AW8" s="45">
        <f>S8*'Steel Calculations'!$F$15</f>
        <v>0</v>
      </c>
      <c r="AX8" s="45">
        <f>T8*'Steel Calculations'!$G$15</f>
        <v>0</v>
      </c>
      <c r="AY8" s="45">
        <f>U8*'Steel Calculations'!$H$15</f>
        <v>0</v>
      </c>
    </row>
    <row r="9" spans="1:52" ht="13.5" thickBot="1">
      <c r="A9" s="25" t="s">
        <v>207</v>
      </c>
      <c r="B9" s="26">
        <f>'MF-STEEL(KG)'!B8*O$1*B$1+(D$1+F$1)+'MACHINE RATE'!B8*O$1</f>
        <v>1138.25</v>
      </c>
      <c r="C9" s="27">
        <f>'MF-STEEL(KG)'!C8*O$1*B$1+(D$1+F$1)+'MACHINE RATE'!C8*O$1</f>
        <v>1437.6</v>
      </c>
      <c r="D9" s="27">
        <f>'MF-STEEL(KG)'!D8*O$1*B$1+(D$1+F$1)+'MACHINE RATE'!D8*O$1</f>
        <v>1516.8000000000002</v>
      </c>
      <c r="E9" s="27">
        <f>'MF-STEEL(KG)'!E8*O$1*B$1+(D$1+F$1)+'MACHINE RATE'!E8*O$1</f>
        <v>1607.1000000000001</v>
      </c>
      <c r="F9" s="28">
        <f>'MF-STEEL(KG)'!F8*O$1*B$1+(D$1+F$1)+'MACHINE RATE'!F8*O$1</f>
        <v>1693.7</v>
      </c>
      <c r="G9" s="26">
        <f>'MF-STEEL(KG)'!G8*O$1*B$1+(D$1+F$1)+'MACHINE RATE'!G8*O$1</f>
        <v>1179.0625</v>
      </c>
      <c r="H9" s="27">
        <f>'MF-STEEL(KG)'!H8*O$1*B$1+(D$1+F$1)+'MACHINE RATE'!H8*O$1</f>
        <v>1480.9</v>
      </c>
      <c r="I9" s="27">
        <f>'MF-STEEL(KG)'!I8*O$1*B$1+(D$1+F$1)+'MACHINE RATE'!I8*O$1</f>
        <v>1570.1</v>
      </c>
      <c r="J9" s="27">
        <f>'MF-STEEL(KG)'!J8*O$1*B$1+(D$1+F$1)+'MACHINE RATE'!J8*O$1</f>
        <v>1670.4</v>
      </c>
      <c r="K9" s="28">
        <f>'MF-STEEL(KG)'!K8*O$1*B$1+(D$1+F$1)+'MACHINE RATE'!K8*O$1</f>
        <v>1574.4</v>
      </c>
      <c r="L9" s="29">
        <f>'MF-STEEL(KG)'!L8*O$1*B$1+(D$1+F$1)+'MACHINE RATE'!L8*O$1</f>
        <v>1163.375</v>
      </c>
      <c r="M9" s="27">
        <f>'MF-STEEL(KG)'!M8*O$1*B$1+(D$1+F$1)+'MACHINE RATE'!M8*O$1</f>
        <v>1503.8000000000002</v>
      </c>
      <c r="N9" s="27">
        <f>'MF-STEEL(KG)'!N8*O$1*B$1+(D$1+F$1)+'MACHINE RATE'!N8*O$1</f>
        <v>1688</v>
      </c>
      <c r="O9" s="27">
        <f>'MF-STEEL(KG)'!O8*O$1*B$1+(D$1+F$1)+'MACHINE RATE'!O8*O$1</f>
        <v>1787</v>
      </c>
      <c r="P9" s="30">
        <f>'MF-STEEL(KG)'!P8*O$1*B$1+(D$1+F$1)+'MACHINE RATE'!P8*O$1</f>
        <v>1881</v>
      </c>
      <c r="Q9" s="26">
        <f>'MF-STEEL(KG)'!O$1*B$1+(D$1+F$1)+'MACHINE RATE'!Q8*O$1</f>
        <v>600</v>
      </c>
      <c r="R9" s="27">
        <f>'MF-STEEL(KG)'!R8*O$1*B$1+(D$1+F$1)+'MACHINE RATE'!R8*O$1</f>
        <v>1677.1000000000001</v>
      </c>
      <c r="S9" s="27">
        <f>'MF-STEEL(KG)'!S8*O$1*B$1+(D$1+F$1)+'MACHINE RATE'!S8*O$1</f>
        <v>1766.3</v>
      </c>
      <c r="T9" s="27">
        <f>'MF-STEEL(KG)'!T8*O$1*B$1+(D$1+F$1)+'MACHINE RATE'!T8*O$1</f>
        <v>1870.3</v>
      </c>
      <c r="U9" s="28">
        <f>'MF-STEEL(KG)'!U8*O$1*B$1+(D$1+F$1)+'MACHINE RATE'!U8*O$1</f>
        <v>1981.7</v>
      </c>
      <c r="X9" s="45">
        <f>B9*'Steel Calculations'!B7</f>
        <v>0</v>
      </c>
      <c r="Y9" s="45">
        <f>C9*'Steel Calculations'!C7</f>
        <v>0</v>
      </c>
      <c r="Z9" s="45">
        <f>D9*'Steel Calculations'!D7</f>
        <v>0</v>
      </c>
      <c r="AA9" s="45">
        <f>E9*'Steel Calculations'!E7</f>
        <v>0</v>
      </c>
      <c r="AB9" s="45">
        <f>F9*'Steel Calculations'!F7</f>
        <v>0</v>
      </c>
      <c r="AC9" s="45">
        <f>G9*'Steel Calculations'!G7</f>
        <v>0</v>
      </c>
      <c r="AD9" s="45">
        <f>H9*'Steel Calculations'!H7</f>
        <v>0</v>
      </c>
      <c r="AE9" s="45">
        <f>I9*'Steel Calculations'!I7</f>
        <v>0</v>
      </c>
      <c r="AF9" s="45">
        <f>J9*'Steel Calculations'!J7</f>
        <v>0</v>
      </c>
      <c r="AG9" s="45">
        <f>K9*'Steel Calculations'!K7</f>
        <v>0</v>
      </c>
      <c r="AH9" s="45">
        <f>L9*'Steel Calculations'!L7</f>
        <v>0</v>
      </c>
      <c r="AI9" s="45">
        <f>M9*'Steel Calculations'!M7</f>
        <v>0</v>
      </c>
      <c r="AJ9" s="45">
        <f>N9*'Steel Calculations'!N7</f>
        <v>0</v>
      </c>
      <c r="AK9" s="45">
        <f>O9*'Steel Calculations'!O7</f>
        <v>0</v>
      </c>
      <c r="AL9" s="45">
        <f>P9*'Steel Calculations'!P7</f>
        <v>0</v>
      </c>
      <c r="AM9" s="45">
        <f>Q9*'Steel Calculations'!Q7</f>
        <v>0</v>
      </c>
      <c r="AN9" s="45">
        <f>R9*'Steel Calculations'!R7</f>
        <v>0</v>
      </c>
      <c r="AO9" s="45">
        <f>S9*'Steel Calculations'!S7</f>
        <v>0</v>
      </c>
      <c r="AP9" s="45">
        <f>T9*'Steel Calculations'!T7</f>
        <v>0</v>
      </c>
      <c r="AQ9" s="45">
        <f>U9*'Steel Calculations'!U7</f>
        <v>0</v>
      </c>
      <c r="AS9" s="45">
        <f>R9*'Steel Calculations'!$B$16</f>
        <v>0</v>
      </c>
      <c r="AT9" s="45">
        <f>S9*'Steel Calculations'!$C$16</f>
        <v>0</v>
      </c>
      <c r="AU9" s="45">
        <f>T9*'Steel Calculations'!$D$16</f>
        <v>0</v>
      </c>
      <c r="AV9" s="45">
        <f>U9*'Steel Calculations'!$E$16</f>
        <v>0</v>
      </c>
      <c r="AW9" s="45">
        <f>S9*'Steel Calculations'!$F$16</f>
        <v>0</v>
      </c>
      <c r="AX9" s="45">
        <f>T9*'Steel Calculations'!$G$16</f>
        <v>0</v>
      </c>
      <c r="AY9" s="45">
        <f>U9*'Steel Calculations'!$H$16</f>
        <v>0</v>
      </c>
    </row>
    <row r="10" spans="1:52">
      <c r="A10" s="31"/>
      <c r="B10" s="26"/>
      <c r="C10" s="27"/>
      <c r="D10" s="27"/>
      <c r="E10" s="27"/>
      <c r="F10" s="28"/>
      <c r="G10" s="26"/>
      <c r="H10" s="27"/>
      <c r="I10" s="27"/>
      <c r="J10" s="27"/>
      <c r="K10" s="28"/>
      <c r="L10" s="29"/>
      <c r="M10" s="27"/>
      <c r="N10" s="27"/>
      <c r="O10" s="27"/>
      <c r="P10" s="30"/>
      <c r="Q10" s="26"/>
      <c r="R10" s="27"/>
      <c r="S10" s="27"/>
      <c r="T10" s="27"/>
      <c r="U10" s="28"/>
      <c r="AR10" s="45">
        <f>SUM(X5:AQ9)-M$1*(18*B$1+'MACHINE RATE'!V8)</f>
        <v>3810.8</v>
      </c>
      <c r="AZ10" s="45">
        <f>SUM(AS5:AY9)</f>
        <v>0</v>
      </c>
    </row>
    <row r="11" spans="1:52" ht="15.75" customHeight="1" thickBot="1">
      <c r="A11" s="533" t="s">
        <v>236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52" ht="13.5" thickBot="1">
      <c r="A12" s="20" t="s">
        <v>0</v>
      </c>
      <c r="B12" s="529" t="s">
        <v>194</v>
      </c>
      <c r="C12" s="530"/>
      <c r="D12" s="530"/>
      <c r="E12" s="530"/>
      <c r="F12" s="531"/>
      <c r="G12" s="532" t="s">
        <v>195</v>
      </c>
      <c r="H12" s="530"/>
      <c r="I12" s="530"/>
      <c r="J12" s="530"/>
      <c r="K12" s="531"/>
      <c r="L12" s="532" t="s">
        <v>196</v>
      </c>
      <c r="M12" s="530"/>
      <c r="N12" s="530"/>
      <c r="O12" s="530"/>
      <c r="P12" s="531"/>
      <c r="Q12" s="532" t="s">
        <v>197</v>
      </c>
      <c r="R12" s="530"/>
      <c r="S12" s="530"/>
      <c r="T12" s="530"/>
      <c r="U12" s="531"/>
    </row>
    <row r="13" spans="1:52" ht="13.5" thickBot="1">
      <c r="A13" s="38"/>
      <c r="B13" s="26"/>
      <c r="C13" s="27"/>
      <c r="D13" s="27"/>
      <c r="E13" s="27"/>
      <c r="F13" s="28"/>
      <c r="G13" s="26"/>
      <c r="H13" s="27"/>
      <c r="I13" s="27"/>
      <c r="J13" s="27"/>
      <c r="K13" s="28"/>
      <c r="L13" s="29"/>
      <c r="M13" s="27"/>
      <c r="N13" s="27"/>
      <c r="O13" s="27"/>
      <c r="P13" s="30"/>
      <c r="Q13" s="26"/>
      <c r="R13" s="27"/>
      <c r="S13" s="27"/>
      <c r="T13" s="27"/>
      <c r="U13" s="28"/>
    </row>
    <row r="14" spans="1:52" ht="13.5" thickBot="1">
      <c r="A14" s="25" t="s">
        <v>203</v>
      </c>
      <c r="B14" s="26">
        <f>'MF-STEEL(KG)'!B13*O$1*B$1+(D$1+F$1)+'MACHINE RATE'!B13*O$1</f>
        <v>985.6</v>
      </c>
      <c r="C14" s="27">
        <f>'MF-STEEL(KG)'!C13*O$1*B$1+(D$1+F$1)+'MACHINE RATE'!C13*O$1</f>
        <v>1248.8800000000001</v>
      </c>
      <c r="D14" s="27">
        <f>'MF-STEEL(KG)'!D13*O$1*B$1+(D$1+F$1)+'MACHINE RATE'!D13*O$1</f>
        <v>1341.96</v>
      </c>
      <c r="E14" s="27">
        <f>'MF-STEEL(KG)'!E13*O$1*B$1+(D$1+F$1)+'MACHINE RATE'!E13*O$1</f>
        <v>1435.04</v>
      </c>
      <c r="F14" s="28">
        <f>'MF-STEEL(KG)'!F13*O$1*B$1+(D$1+F$1)+'MACHINE RATE'!F13*O$1</f>
        <v>1528.12</v>
      </c>
      <c r="G14" s="26">
        <f>'MF-STEEL(KG)'!G13*O$1*B$1+(D$1+F$1)+'MACHINE RATE'!G13*O$1</f>
        <v>1021.55625</v>
      </c>
      <c r="H14" s="27">
        <f>'MF-STEEL(KG)'!H13*O$1*B$1+(D$1+F$1)+'MACHINE RATE'!H13*O$1</f>
        <v>1299.4099999999999</v>
      </c>
      <c r="I14" s="27">
        <f>'MF-STEEL(KG)'!I13*O$1*B$1+(D$1+F$1)+'MACHINE RATE'!I13*O$1</f>
        <v>1397.49</v>
      </c>
      <c r="J14" s="27">
        <f>'MF-STEEL(KG)'!J13*O$1*B$1+(D$1+F$1)+'MACHINE RATE'!J13*O$1</f>
        <v>1509.8249999999998</v>
      </c>
      <c r="K14" s="28">
        <f>'MF-STEEL(KG)'!K13*O$1*B$1+(D$1+F$1)+'MACHINE RATE'!K13*O$1</f>
        <v>1622.1599999999999</v>
      </c>
      <c r="L14" s="29">
        <f>'MF-STEEL(KG)'!L13*O$1*B$1+(D$1+F$1)+'MACHINE RATE'!L13*O$1</f>
        <v>1101.1281250000002</v>
      </c>
      <c r="M14" s="27">
        <f>'MF-STEEL(KG)'!M13*O$1*B$1+(D$1+F$1)+'MACHINE RATE'!M13*O$1</f>
        <v>1394.7249999999999</v>
      </c>
      <c r="N14" s="27">
        <f>'MF-STEEL(KG)'!N13*O$1*B$1+(D$1+F$1)+'MACHINE RATE'!N13*O$1</f>
        <v>1487.8049999999998</v>
      </c>
      <c r="O14" s="27">
        <f>'MF-STEEL(KG)'!O13*O$1*B$1+(D$1+F$1)+'MACHINE RATE'!O13*O$1</f>
        <v>1589.395</v>
      </c>
      <c r="P14" s="30">
        <f>'MF-STEEL(KG)'!P13*O$1*B$1+(D$1+F$1)+'MACHINE RATE'!P13*O$1</f>
        <v>1690.9849999999999</v>
      </c>
      <c r="Q14" s="26">
        <f>'MF-STEEL(KG)'!O$1*B$1+(D$1+F$1)+'MACHINE RATE'!Q13*O$1</f>
        <v>600</v>
      </c>
      <c r="R14" s="27">
        <f>'MF-STEEL(KG)'!R13*O$1*B$1+(D$1+F$1)+'MACHINE RATE'!R13*O$1</f>
        <v>1480.2550000000001</v>
      </c>
      <c r="S14" s="27">
        <f>'MF-STEEL(KG)'!S13*O$1*B$1+(D$1+F$1)+'MACHINE RATE'!S13*O$1</f>
        <v>1573.335</v>
      </c>
      <c r="T14" s="27">
        <f>'MF-STEEL(KG)'!T13*O$1*B$1+(D$1+F$1)+'MACHINE RATE'!T13*O$1</f>
        <v>1674.1799999999998</v>
      </c>
      <c r="U14" s="28">
        <f>'MF-STEEL(KG)'!U13*O$1*B$1+(D$1+F$1)+'MACHINE RATE'!U13*O$1</f>
        <v>1775.0250000000001</v>
      </c>
      <c r="X14" s="45">
        <f>B14*'Steel Calculations'!B3</f>
        <v>0</v>
      </c>
      <c r="Y14" s="45">
        <f>C14*'Steel Calculations'!C3</f>
        <v>0</v>
      </c>
      <c r="Z14" s="45">
        <f>D14*'Steel Calculations'!D3</f>
        <v>0</v>
      </c>
      <c r="AA14" s="45">
        <f>E14*'Steel Calculations'!E3</f>
        <v>0</v>
      </c>
      <c r="AB14" s="45">
        <f>F14*'Steel Calculations'!F3</f>
        <v>0</v>
      </c>
      <c r="AC14" s="45">
        <f>G14*'Steel Calculations'!G3</f>
        <v>0</v>
      </c>
      <c r="AD14" s="45">
        <f>H14*'Steel Calculations'!H3</f>
        <v>0</v>
      </c>
      <c r="AE14" s="45">
        <f>I14*'Steel Calculations'!I3</f>
        <v>0</v>
      </c>
      <c r="AF14" s="45">
        <f>J14*'Steel Calculations'!J3</f>
        <v>0</v>
      </c>
      <c r="AG14" s="45">
        <f>K14*'Steel Calculations'!K3</f>
        <v>0</v>
      </c>
      <c r="AH14" s="45">
        <f>L14*'Steel Calculations'!L3</f>
        <v>0</v>
      </c>
      <c r="AI14" s="45">
        <f>M14*'Steel Calculations'!M3</f>
        <v>0</v>
      </c>
      <c r="AJ14" s="45">
        <f>N14*'Steel Calculations'!N3</f>
        <v>0</v>
      </c>
      <c r="AK14" s="45">
        <f>O14*'Steel Calculations'!O3</f>
        <v>0</v>
      </c>
      <c r="AL14" s="45">
        <f>P14*'Steel Calculations'!P3</f>
        <v>0</v>
      </c>
      <c r="AM14" s="45">
        <f>Q14*'Steel Calculations'!Q3</f>
        <v>0</v>
      </c>
      <c r="AN14" s="45">
        <f>R14*'Steel Calculations'!R3</f>
        <v>0</v>
      </c>
      <c r="AO14" s="45">
        <f>S14*'Steel Calculations'!S3</f>
        <v>0</v>
      </c>
      <c r="AP14" s="45">
        <f>T14*'Steel Calculations'!T3</f>
        <v>0</v>
      </c>
      <c r="AQ14" s="45">
        <f>U14*'Steel Calculations'!U3</f>
        <v>0</v>
      </c>
      <c r="AS14" s="49"/>
      <c r="AT14" s="49"/>
      <c r="AU14" s="49"/>
      <c r="AV14" s="49"/>
      <c r="AW14" s="49"/>
      <c r="AX14" s="49"/>
      <c r="AY14" s="49"/>
    </row>
    <row r="15" spans="1:52" ht="13.5" thickBot="1">
      <c r="A15" s="25" t="s">
        <v>204</v>
      </c>
      <c r="B15" s="26">
        <f>'MF-STEEL(KG)'!B14*O$1*B$1+(D$1+F$1)+'MACHINE RATE'!B14*O$1</f>
        <v>1045.4906249999999</v>
      </c>
      <c r="C15" s="27">
        <f>'MF-STEEL(KG)'!C14*O$1*B$1+(D$1+F$1)+'MACHINE RATE'!C14*O$1</f>
        <v>1332.7049999999999</v>
      </c>
      <c r="D15" s="27">
        <f>'MF-STEEL(KG)'!D14*O$1*B$1+(D$1+F$1)+'MACHINE RATE'!D14*O$1</f>
        <v>1425.7849999999999</v>
      </c>
      <c r="E15" s="27">
        <f>'MF-STEEL(KG)'!E14*O$1*B$1+(D$1+F$1)+'MACHINE RATE'!E14*O$1</f>
        <v>1527.375</v>
      </c>
      <c r="F15" s="28">
        <f>'MF-STEEL(KG)'!F14*O$1*B$1+(D$1+F$1)+'MACHINE RATE'!F14*O$1</f>
        <v>1624.7099999999998</v>
      </c>
      <c r="G15" s="26">
        <f>'MF-STEEL(KG)'!G14*O$1*B$1+(D$1+F$1)+'MACHINE RATE'!G14*O$1</f>
        <v>1092.0843749999999</v>
      </c>
      <c r="H15" s="27">
        <f>'MF-STEEL(KG)'!H14*O$1*B$1+(D$1+F$1)+'MACHINE RATE'!H14*O$1</f>
        <v>1400.2550000000001</v>
      </c>
      <c r="I15" s="27">
        <f>'MF-STEEL(KG)'!I14*O$1*B$1+(D$1+F$1)+'MACHINE RATE'!I14*O$1</f>
        <v>1498.335</v>
      </c>
      <c r="J15" s="27">
        <f>'MF-STEEL(KG)'!J14*O$1*B$1+(D$1+F$1)+'MACHINE RATE'!J14*O$1</f>
        <v>1606.415</v>
      </c>
      <c r="K15" s="28">
        <f>'MF-STEEL(KG)'!K14*O$1*B$1+(D$1+F$1)+'MACHINE RATE'!K14*O$1</f>
        <v>1723.0049999999999</v>
      </c>
      <c r="L15" s="29">
        <f>'MF-STEEL(KG)'!L14*O$1*B$1+(D$1+F$1)+'MACHINE RATE'!L14*O$1</f>
        <v>1171.65625</v>
      </c>
      <c r="M15" s="27">
        <f>'MF-STEEL(KG)'!M14*O$1*B$1+(D$1+F$1)+'MACHINE RATE'!M14*O$1</f>
        <v>1495.5700000000002</v>
      </c>
      <c r="N15" s="27">
        <f>'MF-STEEL(KG)'!N14*O$1*B$1+(D$1+F$1)+'MACHINE RATE'!N14*O$1</f>
        <v>1588.65</v>
      </c>
      <c r="O15" s="27">
        <f>'MF-STEEL(KG)'!O14*O$1*B$1+(D$1+F$1)+'MACHINE RATE'!O14*O$1</f>
        <v>1694.4949999999999</v>
      </c>
      <c r="P15" s="30">
        <f>'MF-STEEL(KG)'!P14*O$1*B$1+(D$1+F$1)+'MACHINE RATE'!P14*O$1</f>
        <v>1796.0849999999998</v>
      </c>
      <c r="Q15" s="26">
        <f>'MF-STEEL(KG)'!O$1*B$1+(D$1+F$1)+'MACHINE RATE'!Q14*O$1</f>
        <v>620</v>
      </c>
      <c r="R15" s="27">
        <f>'MF-STEEL(KG)'!R14*O$1*B$1+(D$1+F$1)+'MACHINE RATE'!R14*O$1</f>
        <v>1598.12</v>
      </c>
      <c r="S15" s="27">
        <f>'MF-STEEL(KG)'!S14*O$1*B$1+(D$1+F$1)+'MACHINE RATE'!S14*O$1</f>
        <v>1691.2</v>
      </c>
      <c r="T15" s="27">
        <f>'MF-STEEL(KG)'!T14*O$1*B$1+(D$1+F$1)+'MACHINE RATE'!T14*O$1</f>
        <v>1783.5349999999999</v>
      </c>
      <c r="U15" s="28">
        <f>'MF-STEEL(KG)'!U14*O$1*B$1+(D$1+F$1)+'MACHINE RATE'!U14*O$1</f>
        <v>1884.3799999999999</v>
      </c>
      <c r="X15" s="45">
        <f>B15*'Steel Calculations'!B4</f>
        <v>0</v>
      </c>
      <c r="Y15" s="45">
        <f>C15*'Steel Calculations'!C4</f>
        <v>0</v>
      </c>
      <c r="Z15" s="45">
        <f>D15*'Steel Calculations'!D4</f>
        <v>0</v>
      </c>
      <c r="AA15" s="45">
        <f>E15*'Steel Calculations'!E4</f>
        <v>0</v>
      </c>
      <c r="AB15" s="45">
        <f>F15*'Steel Calculations'!F4</f>
        <v>0</v>
      </c>
      <c r="AC15" s="45">
        <f>G15*'Steel Calculations'!G4</f>
        <v>0</v>
      </c>
      <c r="AD15" s="45">
        <f>H15*'Steel Calculations'!H4</f>
        <v>0</v>
      </c>
      <c r="AE15" s="45">
        <f>I15*'Steel Calculations'!I4</f>
        <v>0</v>
      </c>
      <c r="AF15" s="45">
        <f>J15*'Steel Calculations'!J4</f>
        <v>0</v>
      </c>
      <c r="AG15" s="45">
        <f>K15*'Steel Calculations'!K4</f>
        <v>0</v>
      </c>
      <c r="AH15" s="45">
        <f>L15*'Steel Calculations'!L4</f>
        <v>0</v>
      </c>
      <c r="AI15" s="45">
        <f>M15*'Steel Calculations'!M4</f>
        <v>0</v>
      </c>
      <c r="AJ15" s="45">
        <f>N15*'Steel Calculations'!N4</f>
        <v>0</v>
      </c>
      <c r="AK15" s="45">
        <f>O15*'Steel Calculations'!O4</f>
        <v>0</v>
      </c>
      <c r="AL15" s="45">
        <f>P15*'Steel Calculations'!P4</f>
        <v>0</v>
      </c>
      <c r="AM15" s="45">
        <f>Q15*'Steel Calculations'!Q4</f>
        <v>0</v>
      </c>
      <c r="AN15" s="45">
        <f>R15*'Steel Calculations'!R4</f>
        <v>0</v>
      </c>
      <c r="AO15" s="45">
        <f>S15*'Steel Calculations'!S4</f>
        <v>0</v>
      </c>
      <c r="AP15" s="45">
        <f>T15*'Steel Calculations'!T4</f>
        <v>0</v>
      </c>
      <c r="AQ15" s="45">
        <f>U15*'Steel Calculations'!U4</f>
        <v>0</v>
      </c>
      <c r="AS15" s="45">
        <f>R15*'Steel Calculations'!$B$13</f>
        <v>0</v>
      </c>
      <c r="AT15" s="45">
        <f>S15*'Steel Calculations'!$C$13</f>
        <v>0</v>
      </c>
      <c r="AU15" s="45">
        <f>T15*'Steel Calculations'!$D$13</f>
        <v>0</v>
      </c>
      <c r="AV15" s="45">
        <f>U15*'Steel Calculations'!$E$13</f>
        <v>0</v>
      </c>
      <c r="AW15" s="45">
        <f>S15*'Steel Calculations'!$F$13</f>
        <v>0</v>
      </c>
      <c r="AX15" s="45">
        <f>T15*'Steel Calculations'!$G$13</f>
        <v>0</v>
      </c>
      <c r="AY15" s="45">
        <f>U15*'Steel Calculations'!$H$13</f>
        <v>0</v>
      </c>
    </row>
    <row r="16" spans="1:52" ht="13.5" thickBot="1">
      <c r="A16" s="25" t="s">
        <v>205</v>
      </c>
      <c r="B16" s="26">
        <f>'MF-STEEL(KG)'!B15*O$1*B$1+(D$1+F$1)+'MACHINE RATE'!B15*O$1</f>
        <v>1121.3375000000001</v>
      </c>
      <c r="C16" s="27">
        <f>'MF-STEEL(KG)'!C15*O$1*B$1+(D$1+F$1)+'MACHINE RATE'!C15*O$1</f>
        <v>1442.06</v>
      </c>
      <c r="D16" s="27">
        <f>'MF-STEEL(KG)'!D15*O$1*B$1+(D$1+F$1)+'MACHINE RATE'!D15*O$1</f>
        <v>1535.1399999999999</v>
      </c>
      <c r="E16" s="27">
        <f>'MF-STEEL(KG)'!E15*O$1*B$1+(D$1+F$1)+'MACHINE RATE'!E15*O$1</f>
        <v>1640.9849999999999</v>
      </c>
      <c r="F16" s="28">
        <f>'MF-STEEL(KG)'!F15*O$1*B$1+(D$1+F$1)+'MACHINE RATE'!F15*O$1</f>
        <v>1742.575</v>
      </c>
      <c r="G16" s="26">
        <f>'MF-STEEL(KG)'!G15*O$1*B$1+(D$1+F$1)+'MACHINE RATE'!G15*O$1</f>
        <v>1165.2718749999999</v>
      </c>
      <c r="H16" s="27">
        <f>'MF-STEEL(KG)'!H15*O$1*B$1+(D$1+F$1)+'MACHINE RATE'!H15*O$1</f>
        <v>1505.355</v>
      </c>
      <c r="I16" s="27">
        <f>'MF-STEEL(KG)'!I15*O$1*B$1+(D$1+F$1)+'MACHINE RATE'!I15*O$1</f>
        <v>1603.4349999999999</v>
      </c>
      <c r="J16" s="27">
        <f>'MF-STEEL(KG)'!J15*O$1*B$1+(D$1+F$1)+'MACHINE RATE'!J15*O$1</f>
        <v>1724.28</v>
      </c>
      <c r="K16" s="28">
        <f>'MF-STEEL(KG)'!K15*O$1*B$1+(D$1+F$1)+'MACHINE RATE'!K15*O$1</f>
        <v>1849.3799999999999</v>
      </c>
      <c r="L16" s="29">
        <f>'MF-STEEL(KG)'!L15*O$1*B$1+(D$1+F$1)+'MACHINE RATE'!L15*O$1</f>
        <v>1255.48125</v>
      </c>
      <c r="M16" s="27">
        <f>'MF-STEEL(KG)'!M15*O$1*B$1+(D$1+F$1)+'MACHINE RATE'!M15*O$1</f>
        <v>1617.69</v>
      </c>
      <c r="N16" s="27">
        <f>'MF-STEEL(KG)'!N15*O$1*B$1+(D$1+F$1)+'MACHINE RATE'!N15*O$1</f>
        <v>1710.77</v>
      </c>
      <c r="O16" s="27">
        <f>'MF-STEEL(KG)'!O15*O$1*B$1+(D$1+F$1)+'MACHINE RATE'!O15*O$1</f>
        <v>1820.87</v>
      </c>
      <c r="P16" s="30">
        <f>'MF-STEEL(KG)'!P15*O$1*B$1+(D$1+F$1)+'MACHINE RATE'!P15*O$1</f>
        <v>1930.97</v>
      </c>
      <c r="Q16" s="26">
        <f>'MF-STEEL(KG)'!O$1*B$1+(D$1+F$1)+'MACHINE RATE'!Q15*O$1</f>
        <v>640</v>
      </c>
      <c r="R16" s="27">
        <f>'MF-STEEL(KG)'!R15*O$1*B$1+(D$1+F$1)+'MACHINE RATE'!R15*O$1</f>
        <v>1715.9849999999999</v>
      </c>
      <c r="S16" s="27">
        <f>'MF-STEEL(KG)'!S15*O$1*B$1+(D$1+F$1)+'MACHINE RATE'!S15*O$1</f>
        <v>1809.0650000000001</v>
      </c>
      <c r="T16" s="27">
        <f>'MF-STEEL(KG)'!T15*O$1*B$1+(D$1+F$1)+'MACHINE RATE'!T15*O$1</f>
        <v>1914.165</v>
      </c>
      <c r="U16" s="28">
        <f>'MF-STEEL(KG)'!U15*O$1*B$1+(D$1+F$1)+'MACHINE RATE'!U15*O$1</f>
        <v>2027.7750000000001</v>
      </c>
      <c r="X16" s="45">
        <f>B16*'Steel Calculations'!B5</f>
        <v>0</v>
      </c>
      <c r="Y16" s="45">
        <f>C16*'Steel Calculations'!C5</f>
        <v>0</v>
      </c>
      <c r="Z16" s="45">
        <f>D16*'Steel Calculations'!D5</f>
        <v>0</v>
      </c>
      <c r="AA16" s="45">
        <f>E16*'Steel Calculations'!E5</f>
        <v>0</v>
      </c>
      <c r="AB16" s="45">
        <f>F16*'Steel Calculations'!F5</f>
        <v>0</v>
      </c>
      <c r="AC16" s="45">
        <f>G16*'Steel Calculations'!G5</f>
        <v>0</v>
      </c>
      <c r="AD16" s="45">
        <f>H16*'Steel Calculations'!H5</f>
        <v>0</v>
      </c>
      <c r="AE16" s="45">
        <f>I16*'Steel Calculations'!I5</f>
        <v>3206.87</v>
      </c>
      <c r="AF16" s="45">
        <f>J16*'Steel Calculations'!J5</f>
        <v>1724.28</v>
      </c>
      <c r="AG16" s="45">
        <f>K16*'Steel Calculations'!K5</f>
        <v>0</v>
      </c>
      <c r="AH16" s="45">
        <f>L16*'Steel Calculations'!L5</f>
        <v>0</v>
      </c>
      <c r="AI16" s="45">
        <f>M16*'Steel Calculations'!M5</f>
        <v>0</v>
      </c>
      <c r="AJ16" s="45">
        <f>N16*'Steel Calculations'!N5</f>
        <v>0</v>
      </c>
      <c r="AK16" s="45">
        <f>O16*'Steel Calculations'!O5</f>
        <v>0</v>
      </c>
      <c r="AL16" s="45">
        <f>P16*'Steel Calculations'!P5</f>
        <v>0</v>
      </c>
      <c r="AM16" s="45">
        <f>Q16*'Steel Calculations'!Q5</f>
        <v>0</v>
      </c>
      <c r="AN16" s="45">
        <f>R16*'Steel Calculations'!R5</f>
        <v>0</v>
      </c>
      <c r="AO16" s="45">
        <f>S16*'Steel Calculations'!S5</f>
        <v>0</v>
      </c>
      <c r="AP16" s="45">
        <f>T16*'Steel Calculations'!T5</f>
        <v>0</v>
      </c>
      <c r="AQ16" s="45">
        <f>U16*'Steel Calculations'!U5</f>
        <v>0</v>
      </c>
      <c r="AS16" s="45">
        <f>R16*'Steel Calculations'!$B$14</f>
        <v>0</v>
      </c>
      <c r="AT16" s="45">
        <f>S16*'Steel Calculations'!$C$14</f>
        <v>0</v>
      </c>
      <c r="AU16" s="45">
        <f>T16*'Steel Calculations'!$D$14</f>
        <v>0</v>
      </c>
      <c r="AV16" s="45">
        <f>U16*'Steel Calculations'!$E$14</f>
        <v>0</v>
      </c>
      <c r="AW16" s="45">
        <f>S16*'Steel Calculations'!$F$14</f>
        <v>0</v>
      </c>
      <c r="AX16" s="45">
        <f>T16*'Steel Calculations'!$G$14</f>
        <v>0</v>
      </c>
      <c r="AY16" s="45">
        <f>U16*'Steel Calculations'!$H$14</f>
        <v>0</v>
      </c>
    </row>
    <row r="17" spans="1:52" ht="13.5" thickBot="1">
      <c r="A17" s="25" t="s">
        <v>206</v>
      </c>
      <c r="B17" s="26">
        <f>'MF-STEEL(KG)'!B16*O$1*B$1+(D$1+F$1)+'MACHINE RATE'!B16*O$1</f>
        <v>1183.8875</v>
      </c>
      <c r="C17" s="27">
        <f>'MF-STEEL(KG)'!C16*O$1*B$1+(D$1+F$1)+'MACHINE RATE'!C16*O$1</f>
        <v>1530.1399999999999</v>
      </c>
      <c r="D17" s="27">
        <f>'MF-STEEL(KG)'!D16*O$1*B$1+(D$1+F$1)+'MACHINE RATE'!D16*O$1</f>
        <v>1623.22</v>
      </c>
      <c r="E17" s="27">
        <f>'MF-STEEL(KG)'!E16*O$1*B$1+(D$1+F$1)+'MACHINE RATE'!E16*O$1</f>
        <v>1729.0650000000001</v>
      </c>
      <c r="F17" s="28">
        <f>'MF-STEEL(KG)'!F16*O$1*B$1+(D$1+F$1)+'MACHINE RATE'!F16*O$1</f>
        <v>1830.655</v>
      </c>
      <c r="G17" s="26">
        <f>'MF-STEEL(KG)'!G16*O$1*B$1+(D$1+F$1)+'MACHINE RATE'!G16*O$1</f>
        <v>1227.8218750000001</v>
      </c>
      <c r="H17" s="27">
        <f>'MF-STEEL(KG)'!H16*O$1*B$1+(D$1+F$1)+'MACHINE RATE'!H16*O$1</f>
        <v>1593.4349999999999</v>
      </c>
      <c r="I17" s="27">
        <f>'MF-STEEL(KG)'!I16*O$1*B$1+(D$1+F$1)+'MACHINE RATE'!I16*O$1</f>
        <v>1691.5150000000001</v>
      </c>
      <c r="J17" s="27">
        <f>'MF-STEEL(KG)'!J16*O$1*B$1+(D$1+F$1)+'MACHINE RATE'!J16*O$1</f>
        <v>1812.36</v>
      </c>
      <c r="K17" s="28">
        <f>'MF-STEEL(KG)'!K16*O$1*B$1+(D$1+F$1)+'MACHINE RATE'!K16*O$1</f>
        <v>1937.4599999999998</v>
      </c>
      <c r="L17" s="29">
        <f>'MF-STEEL(KG)'!L16*O$1*B$1+(D$1+F$1)+'MACHINE RATE'!L16*O$1</f>
        <v>1318.03125</v>
      </c>
      <c r="M17" s="27">
        <f>'MF-STEEL(KG)'!M16*O$1*B$1+(D$1+F$1)+'MACHINE RATE'!M16*O$1</f>
        <v>1705.77</v>
      </c>
      <c r="N17" s="27">
        <f>'MF-STEEL(KG)'!N16*O$1*B$1+(D$1+F$1)+'MACHINE RATE'!N16*O$1</f>
        <v>1798.8500000000001</v>
      </c>
      <c r="O17" s="27">
        <f>'MF-STEEL(KG)'!O16*O$1*B$1+(D$1+F$1)+'MACHINE RATE'!O16*O$1</f>
        <v>1908.95</v>
      </c>
      <c r="P17" s="30">
        <f>'MF-STEEL(KG)'!P16*O$1*B$1+(D$1+F$1)+'MACHINE RATE'!P16*O$1</f>
        <v>2019.05</v>
      </c>
      <c r="Q17" s="26">
        <f>'MF-STEEL(KG)'!O$1*B$1+(D$1+F$1)+'MACHINE RATE'!Q16*O$1</f>
        <v>660</v>
      </c>
      <c r="R17" s="27">
        <f>'MF-STEEL(KG)'!R16*O$1*B$1+(D$1+F$1)+'MACHINE RATE'!R16*O$1</f>
        <v>1804.0650000000001</v>
      </c>
      <c r="S17" s="27">
        <f>'MF-STEEL(KG)'!S16*O$1*B$1+(D$1+F$1)+'MACHINE RATE'!S16*O$1</f>
        <v>1897.145</v>
      </c>
      <c r="T17" s="27">
        <f>'MF-STEEL(KG)'!T16*O$1*B$1+(D$1+F$1)+'MACHINE RATE'!T16*O$1</f>
        <v>2002.2449999999999</v>
      </c>
      <c r="U17" s="28">
        <f>'MF-STEEL(KG)'!U16*O$1*B$1+(D$1+F$1)+'MACHINE RATE'!U16*O$1</f>
        <v>2115.855</v>
      </c>
      <c r="X17" s="45">
        <f>B17*'Steel Calculations'!B6</f>
        <v>0</v>
      </c>
      <c r="Y17" s="45">
        <f>C17*'Steel Calculations'!C6</f>
        <v>0</v>
      </c>
      <c r="Z17" s="45">
        <f>D17*'Steel Calculations'!D6</f>
        <v>0</v>
      </c>
      <c r="AA17" s="45">
        <f>E17*'Steel Calculations'!E6</f>
        <v>0</v>
      </c>
      <c r="AB17" s="45">
        <f>F17*'Steel Calculations'!F6</f>
        <v>0</v>
      </c>
      <c r="AC17" s="45">
        <f>G17*'Steel Calculations'!G6</f>
        <v>0</v>
      </c>
      <c r="AD17" s="45">
        <f>H17*'Steel Calculations'!H6</f>
        <v>0</v>
      </c>
      <c r="AE17" s="45">
        <f>I17*'Steel Calculations'!I6</f>
        <v>0</v>
      </c>
      <c r="AF17" s="45">
        <f>J17*'Steel Calculations'!J6</f>
        <v>0</v>
      </c>
      <c r="AG17" s="45">
        <f>K17*'Steel Calculations'!K6</f>
        <v>0</v>
      </c>
      <c r="AH17" s="45">
        <f>L17*'Steel Calculations'!L6</f>
        <v>0</v>
      </c>
      <c r="AI17" s="45">
        <f>M17*'Steel Calculations'!M6</f>
        <v>0</v>
      </c>
      <c r="AJ17" s="45">
        <f>N17*'Steel Calculations'!N6</f>
        <v>0</v>
      </c>
      <c r="AK17" s="45">
        <f>O17*'Steel Calculations'!O6</f>
        <v>0</v>
      </c>
      <c r="AL17" s="45">
        <f>P17*'Steel Calculations'!P6</f>
        <v>0</v>
      </c>
      <c r="AM17" s="45">
        <f>Q17*'Steel Calculations'!Q6</f>
        <v>0</v>
      </c>
      <c r="AN17" s="45">
        <f>R17*'Steel Calculations'!R6</f>
        <v>0</v>
      </c>
      <c r="AO17" s="45">
        <f>S17*'Steel Calculations'!S6</f>
        <v>0</v>
      </c>
      <c r="AP17" s="45">
        <f>T17*'Steel Calculations'!T6</f>
        <v>0</v>
      </c>
      <c r="AQ17" s="45">
        <f>U17*'Steel Calculations'!U6</f>
        <v>0</v>
      </c>
      <c r="AS17" s="45">
        <f>R17*'Steel Calculations'!$B$15</f>
        <v>0</v>
      </c>
      <c r="AT17" s="45">
        <f>S17*'Steel Calculations'!$C$15</f>
        <v>0</v>
      </c>
      <c r="AU17" s="45">
        <f>T17*'Steel Calculations'!$D$15</f>
        <v>0</v>
      </c>
      <c r="AV17" s="45">
        <f>U17*'Steel Calculations'!$E$15</f>
        <v>0</v>
      </c>
      <c r="AW17" s="45">
        <f>S17*'Steel Calculations'!$F$15</f>
        <v>0</v>
      </c>
      <c r="AX17" s="45">
        <f>T17*'Steel Calculations'!$G$15</f>
        <v>0</v>
      </c>
      <c r="AY17" s="45">
        <f>U17*'Steel Calculations'!$H$15</f>
        <v>0</v>
      </c>
    </row>
    <row r="18" spans="1:52" ht="13.5" thickBot="1">
      <c r="A18" s="25" t="s">
        <v>207</v>
      </c>
      <c r="B18" s="26">
        <f>'MF-STEEL(KG)'!B17*O$1*B$1+(D$1+F$1)+'MACHINE RATE'!B17*O$1</f>
        <v>1288.9875</v>
      </c>
      <c r="C18" s="27">
        <f>'MF-STEEL(KG)'!C17*O$1*B$1+(D$1+F$1)+'MACHINE RATE'!C17*O$1</f>
        <v>1635.24</v>
      </c>
      <c r="D18" s="27">
        <f>'MF-STEEL(KG)'!D17*O$1*B$1+(D$1+F$1)+'MACHINE RATE'!D17*O$1</f>
        <v>1728.32</v>
      </c>
      <c r="E18" s="27">
        <f>'MF-STEEL(KG)'!E17*O$1*B$1+(D$1+F$1)+'MACHINE RATE'!E17*O$1</f>
        <v>1834.165</v>
      </c>
      <c r="F18" s="28">
        <f>'MF-STEEL(KG)'!F17*O$1*B$1+(D$1+F$1)+'MACHINE RATE'!F17*O$1</f>
        <v>1935.7549999999999</v>
      </c>
      <c r="G18" s="26">
        <f>'MF-STEEL(KG)'!G17*O$1*B$1+(D$1+F$1)+'MACHINE RATE'!G17*O$1</f>
        <v>1332.921875</v>
      </c>
      <c r="H18" s="27">
        <f>'MF-STEEL(KG)'!H17*O$1*B$1+(D$1+F$1)+'MACHINE RATE'!H17*O$1</f>
        <v>1698.5349999999999</v>
      </c>
      <c r="I18" s="27">
        <f>'MF-STEEL(KG)'!I17*O$1*B$1+(D$1+F$1)+'MACHINE RATE'!I17*O$1</f>
        <v>1796.615</v>
      </c>
      <c r="J18" s="27">
        <f>'MF-STEEL(KG)'!J17*O$1*B$1+(D$1+F$1)+'MACHINE RATE'!J17*O$1</f>
        <v>1917.4599999999998</v>
      </c>
      <c r="K18" s="28">
        <f>'MF-STEEL(KG)'!K17*O$1*B$1+(D$1+F$1)+'MACHINE RATE'!K17*O$1</f>
        <v>2042.56</v>
      </c>
      <c r="L18" s="29">
        <f>'MF-STEEL(KG)'!L17*O$1*B$1+(D$1+F$1)+'MACHINE RATE'!L17*O$1</f>
        <v>1423.1312499999999</v>
      </c>
      <c r="M18" s="27">
        <f>'MF-STEEL(KG)'!M17*O$1*B$1+(D$1+F$1)+'MACHINE RATE'!M17*O$1</f>
        <v>1810.87</v>
      </c>
      <c r="N18" s="27">
        <f>'MF-STEEL(KG)'!N17*O$1*B$1+(D$1+F$1)+'MACHINE RATE'!N17*O$1</f>
        <v>1903.95</v>
      </c>
      <c r="O18" s="27">
        <f>'MF-STEEL(KG)'!O17*O$1*B$1+(D$1+F$1)+'MACHINE RATE'!O17*O$1</f>
        <v>2014.05</v>
      </c>
      <c r="P18" s="30">
        <f>'MF-STEEL(KG)'!P17*O$1*B$1+(D$1+F$1)+'MACHINE RATE'!P17*O$1</f>
        <v>2124.1499999999996</v>
      </c>
      <c r="Q18" s="26">
        <f>'MF-STEEL(KG)'!O$1*B$1+(D$1+F$1)+'MACHINE RATE'!Q17*O$1</f>
        <v>680</v>
      </c>
      <c r="R18" s="27">
        <f>'MF-STEEL(KG)'!R17*O$1*B$1+(D$1+F$1)+'MACHINE RATE'!R17*O$1</f>
        <v>1909.165</v>
      </c>
      <c r="S18" s="27">
        <f>'MF-STEEL(KG)'!S17*O$1*B$1+(D$1+F$1)+'MACHINE RATE'!S17*O$1</f>
        <v>2002.2449999999999</v>
      </c>
      <c r="T18" s="27">
        <f>'MF-STEEL(KG)'!T17*O$1*B$1+(D$1+F$1)+'MACHINE RATE'!T17*O$1</f>
        <v>2107.3450000000003</v>
      </c>
      <c r="U18" s="28">
        <f>'MF-STEEL(KG)'!U17*O$1*B$1+(D$1+F$1)+'MACHINE RATE'!U17*O$1</f>
        <v>2220.9549999999999</v>
      </c>
      <c r="X18" s="45">
        <f>B17*'Steel Calculations'!B7</f>
        <v>0</v>
      </c>
      <c r="Y18" s="45">
        <f>C17*'Steel Calculations'!C7</f>
        <v>0</v>
      </c>
      <c r="Z18" s="45">
        <f>D17*'Steel Calculations'!D7</f>
        <v>0</v>
      </c>
      <c r="AA18" s="45">
        <f>E17*'Steel Calculations'!E7</f>
        <v>0</v>
      </c>
      <c r="AB18" s="45">
        <f>F17*'Steel Calculations'!F7</f>
        <v>0</v>
      </c>
      <c r="AC18" s="45">
        <f>G17*'Steel Calculations'!G7</f>
        <v>0</v>
      </c>
      <c r="AD18" s="45">
        <f>H17*'Steel Calculations'!H7</f>
        <v>0</v>
      </c>
      <c r="AE18" s="45">
        <f>I17*'Steel Calculations'!I7</f>
        <v>0</v>
      </c>
      <c r="AF18" s="45">
        <f>J17*'Steel Calculations'!J7</f>
        <v>0</v>
      </c>
      <c r="AG18" s="45">
        <f>K17*'Steel Calculations'!K7</f>
        <v>0</v>
      </c>
      <c r="AH18" s="45">
        <f>L17*'Steel Calculations'!L7</f>
        <v>0</v>
      </c>
      <c r="AI18" s="45">
        <f>M17*'Steel Calculations'!M7</f>
        <v>0</v>
      </c>
      <c r="AJ18" s="45">
        <f>N17*'Steel Calculations'!N7</f>
        <v>0</v>
      </c>
      <c r="AK18" s="45">
        <f>O17*'Steel Calculations'!O7</f>
        <v>0</v>
      </c>
      <c r="AL18" s="45">
        <f>P17*'Steel Calculations'!P7</f>
        <v>0</v>
      </c>
      <c r="AM18" s="45">
        <f>Q17*'Steel Calculations'!Q7</f>
        <v>0</v>
      </c>
      <c r="AN18" s="45">
        <f>R17*'Steel Calculations'!R7</f>
        <v>0</v>
      </c>
      <c r="AO18" s="45">
        <f>S17*'Steel Calculations'!S7</f>
        <v>0</v>
      </c>
      <c r="AP18" s="45">
        <f>T17*'Steel Calculations'!T7</f>
        <v>0</v>
      </c>
      <c r="AQ18" s="45">
        <f>U17*'Steel Calculations'!U7</f>
        <v>0</v>
      </c>
      <c r="AS18" s="45">
        <f>R18*'Steel Calculations'!$B$16</f>
        <v>0</v>
      </c>
      <c r="AT18" s="45">
        <f>S18*'Steel Calculations'!$C$16</f>
        <v>0</v>
      </c>
      <c r="AU18" s="45">
        <f>T18*'Steel Calculations'!$D$16</f>
        <v>0</v>
      </c>
      <c r="AV18" s="45">
        <f>U18*'Steel Calculations'!$E$16</f>
        <v>0</v>
      </c>
      <c r="AW18" s="45">
        <f>S18*'Steel Calculations'!$F$16</f>
        <v>0</v>
      </c>
      <c r="AX18" s="45">
        <f>T18*'Steel Calculations'!$G$16</f>
        <v>0</v>
      </c>
      <c r="AY18" s="45">
        <f>U18*'Steel Calculations'!$H$16</f>
        <v>0</v>
      </c>
    </row>
    <row r="19" spans="1:52">
      <c r="A19" s="31"/>
      <c r="B19" s="26"/>
      <c r="C19" s="27"/>
      <c r="D19" s="27"/>
      <c r="E19" s="27"/>
      <c r="F19" s="28"/>
      <c r="G19" s="26"/>
      <c r="H19" s="27"/>
      <c r="I19" s="27"/>
      <c r="J19" s="27"/>
      <c r="K19" s="28"/>
      <c r="L19" s="29"/>
      <c r="M19" s="27"/>
      <c r="N19" s="27"/>
      <c r="O19" s="27"/>
      <c r="P19" s="30"/>
      <c r="Q19" s="26"/>
      <c r="R19" s="27"/>
      <c r="S19" s="27"/>
      <c r="T19" s="27"/>
      <c r="U19" s="28"/>
      <c r="AR19" s="45">
        <f>SUM(X14:AQ18)-M$1*(18*B$1+'MACHINE RATE'!V17)</f>
        <v>4416.45</v>
      </c>
      <c r="AZ19" s="45">
        <f>SUM(AS14:AY18)</f>
        <v>0</v>
      </c>
    </row>
    <row r="20" spans="1:52" ht="15.75" customHeight="1" thickBot="1">
      <c r="A20" s="533" t="s">
        <v>237</v>
      </c>
      <c r="B20" s="534"/>
      <c r="C20" s="534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1:52" ht="13.5" thickBot="1">
      <c r="A21" s="20" t="s">
        <v>0</v>
      </c>
      <c r="B21" s="529" t="s">
        <v>194</v>
      </c>
      <c r="C21" s="530"/>
      <c r="D21" s="530"/>
      <c r="E21" s="530"/>
      <c r="F21" s="531"/>
      <c r="G21" s="532" t="s">
        <v>195</v>
      </c>
      <c r="H21" s="530"/>
      <c r="I21" s="530"/>
      <c r="J21" s="530"/>
      <c r="K21" s="531"/>
      <c r="L21" s="532" t="s">
        <v>196</v>
      </c>
      <c r="M21" s="530"/>
      <c r="N21" s="530"/>
      <c r="O21" s="530"/>
      <c r="P21" s="531"/>
      <c r="Q21" s="532" t="s">
        <v>197</v>
      </c>
      <c r="R21" s="530"/>
      <c r="S21" s="530"/>
      <c r="T21" s="530"/>
      <c r="U21" s="531"/>
    </row>
    <row r="22" spans="1:52" ht="13.5" thickBot="1">
      <c r="A22" s="38"/>
      <c r="B22" s="26"/>
      <c r="C22" s="27"/>
      <c r="D22" s="27"/>
      <c r="E22" s="27"/>
      <c r="F22" s="28"/>
      <c r="G22" s="26"/>
      <c r="H22" s="27"/>
      <c r="I22" s="27"/>
      <c r="J22" s="27"/>
      <c r="K22" s="28"/>
      <c r="L22" s="29"/>
      <c r="M22" s="27"/>
      <c r="N22" s="27"/>
      <c r="O22" s="27"/>
      <c r="P22" s="30"/>
      <c r="Q22" s="26"/>
      <c r="R22" s="27"/>
      <c r="S22" s="27"/>
      <c r="T22" s="27"/>
      <c r="U22" s="28"/>
    </row>
    <row r="23" spans="1:52" ht="13.5" thickBot="1">
      <c r="A23" s="25" t="s">
        <v>203</v>
      </c>
      <c r="B23" s="26">
        <f>'MF-STEEL(KG)'!B22*O$1*B$1+(D$1+F$1)+'MACHINE RATE'!B21*O$1</f>
        <v>982.80000000000007</v>
      </c>
      <c r="C23" s="27">
        <f>'MF-STEEL(KG)'!C22*O$1*B$1+(D$1+F$1)+'MACHINE RATE'!C21*O$1</f>
        <v>1256.44</v>
      </c>
      <c r="D23" s="27">
        <f>'MF-STEEL(KG)'!D22*O$1*B$1+(D$1+F$1)+'MACHINE RATE'!D21*O$1</f>
        <v>1352.48</v>
      </c>
      <c r="E23" s="27">
        <f>'MF-STEEL(KG)'!E22*O$1*B$1+(D$1+F$1)+'MACHINE RATE'!E21*O$1</f>
        <v>1448.52</v>
      </c>
      <c r="F23" s="28">
        <f>'MF-STEEL(KG)'!F22*O$1*B$1+(D$1+F$1)+'MACHINE RATE'!F21*O$1</f>
        <v>1544.56</v>
      </c>
      <c r="G23" s="26">
        <f>'MF-STEEL(KG)'!G22*O$1*B$1+(D$1+F$1)+'MACHINE RATE'!G21*O$1</f>
        <v>1019.45</v>
      </c>
      <c r="H23" s="27">
        <f>'MF-STEEL(KG)'!H22*O$1*B$1+(D$1+F$1)+'MACHINE RATE'!H21*O$1</f>
        <v>1308.08</v>
      </c>
      <c r="I23" s="27">
        <f>'MF-STEEL(KG)'!I22*O$1*B$1+(D$1+F$1)+'MACHINE RATE'!I21*O$1</f>
        <v>1409.12</v>
      </c>
      <c r="J23" s="27">
        <f>'MF-STEEL(KG)'!J22*O$1*B$1+(D$1+F$1)+'MACHINE RATE'!J21*O$1</f>
        <v>1524.6</v>
      </c>
      <c r="K23" s="28">
        <f>'MF-STEEL(KG)'!K22*O$1*B$1+(D$1+F$1)+'MACHINE RATE'!K21*O$1</f>
        <v>1640.08</v>
      </c>
      <c r="L23" s="29">
        <f>'MF-STEEL(KG)'!L22*O$1*B$1+(D$1+F$1)+'MACHINE RATE'!L21*O$1</f>
        <v>1100.5250000000001</v>
      </c>
      <c r="M23" s="27">
        <f>'MF-STEEL(KG)'!M22*O$1*B$1+(D$1+F$1)+'MACHINE RATE'!M21*O$1</f>
        <v>1405.8000000000002</v>
      </c>
      <c r="N23" s="27">
        <f>'MF-STEEL(KG)'!N22*O$1*B$1+(D$1+F$1)+'MACHINE RATE'!N21*O$1</f>
        <v>1501.8400000000001</v>
      </c>
      <c r="O23" s="27">
        <f>'MF-STEEL(KG)'!O22*O$1*B$1+(D$1+F$1)+'MACHINE RATE'!O21*O$1</f>
        <v>1606.7600000000002</v>
      </c>
      <c r="P23" s="30">
        <f>'MF-STEEL(KG)'!P22*O$1*B$1+(D$1+F$1)+'MACHINE RATE'!P21*O$1</f>
        <v>1711.68</v>
      </c>
      <c r="Q23" s="26">
        <f>'MF-STEEL(KG)'!O$1*B$1+(D$1+F$1)+'MACHINE RATE'!Q21*O$1</f>
        <v>575</v>
      </c>
      <c r="R23" s="27">
        <f>'MF-STEEL(KG)'!R22*O$1*B$1+(D$1+F$1)+'MACHINE RATE'!R21*O$1</f>
        <v>1492.44</v>
      </c>
      <c r="S23" s="27">
        <f>'MF-STEEL(KG)'!S22*O$1*B$1+(D$1+F$1)+'MACHINE RATE'!S21*O$1</f>
        <v>1588.48</v>
      </c>
      <c r="T23" s="27">
        <f>'MF-STEEL(KG)'!T22*O$1*B$1+(D$1+F$1)+'MACHINE RATE'!T21*O$1</f>
        <v>1692.84</v>
      </c>
      <c r="U23" s="28">
        <f>'MF-STEEL(KG)'!U22*O$1*B$1+(D$1+F$1)+'MACHINE RATE'!U21*O$1</f>
        <v>1797.2</v>
      </c>
      <c r="X23" s="50">
        <f>B23*'Steel Calculations'!B3</f>
        <v>0</v>
      </c>
      <c r="Y23" s="50">
        <f>C23*'Steel Calculations'!C3</f>
        <v>0</v>
      </c>
      <c r="Z23" s="50">
        <f>D23*'Steel Calculations'!D3</f>
        <v>0</v>
      </c>
      <c r="AA23" s="50">
        <f>E23*'Steel Calculations'!E3</f>
        <v>0</v>
      </c>
      <c r="AB23" s="50">
        <f>F23*'Steel Calculations'!F3</f>
        <v>0</v>
      </c>
      <c r="AC23" s="50">
        <f>G23*'Steel Calculations'!G3</f>
        <v>0</v>
      </c>
      <c r="AD23" s="50">
        <f>H23*'Steel Calculations'!H3</f>
        <v>0</v>
      </c>
      <c r="AE23" s="50">
        <f>I23*'Steel Calculations'!I3</f>
        <v>0</v>
      </c>
      <c r="AF23" s="50">
        <f>J23*'Steel Calculations'!J3</f>
        <v>0</v>
      </c>
      <c r="AG23" s="50">
        <f>K23*'Steel Calculations'!K3</f>
        <v>0</v>
      </c>
      <c r="AH23" s="50">
        <f>L23*'Steel Calculations'!L3</f>
        <v>0</v>
      </c>
      <c r="AI23" s="50">
        <f>M23*'Steel Calculations'!M3</f>
        <v>0</v>
      </c>
      <c r="AJ23" s="50">
        <f>N23*'Steel Calculations'!N3</f>
        <v>0</v>
      </c>
      <c r="AK23" s="50">
        <f>O23*'Steel Calculations'!O3</f>
        <v>0</v>
      </c>
      <c r="AL23" s="50">
        <f>P23*'Steel Calculations'!P3</f>
        <v>0</v>
      </c>
      <c r="AM23" s="50">
        <f>Q23*'Steel Calculations'!Q3</f>
        <v>0</v>
      </c>
      <c r="AN23" s="50">
        <f>R23*'Steel Calculations'!R3</f>
        <v>0</v>
      </c>
      <c r="AO23" s="50">
        <f>S23*'Steel Calculations'!S3</f>
        <v>0</v>
      </c>
      <c r="AP23" s="50">
        <f>T23*'Steel Calculations'!T3</f>
        <v>0</v>
      </c>
      <c r="AQ23" s="50">
        <f>U23*'Steel Calculations'!U3</f>
        <v>0</v>
      </c>
      <c r="AS23" s="49"/>
      <c r="AT23" s="49"/>
      <c r="AU23" s="49"/>
      <c r="AV23" s="49"/>
      <c r="AW23" s="49"/>
      <c r="AX23" s="49"/>
      <c r="AY23" s="49"/>
    </row>
    <row r="24" spans="1:52" ht="13.5" thickBot="1">
      <c r="A24" s="25" t="s">
        <v>204</v>
      </c>
      <c r="B24" s="26">
        <f>'MF-STEEL(KG)'!B23*O$1*B$1+(D$1+F$1)+'MACHINE RATE'!B22*O$1</f>
        <v>1044.4250000000002</v>
      </c>
      <c r="C24" s="27">
        <f>'MF-STEEL(KG)'!C23*O$1*B$1+(D$1+F$1)+'MACHINE RATE'!C22*O$1</f>
        <v>1343.04</v>
      </c>
      <c r="D24" s="27">
        <f>'MF-STEEL(KG)'!D23*O$1*B$1+(D$1+F$1)+'MACHINE RATE'!D22*O$1</f>
        <v>1439.08</v>
      </c>
      <c r="E24" s="27">
        <f>'MF-STEEL(KG)'!E23*O$1*B$1+(D$1+F$1)+'MACHINE RATE'!E22*O$1</f>
        <v>1544</v>
      </c>
      <c r="F24" s="28">
        <f>'MF-STEEL(KG)'!F23*O$1*B$1+(D$1+F$1)+'MACHINE RATE'!F22*O$1</f>
        <v>1644.48</v>
      </c>
      <c r="G24" s="26">
        <f>'MF-STEEL(KG)'!G23*O$1*B$1+(D$1+F$1)+'MACHINE RATE'!G22*O$1</f>
        <v>1092.1750000000002</v>
      </c>
      <c r="H24" s="27">
        <f>'MF-STEEL(KG)'!H23*O$1*B$1+(D$1+F$1)+'MACHINE RATE'!H22*O$1</f>
        <v>1412.44</v>
      </c>
      <c r="I24" s="27">
        <f>'MF-STEEL(KG)'!I23*O$1*B$1+(D$1+F$1)+'MACHINE RATE'!I22*O$1</f>
        <v>1513.48</v>
      </c>
      <c r="J24" s="27">
        <f>'MF-STEEL(KG)'!J23*O$1*B$1+(D$1+F$1)+'MACHINE RATE'!J22*O$1</f>
        <v>1624.52</v>
      </c>
      <c r="K24" s="28">
        <f>'MF-STEEL(KG)'!K23*O$1*B$1+(D$1+F$1)+'MACHINE RATE'!K22*O$1</f>
        <v>1744.44</v>
      </c>
      <c r="L24" s="29">
        <f>'MF-STEEL(KG)'!L23*O$1*B$1+(D$1+F$1)+'MACHINE RATE'!L22*O$1</f>
        <v>1173.25</v>
      </c>
      <c r="M24" s="27">
        <f>'MF-STEEL(KG)'!M23*O$1*B$1+(D$1+F$1)+'MACHINE RATE'!M22*O$1</f>
        <v>1510.16</v>
      </c>
      <c r="N24" s="27">
        <f>'MF-STEEL(KG)'!N23*O$1*B$1+(D$1+F$1)+'MACHINE RATE'!N22*O$1</f>
        <v>1606.2</v>
      </c>
      <c r="O24" s="27">
        <f>'MF-STEEL(KG)'!O23*O$1*B$1+(D$1+F$1)+'MACHINE RATE'!O22*O$1</f>
        <v>1715.5600000000002</v>
      </c>
      <c r="P24" s="30">
        <f>'MF-STEEL(KG)'!P23*O$1*B$1+(D$1+F$1)+'MACHINE RATE'!P22*O$1</f>
        <v>1820.48</v>
      </c>
      <c r="Q24" s="26">
        <f>'MF-STEEL(KG)'!O$1*B$1+(D$1+F$1)+'MACHINE RATE'!Q22*O$1</f>
        <v>595</v>
      </c>
      <c r="R24" s="27">
        <f>'MF-STEEL(KG)'!R23*O$1*B$1+(D$1+F$1)+'MACHINE RATE'!R22*O$1</f>
        <v>1614.56</v>
      </c>
      <c r="S24" s="27">
        <f>'MF-STEEL(KG)'!S23*O$1*B$1+(D$1+F$1)+'MACHINE RATE'!S22*O$1</f>
        <v>1710.6000000000001</v>
      </c>
      <c r="T24" s="27">
        <f>'MF-STEEL(KG)'!T23*O$1*B$1+(D$1+F$1)+'MACHINE RATE'!T22*O$1</f>
        <v>1806.08</v>
      </c>
      <c r="U24" s="28">
        <f>'MF-STEEL(KG)'!U23*O$1*B$1+(D$1+F$1)+'MACHINE RATE'!U22*O$1</f>
        <v>1910.44</v>
      </c>
      <c r="X24" s="50">
        <f>B24*'Steel Calculations'!B4</f>
        <v>0</v>
      </c>
      <c r="Y24" s="50">
        <f>C24*'Steel Calculations'!C4</f>
        <v>0</v>
      </c>
      <c r="Z24" s="50">
        <f>D24*'Steel Calculations'!D4</f>
        <v>0</v>
      </c>
      <c r="AA24" s="50">
        <f>E24*'Steel Calculations'!E4</f>
        <v>0</v>
      </c>
      <c r="AB24" s="50">
        <f>F24*'Steel Calculations'!F4</f>
        <v>0</v>
      </c>
      <c r="AC24" s="50">
        <f>G24*'Steel Calculations'!G4</f>
        <v>0</v>
      </c>
      <c r="AD24" s="50">
        <f>H24*'Steel Calculations'!H4</f>
        <v>0</v>
      </c>
      <c r="AE24" s="50">
        <f>I24*'Steel Calculations'!I4</f>
        <v>0</v>
      </c>
      <c r="AF24" s="50">
        <f>J24*'Steel Calculations'!J4</f>
        <v>0</v>
      </c>
      <c r="AG24" s="50">
        <f>K24*'Steel Calculations'!K4</f>
        <v>0</v>
      </c>
      <c r="AH24" s="50">
        <f>L24*'Steel Calculations'!L4</f>
        <v>0</v>
      </c>
      <c r="AI24" s="50">
        <f>M24*'Steel Calculations'!M4</f>
        <v>0</v>
      </c>
      <c r="AJ24" s="50">
        <f>N24*'Steel Calculations'!N4</f>
        <v>0</v>
      </c>
      <c r="AK24" s="50">
        <f>O24*'Steel Calculations'!O4</f>
        <v>0</v>
      </c>
      <c r="AL24" s="50">
        <f>P24*'Steel Calculations'!P4</f>
        <v>0</v>
      </c>
      <c r="AM24" s="50">
        <f>Q24*'Steel Calculations'!Q4</f>
        <v>0</v>
      </c>
      <c r="AN24" s="50">
        <f>R24*'Steel Calculations'!R4</f>
        <v>0</v>
      </c>
      <c r="AO24" s="50">
        <f>S24*'Steel Calculations'!S4</f>
        <v>0</v>
      </c>
      <c r="AP24" s="50">
        <f>T24*'Steel Calculations'!T4</f>
        <v>0</v>
      </c>
      <c r="AQ24" s="50">
        <f>U24*'Steel Calculations'!U4</f>
        <v>0</v>
      </c>
      <c r="AS24" s="45">
        <f>R24*'Steel Calculations'!$B$13</f>
        <v>0</v>
      </c>
      <c r="AT24" s="45">
        <f>S24*'Steel Calculations'!$C$13</f>
        <v>0</v>
      </c>
      <c r="AU24" s="45">
        <f>T24*'Steel Calculations'!$D$13</f>
        <v>0</v>
      </c>
      <c r="AV24" s="45">
        <f>U24*'Steel Calculations'!$E$13</f>
        <v>0</v>
      </c>
      <c r="AW24" s="45">
        <f>S24*'Steel Calculations'!$F$13</f>
        <v>0</v>
      </c>
      <c r="AX24" s="45">
        <f>T24*'Steel Calculations'!$G$13</f>
        <v>0</v>
      </c>
      <c r="AY24" s="45">
        <f>U24*'Steel Calculations'!$H$13</f>
        <v>0</v>
      </c>
    </row>
    <row r="25" spans="1:52" ht="13.5" thickBot="1">
      <c r="A25" s="25" t="s">
        <v>205</v>
      </c>
      <c r="B25" s="26">
        <f>'MF-STEEL(KG)'!B24*O$1*B$1+(D$1+F$1)+'MACHINE RATE'!B23*O$1</f>
        <v>1122.7</v>
      </c>
      <c r="C25" s="27">
        <f>'MF-STEEL(KG)'!C24*O$1*B$1+(D$1+F$1)+'MACHINE RATE'!C23*O$1</f>
        <v>1456.28</v>
      </c>
      <c r="D25" s="27">
        <f>'MF-STEEL(KG)'!D24*O$1*B$1+(D$1+F$1)+'MACHINE RATE'!D23*O$1</f>
        <v>1552.32</v>
      </c>
      <c r="E25" s="27">
        <f>'MF-STEEL(KG)'!E24*O$1*B$1+(D$1+F$1)+'MACHINE RATE'!E23*O$1</f>
        <v>1661.68</v>
      </c>
      <c r="F25" s="28">
        <f>'MF-STEEL(KG)'!F24*O$1*B$1+(D$1+F$1)+'MACHINE RATE'!F23*O$1</f>
        <v>1766.6000000000001</v>
      </c>
      <c r="G25" s="26">
        <f>'MF-STEEL(KG)'!G24*O$1*B$1+(D$1+F$1)+'MACHINE RATE'!G23*O$1</f>
        <v>1167.6750000000002</v>
      </c>
      <c r="H25" s="27">
        <f>'MF-STEEL(KG)'!H24*O$1*B$1+(D$1+F$1)+'MACHINE RATE'!H23*O$1</f>
        <v>1521.24</v>
      </c>
      <c r="I25" s="27">
        <f>'MF-STEEL(KG)'!I24*O$1*B$1+(D$1+F$1)+'MACHINE RATE'!I23*O$1</f>
        <v>1622.28</v>
      </c>
      <c r="J25" s="27">
        <f>'MF-STEEL(KG)'!J24*O$1*B$1+(D$1+F$1)+'MACHINE RATE'!J23*O$1</f>
        <v>1746.64</v>
      </c>
      <c r="K25" s="28">
        <f>'MF-STEEL(KG)'!K24*O$1*B$1+(D$1+F$1)+'MACHINE RATE'!K23*O$1</f>
        <v>1875.44</v>
      </c>
      <c r="L25" s="29">
        <f>'MF-STEEL(KG)'!L24*O$1*B$1+(D$1+F$1)+'MACHINE RATE'!L23*O$1</f>
        <v>1259.8499999999999</v>
      </c>
      <c r="M25" s="27">
        <f>'MF-STEEL(KG)'!M24*O$1*B$1+(D$1+F$1)+'MACHINE RATE'!M23*O$1</f>
        <v>1636.72</v>
      </c>
      <c r="N25" s="27">
        <f>'MF-STEEL(KG)'!N24*O$1*B$1+(D$1+F$1)+'MACHINE RATE'!N23*O$1</f>
        <v>1732.76</v>
      </c>
      <c r="O25" s="27">
        <f>'MF-STEEL(KG)'!O24*O$1*B$1+(D$1+F$1)+'MACHINE RATE'!O23*O$1</f>
        <v>1846.5600000000002</v>
      </c>
      <c r="P25" s="30">
        <f>'MF-STEEL(KG)'!P24*O$1*B$1+(D$1+F$1)+'MACHINE RATE'!P23*O$1</f>
        <v>1960.3600000000001</v>
      </c>
      <c r="Q25" s="26">
        <f>'MF-STEEL(KG)'!O$1*B$1+(D$1+F$1)+'MACHINE RATE'!Q23*O$1</f>
        <v>615</v>
      </c>
      <c r="R25" s="27">
        <f>'MF-STEEL(KG)'!R24*O$1*B$1+(D$1+F$1)+'MACHINE RATE'!R23*O$1</f>
        <v>1736.68</v>
      </c>
      <c r="S25" s="27">
        <f>'MF-STEEL(KG)'!S24*O$1*B$1+(D$1+F$1)+'MACHINE RATE'!S23*O$1</f>
        <v>1832.72</v>
      </c>
      <c r="T25" s="27">
        <f>'MF-STEEL(KG)'!T24*O$1*B$1+(D$1+F$1)+'MACHINE RATE'!T23*O$1</f>
        <v>1941.52</v>
      </c>
      <c r="U25" s="28">
        <f>'MF-STEEL(KG)'!U24*O$1*B$1+(D$1+F$1)+'MACHINE RATE'!U23*O$1</f>
        <v>2059.1999999999998</v>
      </c>
      <c r="X25" s="50">
        <f>B25*'Steel Calculations'!B5</f>
        <v>0</v>
      </c>
      <c r="Y25" s="50">
        <f>C25*'Steel Calculations'!C5</f>
        <v>0</v>
      </c>
      <c r="Z25" s="50">
        <f>D25*'Steel Calculations'!D5</f>
        <v>0</v>
      </c>
      <c r="AA25" s="50">
        <f>E25*'Steel Calculations'!E5</f>
        <v>0</v>
      </c>
      <c r="AB25" s="50">
        <f>F25*'Steel Calculations'!F5</f>
        <v>0</v>
      </c>
      <c r="AC25" s="50">
        <f>G25*'Steel Calculations'!G5</f>
        <v>0</v>
      </c>
      <c r="AD25" s="50">
        <f>H25*'Steel Calculations'!H5</f>
        <v>0</v>
      </c>
      <c r="AE25" s="50">
        <f>I25*'Steel Calculations'!I5</f>
        <v>3244.56</v>
      </c>
      <c r="AF25" s="50">
        <f>J25*'Steel Calculations'!J5</f>
        <v>1746.64</v>
      </c>
      <c r="AG25" s="50">
        <f>K25*'Steel Calculations'!K5</f>
        <v>0</v>
      </c>
      <c r="AH25" s="50">
        <f>L25*'Steel Calculations'!L5</f>
        <v>0</v>
      </c>
      <c r="AI25" s="50">
        <f>M25*'Steel Calculations'!M5</f>
        <v>0</v>
      </c>
      <c r="AJ25" s="50">
        <f>N25*'Steel Calculations'!N5</f>
        <v>0</v>
      </c>
      <c r="AK25" s="50">
        <f>O25*'Steel Calculations'!O5</f>
        <v>0</v>
      </c>
      <c r="AL25" s="50">
        <f>P25*'Steel Calculations'!P5</f>
        <v>0</v>
      </c>
      <c r="AM25" s="50">
        <f>Q25*'Steel Calculations'!Q5</f>
        <v>0</v>
      </c>
      <c r="AN25" s="50">
        <f>R25*'Steel Calculations'!R5</f>
        <v>0</v>
      </c>
      <c r="AO25" s="50">
        <f>S25*'Steel Calculations'!S5</f>
        <v>0</v>
      </c>
      <c r="AP25" s="50">
        <f>T25*'Steel Calculations'!T5</f>
        <v>0</v>
      </c>
      <c r="AQ25" s="50">
        <f>U25*'Steel Calculations'!U5</f>
        <v>0</v>
      </c>
      <c r="AS25" s="45">
        <f>R25*'Steel Calculations'!$B$14</f>
        <v>0</v>
      </c>
      <c r="AT25" s="45">
        <f>S25*'Steel Calculations'!$C$14</f>
        <v>0</v>
      </c>
      <c r="AU25" s="45">
        <f>T25*'Steel Calculations'!$D$14</f>
        <v>0</v>
      </c>
      <c r="AV25" s="45">
        <f>U25*'Steel Calculations'!$E$14</f>
        <v>0</v>
      </c>
      <c r="AW25" s="45">
        <f>S25*'Steel Calculations'!$F$14</f>
        <v>0</v>
      </c>
      <c r="AX25" s="45">
        <f>T25*'Steel Calculations'!$G$14</f>
        <v>0</v>
      </c>
      <c r="AY25" s="45">
        <f>U25*'Steel Calculations'!$H$14</f>
        <v>0</v>
      </c>
    </row>
    <row r="26" spans="1:52" ht="13.5" thickBot="1">
      <c r="A26" s="25" t="s">
        <v>206</v>
      </c>
      <c r="B26" s="26">
        <f>'MF-STEEL(KG)'!B25*O$1*B$1+(D$1+F$1)+'MACHINE RATE'!B24*O$1</f>
        <v>1187.0999999999999</v>
      </c>
      <c r="C26" s="27">
        <f>'MF-STEEL(KG)'!C25*O$1*B$1+(D$1+F$1)+'MACHINE RATE'!C24*O$1</f>
        <v>1547.32</v>
      </c>
      <c r="D26" s="27">
        <f>'MF-STEEL(KG)'!D25*O$1*B$1+(D$1+F$1)+'MACHINE RATE'!D24*O$1</f>
        <v>1643.3600000000001</v>
      </c>
      <c r="E26" s="27">
        <f>'MF-STEEL(KG)'!E25*O$1*B$1+(D$1+F$1)+'MACHINE RATE'!E24*O$1</f>
        <v>1752.72</v>
      </c>
      <c r="F26" s="28">
        <f>'MF-STEEL(KG)'!F25*O$1*B$1+(D$1+F$1)+'MACHINE RATE'!F24*O$1</f>
        <v>1857.64</v>
      </c>
      <c r="G26" s="26">
        <f>'MF-STEEL(KG)'!G25*O$1*B$1+(D$1+F$1)+'MACHINE RATE'!G24*O$1</f>
        <v>1232.075</v>
      </c>
      <c r="H26" s="27">
        <f>'MF-STEEL(KG)'!H25*O$1*B$1+(D$1+F$1)+'MACHINE RATE'!H24*O$1</f>
        <v>1612.28</v>
      </c>
      <c r="I26" s="27">
        <f>'MF-STEEL(KG)'!I25*O$1*B$1+(D$1+F$1)+'MACHINE RATE'!I24*O$1</f>
        <v>1713.32</v>
      </c>
      <c r="J26" s="27">
        <f>'MF-STEEL(KG)'!J25*O$1*B$1+(D$1+F$1)+'MACHINE RATE'!J24*O$1</f>
        <v>1837.68</v>
      </c>
      <c r="K26" s="28">
        <f>'MF-STEEL(KG)'!K25*O$1*B$1+(D$1+F$1)+'MACHINE RATE'!K24*O$1</f>
        <v>1966.48</v>
      </c>
      <c r="L26" s="29">
        <f>'MF-STEEL(KG)'!L25*O$1*B$1+(D$1+F$1)+'MACHINE RATE'!L24*O$1</f>
        <v>1324.25</v>
      </c>
      <c r="M26" s="27">
        <f>'MF-STEEL(KG)'!M25*O$1*B$1+(D$1+F$1)+'MACHINE RATE'!M24*O$1</f>
        <v>1727.76</v>
      </c>
      <c r="N26" s="27">
        <f>'MF-STEEL(KG)'!N25*O$1*B$1+(D$1+F$1)+'MACHINE RATE'!N24*O$1</f>
        <v>1823.8</v>
      </c>
      <c r="O26" s="27">
        <f>'MF-STEEL(KG)'!O25*O$1*B$1+(D$1+F$1)+'MACHINE RATE'!O24*O$1</f>
        <v>1937.6000000000001</v>
      </c>
      <c r="P26" s="30">
        <f>'MF-STEEL(KG)'!P25*O$1*B$1+(D$1+F$1)+'MACHINE RATE'!P24*O$1</f>
        <v>2051.4</v>
      </c>
      <c r="Q26" s="26">
        <f>'MF-STEEL(KG)'!O$1*B$1+(D$1+F$1)+'MACHINE RATE'!Q24*O$1</f>
        <v>635</v>
      </c>
      <c r="R26" s="27">
        <f>'MF-STEEL(KG)'!R25*O$1*B$1+(D$1+F$1)+'MACHINE RATE'!R24*O$1</f>
        <v>1827.72</v>
      </c>
      <c r="S26" s="27">
        <f>'MF-STEEL(KG)'!S25*O$1*B$1+(D$1+F$1)+'MACHINE RATE'!S24*O$1</f>
        <v>1923.76</v>
      </c>
      <c r="T26" s="27">
        <f>'MF-STEEL(KG)'!T25*O$1*B$1+(D$1+F$1)+'MACHINE RATE'!T24*O$1</f>
        <v>2032.5600000000002</v>
      </c>
      <c r="U26" s="28">
        <f>'MF-STEEL(KG)'!U25*O$1*B$1+(D$1+F$1)+'MACHINE RATE'!U24*O$1</f>
        <v>2150.2399999999998</v>
      </c>
      <c r="X26" s="50">
        <f>B26*'Steel Calculations'!B6</f>
        <v>0</v>
      </c>
      <c r="Y26" s="50">
        <f>C26*'Steel Calculations'!C6</f>
        <v>0</v>
      </c>
      <c r="Z26" s="50">
        <f>D26*'Steel Calculations'!D6</f>
        <v>0</v>
      </c>
      <c r="AA26" s="50">
        <f>E26*'Steel Calculations'!E6</f>
        <v>0</v>
      </c>
      <c r="AB26" s="50">
        <f>F26*'Steel Calculations'!F6</f>
        <v>0</v>
      </c>
      <c r="AC26" s="50">
        <f>G26*'Steel Calculations'!G6</f>
        <v>0</v>
      </c>
      <c r="AD26" s="50">
        <f>H26*'Steel Calculations'!H6</f>
        <v>0</v>
      </c>
      <c r="AE26" s="50">
        <f>I26*'Steel Calculations'!I6</f>
        <v>0</v>
      </c>
      <c r="AF26" s="50">
        <f>J26*'Steel Calculations'!J6</f>
        <v>0</v>
      </c>
      <c r="AG26" s="50">
        <f>K26*'Steel Calculations'!K6</f>
        <v>0</v>
      </c>
      <c r="AH26" s="50">
        <f>L26*'Steel Calculations'!L6</f>
        <v>0</v>
      </c>
      <c r="AI26" s="50">
        <f>M26*'Steel Calculations'!M6</f>
        <v>0</v>
      </c>
      <c r="AJ26" s="50">
        <f>N26*'Steel Calculations'!N6</f>
        <v>0</v>
      </c>
      <c r="AK26" s="50">
        <f>O26*'Steel Calculations'!O6</f>
        <v>0</v>
      </c>
      <c r="AL26" s="50">
        <f>P26*'Steel Calculations'!P6</f>
        <v>0</v>
      </c>
      <c r="AM26" s="50">
        <f>Q26*'Steel Calculations'!Q6</f>
        <v>0</v>
      </c>
      <c r="AN26" s="50">
        <f>R26*'Steel Calculations'!R6</f>
        <v>0</v>
      </c>
      <c r="AO26" s="50">
        <f>S26*'Steel Calculations'!S6</f>
        <v>0</v>
      </c>
      <c r="AP26" s="50">
        <f>T26*'Steel Calculations'!T6</f>
        <v>0</v>
      </c>
      <c r="AQ26" s="50">
        <f>U26*'Steel Calculations'!U6</f>
        <v>0</v>
      </c>
      <c r="AS26" s="45">
        <f>R26*'Steel Calculations'!$B$15</f>
        <v>0</v>
      </c>
      <c r="AT26" s="45">
        <f>S26*'Steel Calculations'!$C$15</f>
        <v>0</v>
      </c>
      <c r="AU26" s="45">
        <f>T26*'Steel Calculations'!$D$15</f>
        <v>0</v>
      </c>
      <c r="AV26" s="45">
        <f>U26*'Steel Calculations'!$E$15</f>
        <v>0</v>
      </c>
      <c r="AW26" s="45">
        <f>S26*'Steel Calculations'!$F$15</f>
        <v>0</v>
      </c>
      <c r="AX26" s="45">
        <f>T26*'Steel Calculations'!$G$15</f>
        <v>0</v>
      </c>
      <c r="AY26" s="45">
        <f>U26*'Steel Calculations'!$H$15</f>
        <v>0</v>
      </c>
    </row>
    <row r="27" spans="1:52" ht="13.5" thickBot="1">
      <c r="A27" s="25" t="s">
        <v>207</v>
      </c>
      <c r="B27" s="26">
        <f>'MF-STEEL(KG)'!B26*O$1*B$1+(D$1+F$1)+'MACHINE RATE'!B25*O$1</f>
        <v>1295.9000000000001</v>
      </c>
      <c r="C27" s="27">
        <f>'MF-STEEL(KG)'!C26*O$1*B$1+(D$1+F$1)+'MACHINE RATE'!C25*O$1</f>
        <v>1656.12</v>
      </c>
      <c r="D27" s="27">
        <f>'MF-STEEL(KG)'!D26*O$1*B$1+(D$1+F$1)+'MACHINE RATE'!D25*O$1</f>
        <v>1752.16</v>
      </c>
      <c r="E27" s="27">
        <f>'MF-STEEL(KG)'!E26*O$1*B$1+(D$1+F$1)+'MACHINE RATE'!E25*O$1</f>
        <v>1861.52</v>
      </c>
      <c r="F27" s="28">
        <f>'MF-STEEL(KG)'!F26*O$1*B$1+(D$1+F$1)+'MACHINE RATE'!F25*O$1</f>
        <v>1966.44</v>
      </c>
      <c r="G27" s="26">
        <f>'MF-STEEL(KG)'!G26*O$1*B$1+(D$1+F$1)+'MACHINE RATE'!G25*O$1</f>
        <v>1340.875</v>
      </c>
      <c r="H27" s="27">
        <f>'MF-STEEL(KG)'!H26*O$1*B$1+(D$1+F$1)+'MACHINE RATE'!H25*O$1</f>
        <v>1721.08</v>
      </c>
      <c r="I27" s="27">
        <f>'MF-STEEL(KG)'!I26*O$1*B$1+(D$1+F$1)+'MACHINE RATE'!I25*O$1</f>
        <v>1822.12</v>
      </c>
      <c r="J27" s="27">
        <f>'MF-STEEL(KG)'!J26*O$1*B$1+(D$1+F$1)+'MACHINE RATE'!J25*O$1</f>
        <v>1946.48</v>
      </c>
      <c r="K27" s="28">
        <f>'MF-STEEL(KG)'!K26*O$1*B$1+(D$1+F$1)+'MACHINE RATE'!K25*O$1</f>
        <v>2075.2799999999997</v>
      </c>
      <c r="L27" s="29">
        <f>'MF-STEEL(KG)'!L26*O$1*B$1+(D$1+F$1)+'MACHINE RATE'!L25*O$1</f>
        <v>1433.0500000000002</v>
      </c>
      <c r="M27" s="27">
        <f>'MF-STEEL(KG)'!M26*O$1*B$1+(D$1+F$1)+'MACHINE RATE'!M25*O$1</f>
        <v>1836.5600000000002</v>
      </c>
      <c r="N27" s="27">
        <f>'MF-STEEL(KG)'!N26*O$1*B$1+(D$1+F$1)+'MACHINE RATE'!N25*O$1</f>
        <v>1932.6000000000001</v>
      </c>
      <c r="O27" s="27">
        <f>'MF-STEEL(KG)'!O26*O$1*B$1+(D$1+F$1)+'MACHINE RATE'!O25*O$1</f>
        <v>2046.4</v>
      </c>
      <c r="P27" s="30">
        <f>'MF-STEEL(KG)'!P26*O$1*B$1+(D$1+F$1)+'MACHINE RATE'!P25*O$1</f>
        <v>2160.1999999999998</v>
      </c>
      <c r="Q27" s="26">
        <f>'MF-STEEL(KG)'!O$1*B$1+(D$1+F$1)+'MACHINE RATE'!Q25*O$1</f>
        <v>655</v>
      </c>
      <c r="R27" s="27">
        <f>'MF-STEEL(KG)'!R26*O$1*B$1+(D$1+F$1)+'MACHINE RATE'!R25*O$1</f>
        <v>1936.52</v>
      </c>
      <c r="S27" s="27">
        <f>'MF-STEEL(KG)'!S26*O$1*B$1+(D$1+F$1)+'MACHINE RATE'!S25*O$1</f>
        <v>2032.5600000000002</v>
      </c>
      <c r="T27" s="27">
        <f>'MF-STEEL(KG)'!T26*O$1*B$1+(D$1+F$1)+'MACHINE RATE'!T25*O$1</f>
        <v>2141.36</v>
      </c>
      <c r="U27" s="28">
        <f>'MF-STEEL(KG)'!U26*O$1*B$1+(D$1+F$1)+'MACHINE RATE'!U25*O$1</f>
        <v>2259.04</v>
      </c>
      <c r="X27" s="50">
        <f>B27*'Steel Calculations'!B7</f>
        <v>0</v>
      </c>
      <c r="Y27" s="50">
        <f>C27*'Steel Calculations'!C7</f>
        <v>0</v>
      </c>
      <c r="Z27" s="50">
        <f>D27*'Steel Calculations'!D7</f>
        <v>0</v>
      </c>
      <c r="AA27" s="50">
        <f>E27*'Steel Calculations'!E7</f>
        <v>0</v>
      </c>
      <c r="AB27" s="50">
        <f>F27*'Steel Calculations'!F7</f>
        <v>0</v>
      </c>
      <c r="AC27" s="50">
        <f>G27*'Steel Calculations'!G7</f>
        <v>0</v>
      </c>
      <c r="AD27" s="50">
        <f>H27*'Steel Calculations'!H7</f>
        <v>0</v>
      </c>
      <c r="AE27" s="50">
        <f>I27*'Steel Calculations'!I7</f>
        <v>0</v>
      </c>
      <c r="AF27" s="50">
        <f>J27*'Steel Calculations'!J7</f>
        <v>0</v>
      </c>
      <c r="AG27" s="50">
        <f>K27*'Steel Calculations'!K7</f>
        <v>0</v>
      </c>
      <c r="AH27" s="50">
        <f>L27*'Steel Calculations'!L7</f>
        <v>0</v>
      </c>
      <c r="AI27" s="50">
        <f>M27*'Steel Calculations'!M7</f>
        <v>0</v>
      </c>
      <c r="AJ27" s="50">
        <f>N27*'Steel Calculations'!N7</f>
        <v>0</v>
      </c>
      <c r="AK27" s="50">
        <f>O27*'Steel Calculations'!O7</f>
        <v>0</v>
      </c>
      <c r="AL27" s="50">
        <f>P27*'Steel Calculations'!P7</f>
        <v>0</v>
      </c>
      <c r="AM27" s="50">
        <f>Q27*'Steel Calculations'!Q7</f>
        <v>0</v>
      </c>
      <c r="AN27" s="50">
        <f>R27*'Steel Calculations'!R7</f>
        <v>0</v>
      </c>
      <c r="AO27" s="50">
        <f>S27*'Steel Calculations'!S7</f>
        <v>0</v>
      </c>
      <c r="AP27" s="50">
        <f>T27*'Steel Calculations'!T7</f>
        <v>0</v>
      </c>
      <c r="AQ27" s="50">
        <f>U27*'Steel Calculations'!U7</f>
        <v>0</v>
      </c>
      <c r="AS27" s="45">
        <f>R27*'Steel Calculations'!$B$16</f>
        <v>0</v>
      </c>
      <c r="AT27" s="45">
        <f>S27*'Steel Calculations'!$C$16</f>
        <v>0</v>
      </c>
      <c r="AU27" s="45">
        <f>T27*'Steel Calculations'!$D$16</f>
        <v>0</v>
      </c>
      <c r="AV27" s="45">
        <f>U27*'Steel Calculations'!$E$16</f>
        <v>0</v>
      </c>
      <c r="AW27" s="45">
        <f>S27*'Steel Calculations'!$F$16</f>
        <v>0</v>
      </c>
      <c r="AX27" s="45">
        <f>T27*'Steel Calculations'!$G$16</f>
        <v>0</v>
      </c>
      <c r="AY27" s="45">
        <f>U27*'Steel Calculations'!$H$16</f>
        <v>0</v>
      </c>
    </row>
    <row r="28" spans="1:52">
      <c r="AR28" s="45">
        <f>SUM(X23:AQ27)-M$1*(18*B$1+'MACHINE RATE'!V25)</f>
        <v>4486.5</v>
      </c>
      <c r="AZ28" s="45">
        <f>SUM(AS23:AY27)</f>
        <v>0</v>
      </c>
    </row>
    <row r="29" spans="1:52" ht="15.75" thickBot="1">
      <c r="A29" s="533" t="s">
        <v>238</v>
      </c>
      <c r="B29" s="534"/>
      <c r="C29" s="534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1:52" ht="13.5" thickBot="1">
      <c r="A30" s="20" t="s">
        <v>0</v>
      </c>
      <c r="B30" s="529" t="s">
        <v>194</v>
      </c>
      <c r="C30" s="530"/>
      <c r="D30" s="530"/>
      <c r="E30" s="530"/>
      <c r="F30" s="531"/>
      <c r="G30" s="532" t="s">
        <v>195</v>
      </c>
      <c r="H30" s="530"/>
      <c r="I30" s="530"/>
      <c r="J30" s="530"/>
      <c r="K30" s="531"/>
      <c r="L30" s="532" t="s">
        <v>196</v>
      </c>
      <c r="M30" s="530"/>
      <c r="N30" s="530"/>
      <c r="O30" s="530"/>
      <c r="P30" s="531"/>
      <c r="Q30" s="532" t="s">
        <v>197</v>
      </c>
      <c r="R30" s="530"/>
      <c r="S30" s="530"/>
      <c r="T30" s="530"/>
      <c r="U30" s="531"/>
    </row>
    <row r="31" spans="1:52" ht="13.5" thickBot="1">
      <c r="A31" s="21"/>
      <c r="B31" s="22" t="s">
        <v>198</v>
      </c>
      <c r="C31" s="22" t="s">
        <v>199</v>
      </c>
      <c r="D31" s="22" t="s">
        <v>200</v>
      </c>
      <c r="E31" s="22" t="s">
        <v>201</v>
      </c>
      <c r="F31" s="23" t="s">
        <v>202</v>
      </c>
      <c r="G31" s="22" t="s">
        <v>198</v>
      </c>
      <c r="H31" s="22" t="s">
        <v>199</v>
      </c>
      <c r="I31" s="22" t="s">
        <v>200</v>
      </c>
      <c r="J31" s="22" t="s">
        <v>201</v>
      </c>
      <c r="K31" s="22" t="s">
        <v>202</v>
      </c>
      <c r="L31" s="24" t="s">
        <v>198</v>
      </c>
      <c r="M31" s="22" t="s">
        <v>199</v>
      </c>
      <c r="N31" s="22" t="s">
        <v>200</v>
      </c>
      <c r="O31" s="22" t="s">
        <v>201</v>
      </c>
      <c r="P31" s="22" t="s">
        <v>202</v>
      </c>
      <c r="Q31" s="22" t="s">
        <v>198</v>
      </c>
      <c r="R31" s="22" t="s">
        <v>199</v>
      </c>
      <c r="S31" s="22" t="s">
        <v>200</v>
      </c>
      <c r="T31" s="22" t="s">
        <v>201</v>
      </c>
      <c r="U31" s="22" t="s">
        <v>202</v>
      </c>
    </row>
    <row r="32" spans="1:52" ht="13.5" thickBot="1">
      <c r="A32" s="25" t="s">
        <v>203</v>
      </c>
      <c r="B32" s="26">
        <f>'MF-STEEL(KG)'!B31*O$1*B$1+(D$1+F$1)+'MACHINE RATE'!B4*O$1</f>
        <v>952.80000000000007</v>
      </c>
      <c r="C32" s="27">
        <f>'MF-STEEL(KG)'!C31*O$1*B$1+(D$1+F$1)+'MACHINE RATE'!C4*O$1</f>
        <v>1221.44</v>
      </c>
      <c r="D32" s="27">
        <f>'MF-STEEL(KG)'!D31*O$1*B$1+(D$1+F$1)+'MACHINE RATE'!D4*O$1</f>
        <v>1312.48</v>
      </c>
      <c r="E32" s="27">
        <f>'MF-STEEL(KG)'!E31*O$1*B$1+(D$1+F$1)+'MACHINE RATE'!E4*O$1</f>
        <v>1403.52</v>
      </c>
      <c r="F32" s="28">
        <f>'MF-STEEL(KG)'!F31*O$1*B$1+(D$1+F$1)+'MACHINE RATE'!F4*O$1</f>
        <v>1494.56</v>
      </c>
      <c r="G32" s="26">
        <f>'MF-STEEL(KG)'!G31*O$1*B$1+(D$1+F$1)+'MACHINE RATE'!G4*O$1</f>
        <v>989.45</v>
      </c>
      <c r="H32" s="27">
        <f>'MF-STEEL(KG)'!H31*O$1*B$1+(D$1+F$1)+'MACHINE RATE'!H4*O$1</f>
        <v>1258.08</v>
      </c>
      <c r="I32" s="27">
        <f>'MF-STEEL(KG)'!I31*O$1*B$1+(D$1+F$1)+'MACHINE RATE'!I4*O$1</f>
        <v>1359.12</v>
      </c>
      <c r="J32" s="27">
        <f>'MF-STEEL(KG)'!J31*O$1*B$1+(D$1+F$1)+'MACHINE RATE'!J4*O$1</f>
        <v>1464.6</v>
      </c>
      <c r="K32" s="28">
        <f>'MF-STEEL(KG)'!K31*O$1*B$1+(D$1+F$1)+'MACHINE RATE'!K4*O$1</f>
        <v>1370.08</v>
      </c>
      <c r="L32" s="29">
        <f>'MF-STEEL(KG)'!L31*O$1*B$1+(D$1+F$1)+'MACHINE RATE'!L4*O$1</f>
        <v>970.52499999999998</v>
      </c>
      <c r="M32" s="27">
        <f>'MF-STEEL(KG)'!M31*O$1*B$1+(D$1+F$1)+'MACHINE RATE'!M4*O$1</f>
        <v>1275.8000000000002</v>
      </c>
      <c r="N32" s="27">
        <f>'MF-STEEL(KG)'!N31*O$1*B$1+(D$1+F$1)+'MACHINE RATE'!N4*O$1</f>
        <v>1471.8400000000001</v>
      </c>
      <c r="O32" s="27">
        <f>'MF-STEEL(KG)'!O31*O$1*B$1+(D$1+F$1)+'MACHINE RATE'!O4*O$1</f>
        <v>1576.7600000000002</v>
      </c>
      <c r="P32" s="30">
        <f>'MF-STEEL(KG)'!P31*O$1*B$1+(D$1+F$1)+'MACHINE RATE'!P4*O$1</f>
        <v>1676.68</v>
      </c>
      <c r="Q32" s="26">
        <f>'MF-STEEL(KG)'!O$1*B$1+(D$1+F$1)+'MACHINE RATE'!Q4*O$1</f>
        <v>520</v>
      </c>
      <c r="R32" s="27">
        <f>'MF-STEEL(KG)'!R31*O$1*B$1+(D$1+F$1)+'MACHINE RATE'!R4*O$1</f>
        <v>1442.44</v>
      </c>
      <c r="S32" s="27">
        <f>'MF-STEEL(KG)'!S31*O$1*B$1+(D$1+F$1)+'MACHINE RATE'!S4*O$1</f>
        <v>1543.48</v>
      </c>
      <c r="T32" s="27">
        <f>'MF-STEEL(KG)'!T31*O$1*B$1+(D$1+F$1)+'MACHINE RATE'!T4*O$1</f>
        <v>1657.84</v>
      </c>
      <c r="U32" s="28">
        <f>'MF-STEEL(KG)'!U31*O$1*B$1+(D$1+F$1)+'MACHINE RATE'!U4*O$1</f>
        <v>1772.2</v>
      </c>
      <c r="X32" s="45">
        <f>B32*'Steel Calculations'!B3</f>
        <v>0</v>
      </c>
      <c r="Y32" s="45">
        <f>C32*'Steel Calculations'!C3</f>
        <v>0</v>
      </c>
      <c r="Z32" s="45">
        <f>D32*'Steel Calculations'!D3</f>
        <v>0</v>
      </c>
      <c r="AA32" s="45">
        <f>E32*'Steel Calculations'!E3</f>
        <v>0</v>
      </c>
      <c r="AB32" s="45">
        <f>F32*'Steel Calculations'!F3</f>
        <v>0</v>
      </c>
      <c r="AC32" s="45">
        <f>G32*'Steel Calculations'!G3</f>
        <v>0</v>
      </c>
      <c r="AD32" s="45">
        <f>H32*'Steel Calculations'!H3</f>
        <v>0</v>
      </c>
      <c r="AE32" s="45">
        <f>I32*'Steel Calculations'!I3</f>
        <v>0</v>
      </c>
      <c r="AF32" s="45">
        <f>J32*'Steel Calculations'!J3</f>
        <v>0</v>
      </c>
      <c r="AG32" s="45">
        <f>K32*'Steel Calculations'!K3</f>
        <v>0</v>
      </c>
      <c r="AH32" s="45">
        <f>L32*'Steel Calculations'!L3</f>
        <v>0</v>
      </c>
      <c r="AI32" s="45">
        <f>M32*'Steel Calculations'!M3</f>
        <v>0</v>
      </c>
      <c r="AJ32" s="45">
        <f>N32*'Steel Calculations'!N3</f>
        <v>0</v>
      </c>
      <c r="AK32" s="45">
        <f>O32*'Steel Calculations'!O3</f>
        <v>0</v>
      </c>
      <c r="AL32" s="45">
        <f>P32*'Steel Calculations'!P3</f>
        <v>0</v>
      </c>
      <c r="AM32" s="45">
        <f>Q32*'Steel Calculations'!Q3</f>
        <v>0</v>
      </c>
      <c r="AN32" s="45">
        <f>R32*'Steel Calculations'!R3</f>
        <v>0</v>
      </c>
      <c r="AO32" s="45">
        <f>S32*'Steel Calculations'!S3</f>
        <v>0</v>
      </c>
      <c r="AP32" s="45">
        <f>T32*'Steel Calculations'!T3</f>
        <v>0</v>
      </c>
      <c r="AQ32" s="45">
        <f>U32*'Steel Calculations'!U3</f>
        <v>0</v>
      </c>
      <c r="AS32" s="49"/>
      <c r="AT32" s="49"/>
      <c r="AU32" s="49"/>
      <c r="AV32" s="49"/>
      <c r="AW32" s="49"/>
      <c r="AX32" s="49"/>
      <c r="AY32" s="49"/>
    </row>
    <row r="33" spans="1:52" ht="13.5" thickBot="1">
      <c r="A33" s="25" t="s">
        <v>204</v>
      </c>
      <c r="B33" s="26">
        <f>'MF-STEEL(KG)'!B32*O$1*B$1+(D$1+F$1)+'MACHINE RATE'!B5*O$1</f>
        <v>1014.4250000000001</v>
      </c>
      <c r="C33" s="27">
        <f>'MF-STEEL(KG)'!C32*O$1*B$1+(D$1+F$1)+'MACHINE RATE'!C5*O$1</f>
        <v>1308.04</v>
      </c>
      <c r="D33" s="27">
        <f>'MF-STEEL(KG)'!D32*O$1*B$1+(D$1+F$1)+'MACHINE RATE'!D5*O$1</f>
        <v>1399.08</v>
      </c>
      <c r="E33" s="27">
        <f>'MF-STEEL(KG)'!E32*O$1*B$1+(D$1+F$1)+'MACHINE RATE'!E5*O$1</f>
        <v>1499</v>
      </c>
      <c r="F33" s="28">
        <f>'MF-STEEL(KG)'!F32*O$1*B$1+(D$1+F$1)+'MACHINE RATE'!F5*O$1</f>
        <v>1594.48</v>
      </c>
      <c r="G33" s="26">
        <f>'MF-STEEL(KG)'!G32*O$1*B$1+(D$1+F$1)+'MACHINE RATE'!G5*O$1</f>
        <v>1062.1750000000002</v>
      </c>
      <c r="H33" s="27">
        <f>'MF-STEEL(KG)'!H32*O$1*B$1+(D$1+F$1)+'MACHINE RATE'!H5*O$1</f>
        <v>1362.44</v>
      </c>
      <c r="I33" s="27">
        <f>'MF-STEEL(KG)'!I32*O$1*B$1+(D$1+F$1)+'MACHINE RATE'!I5*O$1</f>
        <v>1463.48</v>
      </c>
      <c r="J33" s="27">
        <f>'MF-STEEL(KG)'!J32*O$1*B$1+(D$1+F$1)+'MACHINE RATE'!J5*O$1</f>
        <v>1564.52</v>
      </c>
      <c r="K33" s="28">
        <f>'MF-STEEL(KG)'!K32*O$1*B$1+(D$1+F$1)+'MACHINE RATE'!K5*O$1</f>
        <v>1474.44</v>
      </c>
      <c r="L33" s="29">
        <f>'MF-STEEL(KG)'!L32*O$1*B$1+(D$1+F$1)+'MACHINE RATE'!L5*O$1</f>
        <v>1043.25</v>
      </c>
      <c r="M33" s="27">
        <f>'MF-STEEL(KG)'!M32*O$1*B$1+(D$1+F$1)+'MACHINE RATE'!M5*O$1</f>
        <v>1380.16</v>
      </c>
      <c r="N33" s="27">
        <f>'MF-STEEL(KG)'!N32*O$1*B$1+(D$1+F$1)+'MACHINE RATE'!N5*O$1</f>
        <v>1576.2</v>
      </c>
      <c r="O33" s="27">
        <f>'MF-STEEL(KG)'!O32*O$1*B$1+(D$1+F$1)+'MACHINE RATE'!O5*O$1</f>
        <v>1685.5600000000002</v>
      </c>
      <c r="P33" s="30">
        <f>'MF-STEEL(KG)'!P32*O$1*B$1+(D$1+F$1)+'MACHINE RATE'!P5*O$1</f>
        <v>1785.48</v>
      </c>
      <c r="Q33" s="26">
        <f>'MF-STEEL(KG)'!O$1*B$1+(D$1+F$1)+'MACHINE RATE'!Q5*O$1</f>
        <v>540</v>
      </c>
      <c r="R33" s="27">
        <f>'MF-STEEL(KG)'!R32*O$1*B$1+(D$1+F$1)+'MACHINE RATE'!R5*O$1</f>
        <v>1564.56</v>
      </c>
      <c r="S33" s="27">
        <f>'MF-STEEL(KG)'!S32*O$1*B$1+(D$1+F$1)+'MACHINE RATE'!S5*O$1</f>
        <v>1665.6000000000001</v>
      </c>
      <c r="T33" s="27">
        <f>'MF-STEEL(KG)'!T32*O$1*B$1+(D$1+F$1)+'MACHINE RATE'!T5*O$1</f>
        <v>1771.08</v>
      </c>
      <c r="U33" s="28">
        <f>'MF-STEEL(KG)'!U32*O$1*B$1+(D$1+F$1)+'MACHINE RATE'!U5*O$1</f>
        <v>1885.44</v>
      </c>
      <c r="X33" s="45">
        <f>B33*'Steel Calculations'!B4</f>
        <v>0</v>
      </c>
      <c r="Y33" s="45">
        <f>C33*'Steel Calculations'!C4</f>
        <v>0</v>
      </c>
      <c r="Z33" s="45">
        <f>D33*'Steel Calculations'!D4</f>
        <v>0</v>
      </c>
      <c r="AA33" s="45">
        <f>E33*'Steel Calculations'!E4</f>
        <v>0</v>
      </c>
      <c r="AB33" s="45">
        <f>F33*'Steel Calculations'!F4</f>
        <v>0</v>
      </c>
      <c r="AC33" s="45">
        <f>G33*'Steel Calculations'!G4</f>
        <v>0</v>
      </c>
      <c r="AD33" s="45">
        <f>H33*'Steel Calculations'!H4</f>
        <v>0</v>
      </c>
      <c r="AE33" s="45">
        <f>I33*'Steel Calculations'!I4</f>
        <v>0</v>
      </c>
      <c r="AF33" s="45">
        <f>J33*'Steel Calculations'!J4</f>
        <v>0</v>
      </c>
      <c r="AG33" s="45">
        <f>K33*'Steel Calculations'!K4</f>
        <v>0</v>
      </c>
      <c r="AH33" s="45">
        <f>L33*'Steel Calculations'!L4</f>
        <v>0</v>
      </c>
      <c r="AI33" s="45">
        <f>M33*'Steel Calculations'!M4</f>
        <v>0</v>
      </c>
      <c r="AJ33" s="45">
        <f>N33*'Steel Calculations'!N4</f>
        <v>0</v>
      </c>
      <c r="AK33" s="45">
        <f>O33*'Steel Calculations'!O4</f>
        <v>0</v>
      </c>
      <c r="AL33" s="45">
        <f>P33*'Steel Calculations'!P4</f>
        <v>0</v>
      </c>
      <c r="AM33" s="45">
        <f>Q33*'Steel Calculations'!Q4</f>
        <v>0</v>
      </c>
      <c r="AN33" s="45">
        <f>R33*'Steel Calculations'!R4</f>
        <v>0</v>
      </c>
      <c r="AO33" s="45">
        <f>S33*'Steel Calculations'!S4</f>
        <v>0</v>
      </c>
      <c r="AP33" s="45">
        <f>T33*'Steel Calculations'!T4</f>
        <v>0</v>
      </c>
      <c r="AQ33" s="45">
        <f>U33*'Steel Calculations'!U4</f>
        <v>0</v>
      </c>
      <c r="AS33" s="45">
        <f>R33*'Steel Calculations'!$B$13</f>
        <v>0</v>
      </c>
      <c r="AT33" s="45">
        <f>S33*'Steel Calculations'!$C$13</f>
        <v>0</v>
      </c>
      <c r="AU33" s="45">
        <f>T33*'Steel Calculations'!$D$13</f>
        <v>0</v>
      </c>
      <c r="AV33" s="45">
        <f>U33*'Steel Calculations'!$E$13</f>
        <v>0</v>
      </c>
      <c r="AW33" s="45">
        <f>S33*'Steel Calculations'!$F$13</f>
        <v>0</v>
      </c>
      <c r="AX33" s="45">
        <f>T33*'Steel Calculations'!$G$13</f>
        <v>0</v>
      </c>
      <c r="AY33" s="45">
        <f>U33*'Steel Calculations'!$H$13</f>
        <v>0</v>
      </c>
    </row>
    <row r="34" spans="1:52" ht="13.5" thickBot="1">
      <c r="A34" s="25" t="s">
        <v>205</v>
      </c>
      <c r="B34" s="26">
        <f>'MF-STEEL(KG)'!B33*O$1*B$1+(D$1+F$1)+'MACHINE RATE'!B6*O$1</f>
        <v>1092.7</v>
      </c>
      <c r="C34" s="27">
        <f>'MF-STEEL(KG)'!C33*O$1*B$1+(D$1+F$1)+'MACHINE RATE'!C6*O$1</f>
        <v>1421.28</v>
      </c>
      <c r="D34" s="27">
        <f>'MF-STEEL(KG)'!D33*O$1*B$1+(D$1+F$1)+'MACHINE RATE'!D6*O$1</f>
        <v>1512.3200000000002</v>
      </c>
      <c r="E34" s="27">
        <f>'MF-STEEL(KG)'!E33*O$1*B$1+(D$1+F$1)+'MACHINE RATE'!E6*O$1</f>
        <v>1616.68</v>
      </c>
      <c r="F34" s="28">
        <f>'MF-STEEL(KG)'!F33*O$1*B$1+(D$1+F$1)+'MACHINE RATE'!F6*O$1</f>
        <v>1716.6000000000001</v>
      </c>
      <c r="G34" s="26">
        <f>'MF-STEEL(KG)'!G33*O$1*B$1+(D$1+F$1)+'MACHINE RATE'!G6*O$1</f>
        <v>1137.6750000000002</v>
      </c>
      <c r="H34" s="27">
        <f>'MF-STEEL(KG)'!H33*O$1*B$1+(D$1+F$1)+'MACHINE RATE'!H6*O$1</f>
        <v>1471.24</v>
      </c>
      <c r="I34" s="27">
        <f>'MF-STEEL(KG)'!I33*O$1*B$1+(D$1+F$1)+'MACHINE RATE'!I6*O$1</f>
        <v>1572.28</v>
      </c>
      <c r="J34" s="27">
        <f>'MF-STEEL(KG)'!J33*O$1*B$1+(D$1+F$1)+'MACHINE RATE'!J6*O$1</f>
        <v>1686.64</v>
      </c>
      <c r="K34" s="28">
        <f>'MF-STEEL(KG)'!K33*O$1*B$1+(D$1+F$1)+'MACHINE RATE'!K6*O$1</f>
        <v>1605.44</v>
      </c>
      <c r="L34" s="29">
        <f>'MF-STEEL(KG)'!L33*O$1*B$1+(D$1+F$1)+'MACHINE RATE'!L6*O$1</f>
        <v>1129.8499999999999</v>
      </c>
      <c r="M34" s="27">
        <f>'MF-STEEL(KG)'!M33*O$1*B$1+(D$1+F$1)+'MACHINE RATE'!M6*O$1</f>
        <v>1506.72</v>
      </c>
      <c r="N34" s="27">
        <f>'MF-STEEL(KG)'!N33*O$1*B$1+(D$1+F$1)+'MACHINE RATE'!N6*O$1</f>
        <v>1702.76</v>
      </c>
      <c r="O34" s="27">
        <f>'MF-STEEL(KG)'!O33*O$1*B$1+(D$1+F$1)+'MACHINE RATE'!O6*O$1</f>
        <v>1816.5600000000002</v>
      </c>
      <c r="P34" s="30">
        <f>'MF-STEEL(KG)'!P33*O$1*B$1+(D$1+F$1)+'MACHINE RATE'!P6*O$1</f>
        <v>1925.3600000000001</v>
      </c>
      <c r="Q34" s="26">
        <f>'MF-STEEL(KG)'!O$1*B$1+(D$1+F$1)+'MACHINE RATE'!Q6*O$1</f>
        <v>560</v>
      </c>
      <c r="R34" s="27">
        <f>'MF-STEEL(KG)'!R33*O$1*B$1+(D$1+F$1)+'MACHINE RATE'!R6*O$1</f>
        <v>1686.68</v>
      </c>
      <c r="S34" s="27">
        <f>'MF-STEEL(KG)'!S33*O$1*B$1+(D$1+F$1)+'MACHINE RATE'!S6*O$1</f>
        <v>1787.72</v>
      </c>
      <c r="T34" s="27">
        <f>'MF-STEEL(KG)'!T33*O$1*B$1+(D$1+F$1)+'MACHINE RATE'!T6*O$1</f>
        <v>1906.52</v>
      </c>
      <c r="U34" s="28">
        <f>'MF-STEEL(KG)'!U33*O$1*B$1+(D$1+F$1)+'MACHINE RATE'!U6*O$1</f>
        <v>2034.2</v>
      </c>
      <c r="X34" s="45">
        <f>B34*'Steel Calculations'!B5</f>
        <v>0</v>
      </c>
      <c r="Y34" s="45">
        <f>C34*'Steel Calculations'!C5</f>
        <v>0</v>
      </c>
      <c r="Z34" s="45">
        <f>D34*'Steel Calculations'!D5</f>
        <v>0</v>
      </c>
      <c r="AA34" s="45">
        <f>E34*'Steel Calculations'!E5</f>
        <v>0</v>
      </c>
      <c r="AB34" s="45">
        <f>F34*'Steel Calculations'!F5</f>
        <v>0</v>
      </c>
      <c r="AC34" s="45">
        <f>G34*'Steel Calculations'!G5</f>
        <v>0</v>
      </c>
      <c r="AD34" s="45">
        <f>H34*'Steel Calculations'!H5</f>
        <v>0</v>
      </c>
      <c r="AE34" s="45">
        <f>I34*'Steel Calculations'!I5</f>
        <v>3144.56</v>
      </c>
      <c r="AF34" s="45">
        <f>J34*'Steel Calculations'!J5</f>
        <v>1686.64</v>
      </c>
      <c r="AG34" s="45">
        <f>K34*'Steel Calculations'!K5</f>
        <v>0</v>
      </c>
      <c r="AH34" s="45">
        <f>L34*'Steel Calculations'!L5</f>
        <v>0</v>
      </c>
      <c r="AI34" s="45">
        <f>M34*'Steel Calculations'!M5</f>
        <v>0</v>
      </c>
      <c r="AJ34" s="45">
        <f>N34*'Steel Calculations'!N5</f>
        <v>0</v>
      </c>
      <c r="AK34" s="45">
        <f>O34*'Steel Calculations'!O5</f>
        <v>0</v>
      </c>
      <c r="AL34" s="45">
        <f>P34*'Steel Calculations'!P5</f>
        <v>0</v>
      </c>
      <c r="AM34" s="45">
        <f>Q34*'Steel Calculations'!Q5</f>
        <v>0</v>
      </c>
      <c r="AN34" s="45">
        <f>R34*'Steel Calculations'!R5</f>
        <v>0</v>
      </c>
      <c r="AO34" s="45">
        <f>S34*'Steel Calculations'!S5</f>
        <v>0</v>
      </c>
      <c r="AP34" s="45">
        <f>T34*'Steel Calculations'!T5</f>
        <v>0</v>
      </c>
      <c r="AQ34" s="45">
        <f>U34*'Steel Calculations'!U5</f>
        <v>0</v>
      </c>
      <c r="AS34" s="45">
        <f>R34*'Steel Calculations'!$B$14</f>
        <v>0</v>
      </c>
      <c r="AT34" s="45">
        <f>S34*'Steel Calculations'!$C$14</f>
        <v>0</v>
      </c>
      <c r="AU34" s="45">
        <f>T34*'Steel Calculations'!$D$14</f>
        <v>0</v>
      </c>
      <c r="AV34" s="45">
        <f>U34*'Steel Calculations'!$E$14</f>
        <v>0</v>
      </c>
      <c r="AW34" s="45">
        <f>S34*'Steel Calculations'!$F$14</f>
        <v>0</v>
      </c>
      <c r="AX34" s="45">
        <f>T34*'Steel Calculations'!$G$14</f>
        <v>0</v>
      </c>
      <c r="AY34" s="45">
        <f>U34*'Steel Calculations'!$H$14</f>
        <v>0</v>
      </c>
    </row>
    <row r="35" spans="1:52" ht="13.5" thickBot="1">
      <c r="A35" s="25" t="s">
        <v>206</v>
      </c>
      <c r="B35" s="26">
        <f>'MF-STEEL(KG)'!B34*O$1*B$1+(D$1+F$1)+'MACHINE RATE'!B7*O$1</f>
        <v>1157.0999999999999</v>
      </c>
      <c r="C35" s="27">
        <f>'MF-STEEL(KG)'!C34*O$1*B$1+(D$1+F$1)+'MACHINE RATE'!C7*O$1</f>
        <v>1512.32</v>
      </c>
      <c r="D35" s="27">
        <f>'MF-STEEL(KG)'!D34*O$1*B$1+(D$1+F$1)+'MACHINE RATE'!D7*O$1</f>
        <v>1603.3600000000001</v>
      </c>
      <c r="E35" s="27">
        <f>'MF-STEEL(KG)'!E34*O$1*B$1+(D$1+F$1)+'MACHINE RATE'!E7*O$1</f>
        <v>1707.72</v>
      </c>
      <c r="F35" s="28">
        <f>'MF-STEEL(KG)'!F34*O$1*B$1+(D$1+F$1)+'MACHINE RATE'!F7*O$1</f>
        <v>1807.64</v>
      </c>
      <c r="G35" s="26">
        <f>'MF-STEEL(KG)'!G34*O$1*B$1+(D$1+F$1)+'MACHINE RATE'!G7*O$1</f>
        <v>1202.075</v>
      </c>
      <c r="H35" s="27">
        <f>'MF-STEEL(KG)'!H34*O$1*B$1+(D$1+F$1)+'MACHINE RATE'!H7*O$1</f>
        <v>1562.28</v>
      </c>
      <c r="I35" s="27">
        <f>'MF-STEEL(KG)'!I34*O$1*B$1+(D$1+F$1)+'MACHINE RATE'!I7*O$1</f>
        <v>1663.32</v>
      </c>
      <c r="J35" s="27">
        <f>'MF-STEEL(KG)'!J34*O$1*B$1+(D$1+F$1)+'MACHINE RATE'!J7*O$1</f>
        <v>1777.68</v>
      </c>
      <c r="K35" s="28">
        <f>'MF-STEEL(KG)'!K34*O$1*B$1+(D$1+F$1)+'MACHINE RATE'!K7*O$1</f>
        <v>1696.48</v>
      </c>
      <c r="L35" s="29">
        <f>'MF-STEEL(KG)'!L34*O$1*B$1+(D$1+F$1)+'MACHINE RATE'!L7*O$1</f>
        <v>1194.25</v>
      </c>
      <c r="M35" s="27">
        <f>'MF-STEEL(KG)'!M34*O$1*B$1+(D$1+F$1)+'MACHINE RATE'!M7*O$1</f>
        <v>1597.76</v>
      </c>
      <c r="N35" s="27">
        <f>'MF-STEEL(KG)'!N34*O$1*B$1+(D$1+F$1)+'MACHINE RATE'!N7*O$1</f>
        <v>1793.8</v>
      </c>
      <c r="O35" s="27">
        <f>'MF-STEEL(KG)'!O34*O$1*B$1+(D$1+F$1)+'MACHINE RATE'!O7*O$1</f>
        <v>1907.6000000000001</v>
      </c>
      <c r="P35" s="30">
        <f>'MF-STEEL(KG)'!P34*O$1*B$1+(D$1+F$1)+'MACHINE RATE'!P7*O$1</f>
        <v>2016.4</v>
      </c>
      <c r="Q35" s="26">
        <f>'MF-STEEL(KG)'!O$1*B$1+(D$1+F$1)+'MACHINE RATE'!Q7*O$1</f>
        <v>580</v>
      </c>
      <c r="R35" s="27">
        <f>'MF-STEEL(KG)'!R34*O$1*B$1+(D$1+F$1)+'MACHINE RATE'!R7*O$1</f>
        <v>1777.72</v>
      </c>
      <c r="S35" s="27">
        <f>'MF-STEEL(KG)'!S34*O$1*B$1+(D$1+F$1)+'MACHINE RATE'!S7*O$1</f>
        <v>1878.76</v>
      </c>
      <c r="T35" s="27">
        <f>'MF-STEEL(KG)'!T34*O$1*B$1+(D$1+F$1)+'MACHINE RATE'!T7*O$1</f>
        <v>1997.5600000000002</v>
      </c>
      <c r="U35" s="28">
        <f>'MF-STEEL(KG)'!U34*O$1*B$1+(D$1+F$1)+'MACHINE RATE'!U7*O$1</f>
        <v>2125.2399999999998</v>
      </c>
      <c r="X35" s="45">
        <f>B35*'Steel Calculations'!B6</f>
        <v>0</v>
      </c>
      <c r="Y35" s="45">
        <f>C35*'Steel Calculations'!C6</f>
        <v>0</v>
      </c>
      <c r="Z35" s="45">
        <f>D35*'Steel Calculations'!D6</f>
        <v>0</v>
      </c>
      <c r="AA35" s="45">
        <f>E35*'Steel Calculations'!E6</f>
        <v>0</v>
      </c>
      <c r="AB35" s="45">
        <f>F35*'Steel Calculations'!F6</f>
        <v>0</v>
      </c>
      <c r="AC35" s="45">
        <f>G35*'Steel Calculations'!G6</f>
        <v>0</v>
      </c>
      <c r="AD35" s="45">
        <f>H35*'Steel Calculations'!H6</f>
        <v>0</v>
      </c>
      <c r="AE35" s="45">
        <f>I35*'Steel Calculations'!I6</f>
        <v>0</v>
      </c>
      <c r="AF35" s="45">
        <f>J35*'Steel Calculations'!J6</f>
        <v>0</v>
      </c>
      <c r="AG35" s="45">
        <f>K35*'Steel Calculations'!K6</f>
        <v>0</v>
      </c>
      <c r="AH35" s="45">
        <f>L35*'Steel Calculations'!L6</f>
        <v>0</v>
      </c>
      <c r="AI35" s="45">
        <f>M35*'Steel Calculations'!M6</f>
        <v>0</v>
      </c>
      <c r="AJ35" s="45">
        <f>N35*'Steel Calculations'!N6</f>
        <v>0</v>
      </c>
      <c r="AK35" s="45">
        <f>O35*'Steel Calculations'!O6</f>
        <v>0</v>
      </c>
      <c r="AL35" s="45">
        <f>P35*'Steel Calculations'!P6</f>
        <v>0</v>
      </c>
      <c r="AM35" s="45">
        <f>Q35*'Steel Calculations'!Q6</f>
        <v>0</v>
      </c>
      <c r="AN35" s="45">
        <f>R35*'Steel Calculations'!R6</f>
        <v>0</v>
      </c>
      <c r="AO35" s="45">
        <f>S35*'Steel Calculations'!S6</f>
        <v>0</v>
      </c>
      <c r="AP35" s="45">
        <f>T35*'Steel Calculations'!T6</f>
        <v>0</v>
      </c>
      <c r="AQ35" s="45">
        <f>U35*'Steel Calculations'!U6</f>
        <v>0</v>
      </c>
      <c r="AS35" s="45">
        <f>R35*'Steel Calculations'!$B$15</f>
        <v>0</v>
      </c>
      <c r="AT35" s="45">
        <f>S35*'Steel Calculations'!$C$15</f>
        <v>0</v>
      </c>
      <c r="AU35" s="45">
        <f>T35*'Steel Calculations'!$D$15</f>
        <v>0</v>
      </c>
      <c r="AV35" s="45">
        <f>U35*'Steel Calculations'!$E$15</f>
        <v>0</v>
      </c>
      <c r="AW35" s="45">
        <f>S35*'Steel Calculations'!$F$15</f>
        <v>0</v>
      </c>
      <c r="AX35" s="45">
        <f>T35*'Steel Calculations'!$G$15</f>
        <v>0</v>
      </c>
      <c r="AY35" s="45">
        <f>U35*'Steel Calculations'!$H$15</f>
        <v>0</v>
      </c>
    </row>
    <row r="36" spans="1:52" ht="13.5" thickBot="1">
      <c r="A36" s="25" t="s">
        <v>207</v>
      </c>
      <c r="B36" s="26">
        <f>'MF-STEEL(KG)'!B35*O$1*B$1+(D$1+F$1)+'MACHINE RATE'!B8*O$1</f>
        <v>1251.0999999999999</v>
      </c>
      <c r="C36" s="27">
        <f>'MF-STEEL(KG)'!C35*O$1*B$1+(D$1+F$1)+'MACHINE RATE'!C8*O$1</f>
        <v>1606.32</v>
      </c>
      <c r="D36" s="27">
        <f>'MF-STEEL(KG)'!D35*O$1*B$1+(D$1+F$1)+'MACHINE RATE'!D8*O$1</f>
        <v>1697.3600000000001</v>
      </c>
      <c r="E36" s="27">
        <f>'MF-STEEL(KG)'!E35*O$1*B$1+(D$1+F$1)+'MACHINE RATE'!E8*O$1</f>
        <v>1801.72</v>
      </c>
      <c r="F36" s="28">
        <f>'MF-STEEL(KG)'!F35*O$1*B$1+(D$1+F$1)+'MACHINE RATE'!F8*O$1</f>
        <v>1901.64</v>
      </c>
      <c r="G36" s="26">
        <f>'MF-STEEL(KG)'!G35*O$1*B$1+(D$1+F$1)+'MACHINE RATE'!G8*O$1</f>
        <v>1296.075</v>
      </c>
      <c r="H36" s="27">
        <f>'MF-STEEL(KG)'!H35*O$1*B$1+(D$1+F$1)+'MACHINE RATE'!H8*O$1</f>
        <v>1656.28</v>
      </c>
      <c r="I36" s="27">
        <f>'MF-STEEL(KG)'!I35*O$1*B$1+(D$1+F$1)+'MACHINE RATE'!I8*O$1</f>
        <v>1757.32</v>
      </c>
      <c r="J36" s="27">
        <f>'MF-STEEL(KG)'!J35*O$1*B$1+(D$1+F$1)+'MACHINE RATE'!J8*O$1</f>
        <v>1871.68</v>
      </c>
      <c r="K36" s="28">
        <f>'MF-STEEL(KG)'!K35*O$1*B$1+(D$1+F$1)+'MACHINE RATE'!K8*O$1</f>
        <v>1790.48</v>
      </c>
      <c r="L36" s="29">
        <f>'MF-STEEL(KG)'!L35*O$1*B$1+(D$1+F$1)+'MACHINE RATE'!L8*O$1</f>
        <v>1288.25</v>
      </c>
      <c r="M36" s="27">
        <f>'MF-STEEL(KG)'!M35*O$1*B$1+(D$1+F$1)+'MACHINE RATE'!M8*O$1</f>
        <v>1691.76</v>
      </c>
      <c r="N36" s="27">
        <f>'MF-STEEL(KG)'!N35*O$1*B$1+(D$1+F$1)+'MACHINE RATE'!N8*O$1</f>
        <v>1887.8</v>
      </c>
      <c r="O36" s="27">
        <f>'MF-STEEL(KG)'!O35*O$1*B$1+(D$1+F$1)+'MACHINE RATE'!O8*O$1</f>
        <v>2001.6000000000001</v>
      </c>
      <c r="P36" s="30">
        <f>'MF-STEEL(KG)'!P35*O$1*B$1+(D$1+F$1)+'MACHINE RATE'!P8*O$1</f>
        <v>2110.4</v>
      </c>
      <c r="Q36" s="26">
        <f>'MF-STEEL(KG)'!O$1*B$1+(D$1+F$1)+'MACHINE RATE'!Q8*O$1</f>
        <v>600</v>
      </c>
      <c r="R36" s="27">
        <f>'MF-STEEL(KG)'!R35*O$1*B$1+(D$1+F$1)+'MACHINE RATE'!R8*O$1</f>
        <v>1871.72</v>
      </c>
      <c r="S36" s="27">
        <f>'MF-STEEL(KG)'!S35*O$1*B$1+(D$1+F$1)+'MACHINE RATE'!S8*O$1</f>
        <v>1972.7600000000002</v>
      </c>
      <c r="T36" s="27">
        <f>'MF-STEEL(KG)'!T35*O$1*B$1+(D$1+F$1)+'MACHINE RATE'!T8*O$1</f>
        <v>2091.5600000000004</v>
      </c>
      <c r="U36" s="28">
        <f>'MF-STEEL(KG)'!U35*O$1*B$1+(D$1+F$1)+'MACHINE RATE'!U8*O$1</f>
        <v>2219.2399999999998</v>
      </c>
      <c r="X36" s="45">
        <f>B36*'Steel Calculations'!B7</f>
        <v>0</v>
      </c>
      <c r="Y36" s="45">
        <f>C36*'Steel Calculations'!C7</f>
        <v>0</v>
      </c>
      <c r="Z36" s="45">
        <f>D36*'Steel Calculations'!D7</f>
        <v>0</v>
      </c>
      <c r="AA36" s="45">
        <f>E36*'Steel Calculations'!E7</f>
        <v>0</v>
      </c>
      <c r="AB36" s="45">
        <f>F36*'Steel Calculations'!F7</f>
        <v>0</v>
      </c>
      <c r="AC36" s="45">
        <f>G36*'Steel Calculations'!G7</f>
        <v>0</v>
      </c>
      <c r="AD36" s="45">
        <f>H36*'Steel Calculations'!H7</f>
        <v>0</v>
      </c>
      <c r="AE36" s="45">
        <f>I36*'Steel Calculations'!I7</f>
        <v>0</v>
      </c>
      <c r="AF36" s="45">
        <f>J36*'Steel Calculations'!J7</f>
        <v>0</v>
      </c>
      <c r="AG36" s="45">
        <f>K36*'Steel Calculations'!K7</f>
        <v>0</v>
      </c>
      <c r="AH36" s="45">
        <f>L36*'Steel Calculations'!L7</f>
        <v>0</v>
      </c>
      <c r="AI36" s="45">
        <f>M36*'Steel Calculations'!M7</f>
        <v>0</v>
      </c>
      <c r="AJ36" s="45">
        <f>N36*'Steel Calculations'!N7</f>
        <v>0</v>
      </c>
      <c r="AK36" s="45">
        <f>O36*'Steel Calculations'!O7</f>
        <v>0</v>
      </c>
      <c r="AL36" s="45">
        <f>P36*'Steel Calculations'!P7</f>
        <v>0</v>
      </c>
      <c r="AM36" s="45">
        <f>Q36*'Steel Calculations'!Q7</f>
        <v>0</v>
      </c>
      <c r="AN36" s="45">
        <f>R36*'Steel Calculations'!R7</f>
        <v>0</v>
      </c>
      <c r="AO36" s="45">
        <f>S36*'Steel Calculations'!S7</f>
        <v>0</v>
      </c>
      <c r="AP36" s="45">
        <f>T36*'Steel Calculations'!T7</f>
        <v>0</v>
      </c>
      <c r="AQ36" s="45">
        <f>U36*'Steel Calculations'!U7</f>
        <v>0</v>
      </c>
      <c r="AS36" s="45">
        <f>R36*'Steel Calculations'!$B$16</f>
        <v>0</v>
      </c>
      <c r="AT36" s="45">
        <f>S36*'Steel Calculations'!$C$16</f>
        <v>0</v>
      </c>
      <c r="AU36" s="45">
        <f>T36*'Steel Calculations'!$D$16</f>
        <v>0</v>
      </c>
      <c r="AV36" s="45">
        <f>U36*'Steel Calculations'!$E$16</f>
        <v>0</v>
      </c>
      <c r="AW36" s="45">
        <f>S36*'Steel Calculations'!$F$16</f>
        <v>0</v>
      </c>
      <c r="AX36" s="45">
        <f>T36*'Steel Calculations'!$G$16</f>
        <v>0</v>
      </c>
      <c r="AY36" s="45">
        <f>U36*'Steel Calculations'!$H$16</f>
        <v>0</v>
      </c>
    </row>
    <row r="37" spans="1:52">
      <c r="A37" s="31"/>
      <c r="B37" s="26"/>
      <c r="C37" s="27"/>
      <c r="D37" s="27"/>
      <c r="E37" s="27"/>
      <c r="F37" s="28"/>
      <c r="G37" s="26"/>
      <c r="H37" s="27"/>
      <c r="I37" s="27"/>
      <c r="J37" s="27"/>
      <c r="K37" s="28"/>
      <c r="L37" s="29"/>
      <c r="M37" s="27"/>
      <c r="N37" s="27"/>
      <c r="O37" s="27"/>
      <c r="P37" s="30"/>
      <c r="Q37" s="26"/>
      <c r="R37" s="27"/>
      <c r="S37" s="27"/>
      <c r="T37" s="27"/>
      <c r="U37" s="28"/>
      <c r="AR37" s="45">
        <f>SUM(X32:AQ36)-M$1*(20*B$1+'MACHINE RATE'!V8)</f>
        <v>4321.3999999999996</v>
      </c>
      <c r="AZ37" s="45">
        <f>SUM(AS32:AY36)</f>
        <v>0</v>
      </c>
    </row>
    <row r="38" spans="1:52" ht="15.75" thickBot="1">
      <c r="A38" s="533" t="s">
        <v>239</v>
      </c>
      <c r="B38" s="534"/>
      <c r="C38" s="534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1:52" ht="13.5" thickBot="1">
      <c r="A39" s="20" t="s">
        <v>0</v>
      </c>
      <c r="B39" s="529" t="s">
        <v>194</v>
      </c>
      <c r="C39" s="530"/>
      <c r="D39" s="530"/>
      <c r="E39" s="530"/>
      <c r="F39" s="531"/>
      <c r="G39" s="532" t="s">
        <v>195</v>
      </c>
      <c r="H39" s="530"/>
      <c r="I39" s="530"/>
      <c r="J39" s="530"/>
      <c r="K39" s="531"/>
      <c r="L39" s="532" t="s">
        <v>196</v>
      </c>
      <c r="M39" s="530"/>
      <c r="N39" s="530"/>
      <c r="O39" s="530"/>
      <c r="P39" s="531"/>
      <c r="Q39" s="532" t="s">
        <v>197</v>
      </c>
      <c r="R39" s="530"/>
      <c r="S39" s="530"/>
      <c r="T39" s="530"/>
      <c r="U39" s="531"/>
    </row>
    <row r="40" spans="1:52" ht="13.5" thickBot="1">
      <c r="A40" s="38"/>
      <c r="B40" s="26"/>
      <c r="C40" s="27"/>
      <c r="D40" s="27"/>
      <c r="E40" s="27"/>
      <c r="F40" s="28"/>
      <c r="G40" s="26"/>
      <c r="H40" s="27"/>
      <c r="I40" s="27"/>
      <c r="J40" s="27"/>
      <c r="K40" s="28"/>
      <c r="L40" s="29"/>
      <c r="M40" s="27"/>
      <c r="N40" s="27"/>
      <c r="O40" s="27"/>
      <c r="P40" s="30"/>
      <c r="Q40" s="26"/>
      <c r="R40" s="27"/>
      <c r="S40" s="27"/>
      <c r="T40" s="27"/>
      <c r="U40" s="28"/>
    </row>
    <row r="41" spans="1:52" ht="13.5" thickBot="1">
      <c r="A41" s="25" t="s">
        <v>203</v>
      </c>
      <c r="B41" s="26">
        <f>'MF-STEEL(KG)'!B40*O$1*B$1+(D$1+F$1)+'MACHINE RATE'!B13*O$1</f>
        <v>1087.72</v>
      </c>
      <c r="C41" s="27">
        <f>'MF-STEEL(KG)'!C40*O$1*B$1+(D$1+F$1)+'MACHINE RATE'!C13*O$1</f>
        <v>1398.6559999999999</v>
      </c>
      <c r="D41" s="27">
        <f>'MF-STEEL(KG)'!D40*O$1*B$1+(D$1+F$1)+'MACHINE RATE'!D13*O$1</f>
        <v>1505.3519999999999</v>
      </c>
      <c r="E41" s="27">
        <f>'MF-STEEL(KG)'!E40*O$1*B$1+(D$1+F$1)+'MACHINE RATE'!E13*O$1</f>
        <v>1612.048</v>
      </c>
      <c r="F41" s="28">
        <f>'MF-STEEL(KG)'!F40*O$1*B$1+(D$1+F$1)+'MACHINE RATE'!F13*O$1</f>
        <v>1718.7440000000001</v>
      </c>
      <c r="G41" s="26">
        <f>'MF-STEEL(KG)'!G40*O$1*B$1+(D$1+F$1)+'MACHINE RATE'!G13*O$1</f>
        <v>1126.8674999999998</v>
      </c>
      <c r="H41" s="27">
        <f>'MF-STEEL(KG)'!H40*O$1*B$1+(D$1+F$1)+'MACHINE RATE'!H13*O$1</f>
        <v>1454.2919999999999</v>
      </c>
      <c r="I41" s="27">
        <f>'MF-STEEL(KG)'!I40*O$1*B$1+(D$1+F$1)+'MACHINE RATE'!I13*O$1</f>
        <v>1565.9879999999998</v>
      </c>
      <c r="J41" s="27">
        <f>'MF-STEEL(KG)'!J40*O$1*B$1+(D$1+F$1)+'MACHINE RATE'!J13*O$1</f>
        <v>1692.79</v>
      </c>
      <c r="K41" s="28">
        <f>'MF-STEEL(KG)'!K40*O$1*B$1+(D$1+F$1)+'MACHINE RATE'!K13*O$1</f>
        <v>1819.5919999999999</v>
      </c>
      <c r="L41" s="29">
        <f>'MF-STEEL(KG)'!L40*O$1*B$1+(D$1+F$1)+'MACHINE RATE'!L13*O$1</f>
        <v>1213.35375</v>
      </c>
      <c r="M41" s="27">
        <f>'MF-STEEL(KG)'!M40*O$1*B$1+(D$1+F$1)+'MACHINE RATE'!M13*O$1</f>
        <v>1560.67</v>
      </c>
      <c r="N41" s="27">
        <f>'MF-STEEL(KG)'!N40*O$1*B$1+(D$1+F$1)+'MACHINE RATE'!N13*O$1</f>
        <v>1667.3659999999998</v>
      </c>
      <c r="O41" s="27">
        <f>'MF-STEEL(KG)'!O40*O$1*B$1+(D$1+F$1)+'MACHINE RATE'!O13*O$1</f>
        <v>1784.2739999999999</v>
      </c>
      <c r="P41" s="30">
        <f>'MF-STEEL(KG)'!P40*O$1*B$1+(D$1+F$1)+'MACHINE RATE'!P13*O$1</f>
        <v>1901.1819999999998</v>
      </c>
      <c r="Q41" s="26">
        <f>'MF-STEEL(KG)'!O$1*B$1+(D$1+F$1)+'MACHINE RATE'!Q13*O$1</f>
        <v>600</v>
      </c>
      <c r="R41" s="27">
        <f>'MF-STEEL(KG)'!R40*O$1*B$1+(D$1+F$1)+'MACHINE RATE'!R13*O$1</f>
        <v>1651.3059999999998</v>
      </c>
      <c r="S41" s="27">
        <f>'MF-STEEL(KG)'!S40*O$1*B$1+(D$1+F$1)+'MACHINE RATE'!S13*O$1</f>
        <v>1758.0019999999997</v>
      </c>
      <c r="T41" s="27">
        <f>'MF-STEEL(KG)'!T40*O$1*B$1+(D$1+F$1)+'MACHINE RATE'!T13*O$1</f>
        <v>1875.0159999999998</v>
      </c>
      <c r="U41" s="28">
        <f>'MF-STEEL(KG)'!U40*O$1*B$1+(D$1+F$1)+'MACHINE RATE'!U13*O$1</f>
        <v>1992.03</v>
      </c>
      <c r="X41" s="45">
        <f>B41*'Steel Calculations'!B3</f>
        <v>0</v>
      </c>
      <c r="Y41" s="45">
        <f>C41*'Steel Calculations'!C3</f>
        <v>0</v>
      </c>
      <c r="Z41" s="45">
        <f>D41*'Steel Calculations'!D3</f>
        <v>0</v>
      </c>
      <c r="AA41" s="45">
        <f>E41*'Steel Calculations'!E3</f>
        <v>0</v>
      </c>
      <c r="AB41" s="45">
        <f>F41*'Steel Calculations'!F3</f>
        <v>0</v>
      </c>
      <c r="AC41" s="45">
        <f>G41*'Steel Calculations'!G3</f>
        <v>0</v>
      </c>
      <c r="AD41" s="45">
        <f>H41*'Steel Calculations'!H3</f>
        <v>0</v>
      </c>
      <c r="AE41" s="45">
        <f>I41*'Steel Calculations'!I3</f>
        <v>0</v>
      </c>
      <c r="AF41" s="45">
        <f>J41*'Steel Calculations'!J3</f>
        <v>0</v>
      </c>
      <c r="AG41" s="45">
        <f>K41*'Steel Calculations'!K3</f>
        <v>0</v>
      </c>
      <c r="AH41" s="45">
        <f>L41*'Steel Calculations'!L3</f>
        <v>0</v>
      </c>
      <c r="AI41" s="45">
        <f>M41*'Steel Calculations'!M3</f>
        <v>0</v>
      </c>
      <c r="AJ41" s="45">
        <f>N41*'Steel Calculations'!N3</f>
        <v>0</v>
      </c>
      <c r="AK41" s="45">
        <f>O41*'Steel Calculations'!O3</f>
        <v>0</v>
      </c>
      <c r="AL41" s="45">
        <f>P41*'Steel Calculations'!P3</f>
        <v>0</v>
      </c>
      <c r="AM41" s="45">
        <f>Q41*'Steel Calculations'!Q3</f>
        <v>0</v>
      </c>
      <c r="AN41" s="45">
        <f>R41*'Steel Calculations'!R3</f>
        <v>0</v>
      </c>
      <c r="AO41" s="45">
        <f>S41*'Steel Calculations'!S3</f>
        <v>0</v>
      </c>
      <c r="AP41" s="45">
        <f>T41*'Steel Calculations'!T3</f>
        <v>0</v>
      </c>
      <c r="AQ41" s="45">
        <f>U41*'Steel Calculations'!U3</f>
        <v>0</v>
      </c>
      <c r="AS41" s="49"/>
      <c r="AT41" s="49"/>
      <c r="AU41" s="49"/>
      <c r="AV41" s="49"/>
      <c r="AW41" s="49"/>
      <c r="AX41" s="49"/>
      <c r="AY41" s="49"/>
    </row>
    <row r="42" spans="1:52" ht="13.5" thickBot="1">
      <c r="A42" s="25" t="s">
        <v>204</v>
      </c>
      <c r="B42" s="26">
        <f>'MF-STEEL(KG)'!B41*O$1*B$1+(D$1+F$1)+'MACHINE RATE'!B14*O$1</f>
        <v>1155.5887499999999</v>
      </c>
      <c r="C42" s="27">
        <f>'MF-STEEL(KG)'!C41*O$1*B$1+(D$1+F$1)+'MACHINE RATE'!C14*O$1</f>
        <v>1495.2460000000001</v>
      </c>
      <c r="D42" s="27">
        <f>'MF-STEEL(KG)'!D41*O$1*B$1+(D$1+F$1)+'MACHINE RATE'!D14*O$1</f>
        <v>1601.942</v>
      </c>
      <c r="E42" s="27">
        <f>'MF-STEEL(KG)'!E41*O$1*B$1+(D$1+F$1)+'MACHINE RATE'!E14*O$1</f>
        <v>1718.8500000000001</v>
      </c>
      <c r="F42" s="28">
        <f>'MF-STEEL(KG)'!F41*O$1*B$1+(D$1+F$1)+'MACHINE RATE'!F14*O$1</f>
        <v>1830.6519999999998</v>
      </c>
      <c r="G42" s="26">
        <f>'MF-STEEL(KG)'!G41*O$1*B$1+(D$1+F$1)+'MACHINE RATE'!G14*O$1</f>
        <v>1207.50125</v>
      </c>
      <c r="H42" s="27">
        <f>'MF-STEEL(KG)'!H41*O$1*B$1+(D$1+F$1)+'MACHINE RATE'!H14*O$1</f>
        <v>1571.3059999999998</v>
      </c>
      <c r="I42" s="27">
        <f>'MF-STEEL(KG)'!I41*O$1*B$1+(D$1+F$1)+'MACHINE RATE'!I14*O$1</f>
        <v>1683.0019999999997</v>
      </c>
      <c r="J42" s="27">
        <f>'MF-STEEL(KG)'!J41*O$1*B$1+(D$1+F$1)+'MACHINE RATE'!J14*O$1</f>
        <v>1804.6979999999999</v>
      </c>
      <c r="K42" s="28">
        <f>'MF-STEEL(KG)'!K41*O$1*B$1+(D$1+F$1)+'MACHINE RATE'!K14*O$1</f>
        <v>1936.6059999999998</v>
      </c>
      <c r="L42" s="29">
        <f>'MF-STEEL(KG)'!L41*O$1*B$1+(D$1+F$1)+'MACHINE RATE'!L14*O$1</f>
        <v>1293.9875</v>
      </c>
      <c r="M42" s="27">
        <f>'MF-STEEL(KG)'!M41*O$1*B$1+(D$1+F$1)+'MACHINE RATE'!M14*O$1</f>
        <v>1677.684</v>
      </c>
      <c r="N42" s="27">
        <f>'MF-STEEL(KG)'!N41*O$1*B$1+(D$1+F$1)+'MACHINE RATE'!N14*O$1</f>
        <v>1784.3799999999999</v>
      </c>
      <c r="O42" s="27">
        <f>'MF-STEEL(KG)'!O41*O$1*B$1+(D$1+F$1)+'MACHINE RATE'!O14*O$1</f>
        <v>1906.394</v>
      </c>
      <c r="P42" s="30">
        <f>'MF-STEEL(KG)'!P41*O$1*B$1+(D$1+F$1)+'MACHINE RATE'!P14*O$1</f>
        <v>2023.3019999999997</v>
      </c>
      <c r="Q42" s="26">
        <f>'MF-STEEL(KG)'!O$1*B$1+(D$1+F$1)+'MACHINE RATE'!Q14*O$1</f>
        <v>620</v>
      </c>
      <c r="R42" s="27">
        <f>'MF-STEEL(KG)'!R41*O$1*B$1+(D$1+F$1)+'MACHINE RATE'!R14*O$1</f>
        <v>1788.7440000000001</v>
      </c>
      <c r="S42" s="27">
        <f>'MF-STEEL(KG)'!S41*O$1*B$1+(D$1+F$1)+'MACHINE RATE'!S14*O$1</f>
        <v>1895.44</v>
      </c>
      <c r="T42" s="27">
        <f>'MF-STEEL(KG)'!T41*O$1*B$1+(D$1+F$1)+'MACHINE RATE'!T14*O$1</f>
        <v>2002.242</v>
      </c>
      <c r="U42" s="28">
        <f>'MF-STEEL(KG)'!U41*O$1*B$1+(D$1+F$1)+'MACHINE RATE'!U14*O$1</f>
        <v>2119.2559999999999</v>
      </c>
      <c r="X42" s="45">
        <f>B42*'Steel Calculations'!B4</f>
        <v>0</v>
      </c>
      <c r="Y42" s="45">
        <f>C42*'Steel Calculations'!C4</f>
        <v>0</v>
      </c>
      <c r="Z42" s="45">
        <f>D42*'Steel Calculations'!D4</f>
        <v>0</v>
      </c>
      <c r="AA42" s="45">
        <f>E42*'Steel Calculations'!E4</f>
        <v>0</v>
      </c>
      <c r="AB42" s="45">
        <f>F42*'Steel Calculations'!F4</f>
        <v>0</v>
      </c>
      <c r="AC42" s="45">
        <f>G42*'Steel Calculations'!G4</f>
        <v>0</v>
      </c>
      <c r="AD42" s="45">
        <f>H42*'Steel Calculations'!H4</f>
        <v>0</v>
      </c>
      <c r="AE42" s="45">
        <f>I42*'Steel Calculations'!I4</f>
        <v>0</v>
      </c>
      <c r="AF42" s="45">
        <f>J42*'Steel Calculations'!J4</f>
        <v>0</v>
      </c>
      <c r="AG42" s="45">
        <f>K42*'Steel Calculations'!K4</f>
        <v>0</v>
      </c>
      <c r="AH42" s="45">
        <f>L42*'Steel Calculations'!L4</f>
        <v>0</v>
      </c>
      <c r="AI42" s="45">
        <f>M42*'Steel Calculations'!M4</f>
        <v>0</v>
      </c>
      <c r="AJ42" s="45">
        <f>N42*'Steel Calculations'!N4</f>
        <v>0</v>
      </c>
      <c r="AK42" s="45">
        <f>O42*'Steel Calculations'!O4</f>
        <v>0</v>
      </c>
      <c r="AL42" s="45">
        <f>P42*'Steel Calculations'!P4</f>
        <v>0</v>
      </c>
      <c r="AM42" s="45">
        <f>Q42*'Steel Calculations'!Q4</f>
        <v>0</v>
      </c>
      <c r="AN42" s="45">
        <f>R42*'Steel Calculations'!R4</f>
        <v>0</v>
      </c>
      <c r="AO42" s="45">
        <f>S42*'Steel Calculations'!S4</f>
        <v>0</v>
      </c>
      <c r="AP42" s="45">
        <f>T42*'Steel Calculations'!T4</f>
        <v>0</v>
      </c>
      <c r="AQ42" s="45">
        <f>U42*'Steel Calculations'!U4</f>
        <v>0</v>
      </c>
      <c r="AS42" s="45">
        <f>R42*'Steel Calculations'!$B$13</f>
        <v>0</v>
      </c>
      <c r="AT42" s="45">
        <f>S42*'Steel Calculations'!$C$13</f>
        <v>0</v>
      </c>
      <c r="AU42" s="45">
        <f>T42*'Steel Calculations'!$D$13</f>
        <v>0</v>
      </c>
      <c r="AV42" s="45">
        <f>U42*'Steel Calculations'!$E$13</f>
        <v>0</v>
      </c>
      <c r="AW42" s="45">
        <f>S42*'Steel Calculations'!$F$13</f>
        <v>0</v>
      </c>
      <c r="AX42" s="45">
        <f>T42*'Steel Calculations'!$G$13</f>
        <v>0</v>
      </c>
      <c r="AY42" s="45">
        <f>U42*'Steel Calculations'!$H$13</f>
        <v>0</v>
      </c>
    </row>
    <row r="43" spans="1:52" ht="13.5" thickBot="1">
      <c r="A43" s="25" t="s">
        <v>205</v>
      </c>
      <c r="B43" s="26">
        <f>'MF-STEEL(KG)'!B42*O$1*B$1+(D$1+F$1)+'MACHINE RATE'!B15*O$1</f>
        <v>1242.605</v>
      </c>
      <c r="C43" s="27">
        <f>'MF-STEEL(KG)'!C42*O$1*B$1+(D$1+F$1)+'MACHINE RATE'!C15*O$1</f>
        <v>1622.4719999999998</v>
      </c>
      <c r="D43" s="27">
        <f>'MF-STEEL(KG)'!D42*O$1*B$1+(D$1+F$1)+'MACHINE RATE'!D15*O$1</f>
        <v>1729.1679999999999</v>
      </c>
      <c r="E43" s="27">
        <f>'MF-STEEL(KG)'!E42*O$1*B$1+(D$1+F$1)+'MACHINE RATE'!E15*O$1</f>
        <v>1851.1819999999998</v>
      </c>
      <c r="F43" s="28">
        <f>'MF-STEEL(KG)'!F42*O$1*B$1+(D$1+F$1)+'MACHINE RATE'!F15*O$1</f>
        <v>1968.09</v>
      </c>
      <c r="G43" s="26">
        <f>'MF-STEEL(KG)'!G42*O$1*B$1+(D$1+F$1)+'MACHINE RATE'!G15*O$1</f>
        <v>1291.3262500000001</v>
      </c>
      <c r="H43" s="27">
        <f>'MF-STEEL(KG)'!H42*O$1*B$1+(D$1+F$1)+'MACHINE RATE'!H15*O$1</f>
        <v>1693.4259999999999</v>
      </c>
      <c r="I43" s="27">
        <f>'MF-STEEL(KG)'!I42*O$1*B$1+(D$1+F$1)+'MACHINE RATE'!I15*O$1</f>
        <v>1805.1219999999998</v>
      </c>
      <c r="J43" s="27">
        <f>'MF-STEEL(KG)'!J42*O$1*B$1+(D$1+F$1)+'MACHINE RATE'!J15*O$1</f>
        <v>1942.136</v>
      </c>
      <c r="K43" s="28">
        <f>'MF-STEEL(KG)'!K42*O$1*B$1+(D$1+F$1)+'MACHINE RATE'!K15*O$1</f>
        <v>2084.2559999999999</v>
      </c>
      <c r="L43" s="29">
        <f>'MF-STEEL(KG)'!L42*O$1*B$1+(D$1+F$1)+'MACHINE RATE'!L15*O$1</f>
        <v>1390.5774999999999</v>
      </c>
      <c r="M43" s="27">
        <f>'MF-STEEL(KG)'!M42*O$1*B$1+(D$1+F$1)+'MACHINE RATE'!M15*O$1</f>
        <v>1820.2279999999998</v>
      </c>
      <c r="N43" s="27">
        <f>'MF-STEEL(KG)'!N42*O$1*B$1+(D$1+F$1)+'MACHINE RATE'!N15*O$1</f>
        <v>1926.924</v>
      </c>
      <c r="O43" s="27">
        <f>'MF-STEEL(KG)'!O42*O$1*B$1+(D$1+F$1)+'MACHINE RATE'!O15*O$1</f>
        <v>2054.0439999999999</v>
      </c>
      <c r="P43" s="30">
        <f>'MF-STEEL(KG)'!P42*O$1*B$1+(D$1+F$1)+'MACHINE RATE'!P15*O$1</f>
        <v>2181.1639999999998</v>
      </c>
      <c r="Q43" s="26">
        <f>'MF-STEEL(KG)'!O$1*B$1+(D$1+F$1)+'MACHINE RATE'!Q15*O$1</f>
        <v>640</v>
      </c>
      <c r="R43" s="27">
        <f>'MF-STEEL(KG)'!R42*O$1*B$1+(D$1+F$1)+'MACHINE RATE'!R15*O$1</f>
        <v>1926.1819999999998</v>
      </c>
      <c r="S43" s="27">
        <f>'MF-STEEL(KG)'!S42*O$1*B$1+(D$1+F$1)+'MACHINE RATE'!S15*O$1</f>
        <v>2032.8779999999999</v>
      </c>
      <c r="T43" s="27">
        <f>'MF-STEEL(KG)'!T42*O$1*B$1+(D$1+F$1)+'MACHINE RATE'!T15*O$1</f>
        <v>2154.9979999999996</v>
      </c>
      <c r="U43" s="28">
        <f>'MF-STEEL(KG)'!U42*O$1*B$1+(D$1+F$1)+'MACHINE RATE'!U15*O$1</f>
        <v>2287.33</v>
      </c>
      <c r="X43" s="45">
        <f>B43*'Steel Calculations'!B5</f>
        <v>0</v>
      </c>
      <c r="Y43" s="45">
        <f>C43*'Steel Calculations'!C5</f>
        <v>0</v>
      </c>
      <c r="Z43" s="45">
        <f>D43*'Steel Calculations'!D5</f>
        <v>0</v>
      </c>
      <c r="AA43" s="45">
        <f>E43*'Steel Calculations'!E5</f>
        <v>0</v>
      </c>
      <c r="AB43" s="45">
        <f>F43*'Steel Calculations'!F5</f>
        <v>0</v>
      </c>
      <c r="AC43" s="45">
        <f>G43*'Steel Calculations'!G5</f>
        <v>0</v>
      </c>
      <c r="AD43" s="45">
        <f>H43*'Steel Calculations'!H5</f>
        <v>0</v>
      </c>
      <c r="AE43" s="45">
        <f>I43*'Steel Calculations'!I5</f>
        <v>3610.2439999999997</v>
      </c>
      <c r="AF43" s="45">
        <f>J43*'Steel Calculations'!J5</f>
        <v>1942.136</v>
      </c>
      <c r="AG43" s="45">
        <f>K43*'Steel Calculations'!K5</f>
        <v>0</v>
      </c>
      <c r="AH43" s="45">
        <f>L43*'Steel Calculations'!L5</f>
        <v>0</v>
      </c>
      <c r="AI43" s="45">
        <f>M43*'Steel Calculations'!M5</f>
        <v>0</v>
      </c>
      <c r="AJ43" s="45">
        <f>N43*'Steel Calculations'!N5</f>
        <v>0</v>
      </c>
      <c r="AK43" s="45">
        <f>O43*'Steel Calculations'!O5</f>
        <v>0</v>
      </c>
      <c r="AL43" s="45">
        <f>P43*'Steel Calculations'!P5</f>
        <v>0</v>
      </c>
      <c r="AM43" s="45">
        <f>Q43*'Steel Calculations'!Q5</f>
        <v>0</v>
      </c>
      <c r="AN43" s="45">
        <f>R43*'Steel Calculations'!R5</f>
        <v>0</v>
      </c>
      <c r="AO43" s="45">
        <f>S43*'Steel Calculations'!S5</f>
        <v>0</v>
      </c>
      <c r="AP43" s="45">
        <f>T43*'Steel Calculations'!T5</f>
        <v>0</v>
      </c>
      <c r="AQ43" s="45">
        <f>U43*'Steel Calculations'!U5</f>
        <v>0</v>
      </c>
      <c r="AS43" s="45">
        <f>R43*'Steel Calculations'!$B$14</f>
        <v>0</v>
      </c>
      <c r="AT43" s="45">
        <f>S43*'Steel Calculations'!$C$14</f>
        <v>0</v>
      </c>
      <c r="AU43" s="45">
        <f>T43*'Steel Calculations'!$D$14</f>
        <v>0</v>
      </c>
      <c r="AV43" s="45">
        <f>U43*'Steel Calculations'!$E$14</f>
        <v>0</v>
      </c>
      <c r="AW43" s="45">
        <f>S43*'Steel Calculations'!$F$14</f>
        <v>0</v>
      </c>
      <c r="AX43" s="45">
        <f>T43*'Steel Calculations'!$G$14</f>
        <v>0</v>
      </c>
      <c r="AY43" s="45">
        <f>U43*'Steel Calculations'!$H$14</f>
        <v>0</v>
      </c>
    </row>
    <row r="44" spans="1:52" ht="13.5" thickBot="1">
      <c r="A44" s="25" t="s">
        <v>206</v>
      </c>
      <c r="B44" s="26">
        <f>'MF-STEEL(KG)'!B43*O$1*B$1+(D$1+F$1)+'MACHINE RATE'!B16*O$1</f>
        <v>1313.665</v>
      </c>
      <c r="C44" s="27">
        <f>'MF-STEEL(KG)'!C43*O$1*B$1+(D$1+F$1)+'MACHINE RATE'!C16*O$1</f>
        <v>1724.1679999999999</v>
      </c>
      <c r="D44" s="27">
        <f>'MF-STEEL(KG)'!D43*O$1*B$1+(D$1+F$1)+'MACHINE RATE'!D16*O$1</f>
        <v>1830.864</v>
      </c>
      <c r="E44" s="27">
        <f>'MF-STEEL(KG)'!E43*O$1*B$1+(D$1+F$1)+'MACHINE RATE'!E16*O$1</f>
        <v>1952.8779999999999</v>
      </c>
      <c r="F44" s="28">
        <f>'MF-STEEL(KG)'!F43*O$1*B$1+(D$1+F$1)+'MACHINE RATE'!F16*O$1</f>
        <v>2069.7860000000001</v>
      </c>
      <c r="G44" s="26">
        <f>'MF-STEEL(KG)'!G43*O$1*B$1+(D$1+F$1)+'MACHINE RATE'!G16*O$1</f>
        <v>1362.38625</v>
      </c>
      <c r="H44" s="27">
        <f>'MF-STEEL(KG)'!H43*O$1*B$1+(D$1+F$1)+'MACHINE RATE'!H16*O$1</f>
        <v>1795.1219999999998</v>
      </c>
      <c r="I44" s="27">
        <f>'MF-STEEL(KG)'!I43*O$1*B$1+(D$1+F$1)+'MACHINE RATE'!I16*O$1</f>
        <v>1906.8179999999998</v>
      </c>
      <c r="J44" s="27">
        <f>'MF-STEEL(KG)'!J43*O$1*B$1+(D$1+F$1)+'MACHINE RATE'!J16*O$1</f>
        <v>2043.8319999999999</v>
      </c>
      <c r="K44" s="28">
        <f>'MF-STEEL(KG)'!K43*O$1*B$1+(D$1+F$1)+'MACHINE RATE'!K16*O$1</f>
        <v>2185.9519999999998</v>
      </c>
      <c r="L44" s="29">
        <f>'MF-STEEL(KG)'!L43*O$1*B$1+(D$1+F$1)+'MACHINE RATE'!L16*O$1</f>
        <v>1461.6374999999998</v>
      </c>
      <c r="M44" s="27">
        <f>'MF-STEEL(KG)'!M43*O$1*B$1+(D$1+F$1)+'MACHINE RATE'!M16*O$1</f>
        <v>1921.924</v>
      </c>
      <c r="N44" s="27">
        <f>'MF-STEEL(KG)'!N43*O$1*B$1+(D$1+F$1)+'MACHINE RATE'!N16*O$1</f>
        <v>2028.62</v>
      </c>
      <c r="O44" s="27">
        <f>'MF-STEEL(KG)'!O43*O$1*B$1+(D$1+F$1)+'MACHINE RATE'!O16*O$1</f>
        <v>2155.7399999999998</v>
      </c>
      <c r="P44" s="30">
        <f>'MF-STEEL(KG)'!P43*O$1*B$1+(D$1+F$1)+'MACHINE RATE'!P16*O$1</f>
        <v>2282.8599999999997</v>
      </c>
      <c r="Q44" s="26">
        <f>'MF-STEEL(KG)'!O$1*B$1+(D$1+F$1)+'MACHINE RATE'!Q16*O$1</f>
        <v>660</v>
      </c>
      <c r="R44" s="27">
        <f>'MF-STEEL(KG)'!R43*O$1*B$1+(D$1+F$1)+'MACHINE RATE'!R16*O$1</f>
        <v>2027.8779999999999</v>
      </c>
      <c r="S44" s="27">
        <f>'MF-STEEL(KG)'!S43*O$1*B$1+(D$1+F$1)+'MACHINE RATE'!S16*O$1</f>
        <v>2134.5740000000001</v>
      </c>
      <c r="T44" s="27">
        <f>'MF-STEEL(KG)'!T43*O$1*B$1+(D$1+F$1)+'MACHINE RATE'!T16*O$1</f>
        <v>2256.6940000000004</v>
      </c>
      <c r="U44" s="28">
        <f>'MF-STEEL(KG)'!U43*O$1*B$1+(D$1+F$1)+'MACHINE RATE'!U16*O$1</f>
        <v>2389.0259999999998</v>
      </c>
      <c r="X44" s="45">
        <f>B44*'Steel Calculations'!B6</f>
        <v>0</v>
      </c>
      <c r="Y44" s="45">
        <f>C44*'Steel Calculations'!C6</f>
        <v>0</v>
      </c>
      <c r="Z44" s="45">
        <f>D44*'Steel Calculations'!D6</f>
        <v>0</v>
      </c>
      <c r="AA44" s="45">
        <f>E44*'Steel Calculations'!E6</f>
        <v>0</v>
      </c>
      <c r="AB44" s="45">
        <f>F44*'Steel Calculations'!F6</f>
        <v>0</v>
      </c>
      <c r="AC44" s="45">
        <f>G44*'Steel Calculations'!G6</f>
        <v>0</v>
      </c>
      <c r="AD44" s="45">
        <f>H44*'Steel Calculations'!H6</f>
        <v>0</v>
      </c>
      <c r="AE44" s="45">
        <f>I44*'Steel Calculations'!I6</f>
        <v>0</v>
      </c>
      <c r="AF44" s="45">
        <f>J44*'Steel Calculations'!J6</f>
        <v>0</v>
      </c>
      <c r="AG44" s="45">
        <f>K44*'Steel Calculations'!K6</f>
        <v>0</v>
      </c>
      <c r="AH44" s="45">
        <f>L44*'Steel Calculations'!L6</f>
        <v>0</v>
      </c>
      <c r="AI44" s="45">
        <f>M44*'Steel Calculations'!M6</f>
        <v>0</v>
      </c>
      <c r="AJ44" s="45">
        <f>N44*'Steel Calculations'!N6</f>
        <v>0</v>
      </c>
      <c r="AK44" s="45">
        <f>O44*'Steel Calculations'!O6</f>
        <v>0</v>
      </c>
      <c r="AL44" s="45">
        <f>P44*'Steel Calculations'!P6</f>
        <v>0</v>
      </c>
      <c r="AM44" s="45">
        <f>Q44*'Steel Calculations'!Q6</f>
        <v>0</v>
      </c>
      <c r="AN44" s="45">
        <f>R44*'Steel Calculations'!R6</f>
        <v>0</v>
      </c>
      <c r="AO44" s="45">
        <f>S44*'Steel Calculations'!S6</f>
        <v>0</v>
      </c>
      <c r="AP44" s="45">
        <f>T44*'Steel Calculations'!T6</f>
        <v>0</v>
      </c>
      <c r="AQ44" s="45">
        <f>U44*'Steel Calculations'!U6</f>
        <v>0</v>
      </c>
      <c r="AS44" s="45">
        <f>R44*'Steel Calculations'!$B$15</f>
        <v>0</v>
      </c>
      <c r="AT44" s="45">
        <f>S44*'Steel Calculations'!$C$15</f>
        <v>0</v>
      </c>
      <c r="AU44" s="45">
        <f>T44*'Steel Calculations'!$D$15</f>
        <v>0</v>
      </c>
      <c r="AV44" s="45">
        <f>U44*'Steel Calculations'!$E$15</f>
        <v>0</v>
      </c>
      <c r="AW44" s="45">
        <f>S44*'Steel Calculations'!$F$15</f>
        <v>0</v>
      </c>
      <c r="AX44" s="45">
        <f>T44*'Steel Calculations'!$G$15</f>
        <v>0</v>
      </c>
      <c r="AY44" s="45">
        <f>U44*'Steel Calculations'!$H$15</f>
        <v>0</v>
      </c>
    </row>
    <row r="45" spans="1:52" ht="13.5" thickBot="1">
      <c r="A45" s="25" t="s">
        <v>207</v>
      </c>
      <c r="B45" s="26">
        <f>'MF-STEEL(KG)'!B44*O$1*B$1+(D$1+F$1)+'MACHINE RATE'!B17*O$1</f>
        <v>1418.7649999999999</v>
      </c>
      <c r="C45" s="27">
        <f>'MF-STEEL(KG)'!C44*O$1*B$1+(D$1+F$1)+'MACHINE RATE'!C17*O$1</f>
        <v>1829.2679999999998</v>
      </c>
      <c r="D45" s="27">
        <f>'MF-STEEL(KG)'!D44*O$1*B$1+(D$1+F$1)+'MACHINE RATE'!D17*O$1</f>
        <v>1935.9639999999999</v>
      </c>
      <c r="E45" s="27">
        <f>'MF-STEEL(KG)'!E44*O$1*B$1+(D$1+F$1)+'MACHINE RATE'!E17*O$1</f>
        <v>2057.9780000000001</v>
      </c>
      <c r="F45" s="28">
        <f>'MF-STEEL(KG)'!F44*O$1*B$1+(D$1+F$1)+'MACHINE RATE'!F17*O$1</f>
        <v>2174.886</v>
      </c>
      <c r="G45" s="26">
        <f>'MF-STEEL(KG)'!G44*O$1*B$1+(D$1+F$1)+'MACHINE RATE'!G17*O$1</f>
        <v>1467.4862499999999</v>
      </c>
      <c r="H45" s="27">
        <f>'MF-STEEL(KG)'!H44*O$1*B$1+(D$1+F$1)+'MACHINE RATE'!H17*O$1</f>
        <v>1900.2219999999998</v>
      </c>
      <c r="I45" s="27">
        <f>'MF-STEEL(KG)'!I44*O$1*B$1+(D$1+F$1)+'MACHINE RATE'!I17*O$1</f>
        <v>2011.9179999999999</v>
      </c>
      <c r="J45" s="27">
        <f>'MF-STEEL(KG)'!J44*O$1*B$1+(D$1+F$1)+'MACHINE RATE'!J17*O$1</f>
        <v>2148.9319999999998</v>
      </c>
      <c r="K45" s="28">
        <f>'MF-STEEL(KG)'!K44*O$1*B$1+(D$1+F$1)+'MACHINE RATE'!K17*O$1</f>
        <v>2291.0519999999997</v>
      </c>
      <c r="L45" s="29">
        <f>'MF-STEEL(KG)'!L44*O$1*B$1+(D$1+F$1)+'MACHINE RATE'!L17*O$1</f>
        <v>1566.7375</v>
      </c>
      <c r="M45" s="27">
        <f>'MF-STEEL(KG)'!M44*O$1*B$1+(D$1+F$1)+'MACHINE RATE'!M17*O$1</f>
        <v>2027.0239999999999</v>
      </c>
      <c r="N45" s="27">
        <f>'MF-STEEL(KG)'!N44*O$1*B$1+(D$1+F$1)+'MACHINE RATE'!N17*O$1</f>
        <v>2133.7200000000003</v>
      </c>
      <c r="O45" s="27">
        <f>'MF-STEEL(KG)'!O44*O$1*B$1+(D$1+F$1)+'MACHINE RATE'!O17*O$1</f>
        <v>2260.84</v>
      </c>
      <c r="P45" s="30">
        <f>'MF-STEEL(KG)'!P44*O$1*B$1+(D$1+F$1)+'MACHINE RATE'!P17*O$1</f>
        <v>2387.96</v>
      </c>
      <c r="Q45" s="26">
        <f>'MF-STEEL(KG)'!O$1*B$1+(D$1+F$1)+'MACHINE RATE'!Q17*O$1</f>
        <v>680</v>
      </c>
      <c r="R45" s="27">
        <f>'MF-STEEL(KG)'!R44*O$1*B$1+(D$1+F$1)+'MACHINE RATE'!R17*O$1</f>
        <v>2132.9780000000001</v>
      </c>
      <c r="S45" s="27">
        <f>'MF-STEEL(KG)'!S44*O$1*B$1+(D$1+F$1)+'MACHINE RATE'!S17*O$1</f>
        <v>2239.674</v>
      </c>
      <c r="T45" s="27">
        <f>'MF-STEEL(KG)'!T44*O$1*B$1+(D$1+F$1)+'MACHINE RATE'!T17*O$1</f>
        <v>2361.7939999999999</v>
      </c>
      <c r="U45" s="28">
        <f>'MF-STEEL(KG)'!U44*O$1*B$1+(D$1+F$1)+'MACHINE RATE'!U17*O$1</f>
        <v>2494.1260000000002</v>
      </c>
      <c r="X45" s="45">
        <f>B45*'Steel Calculations'!B7</f>
        <v>0</v>
      </c>
      <c r="Y45" s="45">
        <f>C45*'Steel Calculations'!C7</f>
        <v>0</v>
      </c>
      <c r="Z45" s="45">
        <f>D45*'Steel Calculations'!D7</f>
        <v>0</v>
      </c>
      <c r="AA45" s="45">
        <f>E45*'Steel Calculations'!E7</f>
        <v>0</v>
      </c>
      <c r="AB45" s="45">
        <f>F45*'Steel Calculations'!F7</f>
        <v>0</v>
      </c>
      <c r="AC45" s="45">
        <f>G45*'Steel Calculations'!G7</f>
        <v>0</v>
      </c>
      <c r="AD45" s="45">
        <f>H45*'Steel Calculations'!H7</f>
        <v>0</v>
      </c>
      <c r="AE45" s="45">
        <f>I45*'Steel Calculations'!I7</f>
        <v>0</v>
      </c>
      <c r="AF45" s="45">
        <f>J45*'Steel Calculations'!J7</f>
        <v>0</v>
      </c>
      <c r="AG45" s="45">
        <f>K45*'Steel Calculations'!K7</f>
        <v>0</v>
      </c>
      <c r="AH45" s="45">
        <f>L45*'Steel Calculations'!L7</f>
        <v>0</v>
      </c>
      <c r="AI45" s="45">
        <f>M45*'Steel Calculations'!M7</f>
        <v>0</v>
      </c>
      <c r="AJ45" s="45">
        <f>N45*'Steel Calculations'!N7</f>
        <v>0</v>
      </c>
      <c r="AK45" s="45">
        <f>O45*'Steel Calculations'!O7</f>
        <v>0</v>
      </c>
      <c r="AL45" s="45">
        <f>P45*'Steel Calculations'!P7</f>
        <v>0</v>
      </c>
      <c r="AM45" s="45">
        <f>Q45*'Steel Calculations'!Q7</f>
        <v>0</v>
      </c>
      <c r="AN45" s="45">
        <f>R45*'Steel Calculations'!R7</f>
        <v>0</v>
      </c>
      <c r="AO45" s="45">
        <f>S45*'Steel Calculations'!S7</f>
        <v>0</v>
      </c>
      <c r="AP45" s="45">
        <f>T45*'Steel Calculations'!T7</f>
        <v>0</v>
      </c>
      <c r="AQ45" s="45">
        <f>U45*'Steel Calculations'!U7</f>
        <v>0</v>
      </c>
      <c r="AS45" s="45">
        <f>R45*'Steel Calculations'!$B$16</f>
        <v>0</v>
      </c>
      <c r="AT45" s="45">
        <f>S45*'Steel Calculations'!$C$16</f>
        <v>0</v>
      </c>
      <c r="AU45" s="45">
        <f>T45*'Steel Calculations'!$D$16</f>
        <v>0</v>
      </c>
      <c r="AV45" s="45">
        <f>U45*'Steel Calculations'!$E$16</f>
        <v>0</v>
      </c>
      <c r="AW45" s="45">
        <f>S45*'Steel Calculations'!$F$16</f>
        <v>0</v>
      </c>
      <c r="AX45" s="45">
        <f>T45*'Steel Calculations'!$G$16</f>
        <v>0</v>
      </c>
      <c r="AY45" s="45">
        <f>U45*'Steel Calculations'!$H$16</f>
        <v>0</v>
      </c>
    </row>
    <row r="46" spans="1:52">
      <c r="A46" s="31"/>
      <c r="B46" s="26"/>
      <c r="C46" s="27"/>
      <c r="D46" s="27"/>
      <c r="E46" s="27"/>
      <c r="F46" s="28"/>
      <c r="G46" s="26"/>
      <c r="H46" s="27"/>
      <c r="I46" s="27"/>
      <c r="J46" s="27"/>
      <c r="K46" s="28"/>
      <c r="L46" s="29"/>
      <c r="M46" s="27"/>
      <c r="N46" s="27"/>
      <c r="O46" s="27"/>
      <c r="P46" s="30"/>
      <c r="Q46" s="26"/>
      <c r="R46" s="27"/>
      <c r="S46" s="27"/>
      <c r="T46" s="27"/>
      <c r="U46" s="28"/>
      <c r="AR46" s="45">
        <f>SUM(X41:AQ45)-M$1*(20*B$1+'MACHINE RATE'!V17)</f>
        <v>5008.079999999999</v>
      </c>
      <c r="AZ46" s="45">
        <f>SUM(AS41:AY45)</f>
        <v>0</v>
      </c>
    </row>
    <row r="47" spans="1:52" ht="15.75" customHeight="1" thickBot="1">
      <c r="A47" s="533" t="s">
        <v>240</v>
      </c>
      <c r="B47" s="534"/>
      <c r="C47" s="534"/>
      <c r="D47" s="534"/>
      <c r="E47" s="534"/>
      <c r="F47" s="534"/>
      <c r="G47" s="534"/>
      <c r="H47" s="534"/>
      <c r="I47" s="534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</row>
    <row r="48" spans="1:52" ht="13.5" thickBot="1">
      <c r="A48" s="20" t="s">
        <v>0</v>
      </c>
      <c r="B48" s="529" t="s">
        <v>194</v>
      </c>
      <c r="C48" s="530"/>
      <c r="D48" s="530"/>
      <c r="E48" s="530"/>
      <c r="F48" s="531"/>
      <c r="G48" s="532" t="s">
        <v>195</v>
      </c>
      <c r="H48" s="530"/>
      <c r="I48" s="530"/>
      <c r="J48" s="530"/>
      <c r="K48" s="531"/>
      <c r="L48" s="532" t="s">
        <v>196</v>
      </c>
      <c r="M48" s="530"/>
      <c r="N48" s="530"/>
      <c r="O48" s="530"/>
      <c r="P48" s="531"/>
      <c r="Q48" s="532" t="s">
        <v>197</v>
      </c>
      <c r="R48" s="530"/>
      <c r="S48" s="530"/>
      <c r="T48" s="530"/>
      <c r="U48" s="531"/>
    </row>
    <row r="49" spans="1:52" ht="13.5" thickBot="1">
      <c r="A49" s="38"/>
      <c r="B49" s="26"/>
      <c r="C49" s="27"/>
      <c r="D49" s="27"/>
      <c r="E49" s="27"/>
      <c r="F49" s="28"/>
      <c r="G49" s="26"/>
      <c r="H49" s="27"/>
      <c r="I49" s="27"/>
      <c r="J49" s="27"/>
      <c r="K49" s="28"/>
      <c r="L49" s="29"/>
      <c r="M49" s="27"/>
      <c r="N49" s="27"/>
      <c r="O49" s="27"/>
      <c r="P49" s="30"/>
      <c r="Q49" s="26"/>
      <c r="R49" s="27"/>
      <c r="S49" s="27"/>
      <c r="T49" s="27"/>
      <c r="U49" s="28"/>
    </row>
    <row r="50" spans="1:52" ht="13.5" thickBot="1">
      <c r="A50" s="25" t="s">
        <v>203</v>
      </c>
      <c r="B50" s="26">
        <f>'MF-STEEL(KG)'!B49*O$1*B$1+(D$1+F$1)+'MACHINE RATE'!B21*O$1</f>
        <v>1089.3600000000001</v>
      </c>
      <c r="C50" s="27">
        <f>'MF-STEEL(KG)'!C49*O$1*B$1+(D$1+F$1)+'MACHINE RATE'!C21*O$1</f>
        <v>1412.7280000000001</v>
      </c>
      <c r="D50" s="27">
        <f>'MF-STEEL(KG)'!D49*O$1*B$1+(D$1+F$1)+'MACHINE RATE'!D21*O$1</f>
        <v>1522.9759999999999</v>
      </c>
      <c r="E50" s="27">
        <f>'MF-STEEL(KG)'!E49*O$1*B$1+(D$1+F$1)+'MACHINE RATE'!E21*O$1</f>
        <v>1633.2239999999999</v>
      </c>
      <c r="F50" s="28">
        <f>'MF-STEEL(KG)'!F49*O$1*B$1+(D$1+F$1)+'MACHINE RATE'!F21*O$1</f>
        <v>1743.472</v>
      </c>
      <c r="G50" s="26">
        <f>'MF-STEEL(KG)'!G49*O$1*B$1+(D$1+F$1)+'MACHINE RATE'!G21*O$1</f>
        <v>1129.3400000000001</v>
      </c>
      <c r="H50" s="27">
        <f>'MF-STEEL(KG)'!H49*O$1*B$1+(D$1+F$1)+'MACHINE RATE'!H21*O$1</f>
        <v>1469.6959999999999</v>
      </c>
      <c r="I50" s="27">
        <f>'MF-STEEL(KG)'!I49*O$1*B$1+(D$1+F$1)+'MACHINE RATE'!I21*O$1</f>
        <v>1584.944</v>
      </c>
      <c r="J50" s="27">
        <f>'MF-STEEL(KG)'!J49*O$1*B$1+(D$1+F$1)+'MACHINE RATE'!J21*O$1</f>
        <v>1715.52</v>
      </c>
      <c r="K50" s="28">
        <f>'MF-STEEL(KG)'!K49*O$1*B$1+(D$1+F$1)+'MACHINE RATE'!K21*O$1</f>
        <v>1846.096</v>
      </c>
      <c r="L50" s="29">
        <f>'MF-STEEL(KG)'!L49*O$1*B$1+(D$1+F$1)+'MACHINE RATE'!L21*O$1</f>
        <v>1217.6300000000001</v>
      </c>
      <c r="M50" s="27">
        <f>'MF-STEEL(KG)'!M49*O$1*B$1+(D$1+F$1)+'MACHINE RATE'!M21*O$1</f>
        <v>1578.96</v>
      </c>
      <c r="N50" s="27">
        <f>'MF-STEEL(KG)'!N49*O$1*B$1+(D$1+F$1)+'MACHINE RATE'!N21*O$1</f>
        <v>1689.2079999999999</v>
      </c>
      <c r="O50" s="27">
        <f>'MF-STEEL(KG)'!O49*O$1*B$1+(D$1+F$1)+'MACHINE RATE'!O21*O$1</f>
        <v>1810.1120000000001</v>
      </c>
      <c r="P50" s="30">
        <f>'MF-STEEL(KG)'!P49*O$1*B$1+(D$1+F$1)+'MACHINE RATE'!P21*O$1</f>
        <v>1931.0159999999998</v>
      </c>
      <c r="Q50" s="26">
        <f>'MF-STEEL(KG)'!O$1*B$1+(D$1+F$1)+'MACHINE RATE'!Q21*O$1</f>
        <v>575</v>
      </c>
      <c r="R50" s="27">
        <f>'MF-STEEL(KG)'!R49*O$1*B$1+(D$1+F$1)+'MACHINE RATE'!R21*O$1</f>
        <v>1670.9280000000001</v>
      </c>
      <c r="S50" s="27">
        <f>'MF-STEEL(KG)'!S49*O$1*B$1+(D$1+F$1)+'MACHINE RATE'!S21*O$1</f>
        <v>1781.1759999999999</v>
      </c>
      <c r="T50" s="27">
        <f>'MF-STEEL(KG)'!T49*O$1*B$1+(D$1+F$1)+'MACHINE RATE'!T21*O$1</f>
        <v>1902.4079999999999</v>
      </c>
      <c r="U50" s="28">
        <f>'MF-STEEL(KG)'!U49*O$1*B$1+(D$1+F$1)+'MACHINE RATE'!U21*O$1</f>
        <v>2023.64</v>
      </c>
      <c r="X50" s="45">
        <f>B50*'Steel Calculations'!B3</f>
        <v>0</v>
      </c>
      <c r="Y50" s="45">
        <f>C50*'Steel Calculations'!C3</f>
        <v>0</v>
      </c>
      <c r="Z50" s="45">
        <f>D50*'Steel Calculations'!D3</f>
        <v>0</v>
      </c>
      <c r="AA50" s="45">
        <f>E50*'Steel Calculations'!E3</f>
        <v>0</v>
      </c>
      <c r="AB50" s="45">
        <f>F50*'Steel Calculations'!F3</f>
        <v>0</v>
      </c>
      <c r="AC50" s="45">
        <f>G50*'Steel Calculations'!G3</f>
        <v>0</v>
      </c>
      <c r="AD50" s="45">
        <f>H50*'Steel Calculations'!H3</f>
        <v>0</v>
      </c>
      <c r="AE50" s="45">
        <f>I50*'Steel Calculations'!I3</f>
        <v>0</v>
      </c>
      <c r="AF50" s="45">
        <f>J50*'Steel Calculations'!J3</f>
        <v>0</v>
      </c>
      <c r="AG50" s="45">
        <f>K50*'Steel Calculations'!K3</f>
        <v>0</v>
      </c>
      <c r="AH50" s="45">
        <f>L50*'Steel Calculations'!L3</f>
        <v>0</v>
      </c>
      <c r="AI50" s="45">
        <f>M50*'Steel Calculations'!M3</f>
        <v>0</v>
      </c>
      <c r="AJ50" s="45">
        <f>N50*'Steel Calculations'!N3</f>
        <v>0</v>
      </c>
      <c r="AK50" s="45">
        <f>O50*'Steel Calculations'!O3</f>
        <v>0</v>
      </c>
      <c r="AL50" s="45">
        <f>P50*'Steel Calculations'!P3</f>
        <v>0</v>
      </c>
      <c r="AM50" s="45">
        <f>Q50*'Steel Calculations'!Q3</f>
        <v>0</v>
      </c>
      <c r="AN50" s="45">
        <f>R50*'Steel Calculations'!R3</f>
        <v>0</v>
      </c>
      <c r="AO50" s="45">
        <f>S50*'Steel Calculations'!S3</f>
        <v>0</v>
      </c>
      <c r="AP50" s="45">
        <f>T50*'Steel Calculations'!T3</f>
        <v>0</v>
      </c>
      <c r="AQ50" s="45">
        <f>U50*'Steel Calculations'!U3</f>
        <v>0</v>
      </c>
      <c r="AS50" s="49"/>
      <c r="AT50" s="49"/>
      <c r="AU50" s="49"/>
      <c r="AV50" s="49"/>
      <c r="AW50" s="49"/>
      <c r="AX50" s="49"/>
      <c r="AY50" s="49"/>
    </row>
    <row r="51" spans="1:52" ht="13.5" thickBot="1">
      <c r="A51" s="25" t="s">
        <v>204</v>
      </c>
      <c r="B51" s="26">
        <f>'MF-STEEL(KG)'!B50*O$1*B$1+(D$1+F$1)+'MACHINE RATE'!B22*O$1</f>
        <v>1159.31</v>
      </c>
      <c r="C51" s="27">
        <f>'MF-STEEL(KG)'!C50*O$1*B$1+(D$1+F$1)+'MACHINE RATE'!C22*O$1</f>
        <v>1512.6479999999999</v>
      </c>
      <c r="D51" s="27">
        <f>'MF-STEEL(KG)'!D50*O$1*B$1+(D$1+F$1)+'MACHINE RATE'!D22*O$1</f>
        <v>1622.896</v>
      </c>
      <c r="E51" s="27">
        <f>'MF-STEEL(KG)'!E50*O$1*B$1+(D$1+F$1)+'MACHINE RATE'!E22*O$1</f>
        <v>1743.8</v>
      </c>
      <c r="F51" s="28">
        <f>'MF-STEEL(KG)'!F50*O$1*B$1+(D$1+F$1)+'MACHINE RATE'!F22*O$1</f>
        <v>1859.376</v>
      </c>
      <c r="G51" s="26">
        <f>'MF-STEEL(KG)'!G50*O$1*B$1+(D$1+F$1)+'MACHINE RATE'!G22*O$1</f>
        <v>1212.6100000000001</v>
      </c>
      <c r="H51" s="27">
        <f>'MF-STEEL(KG)'!H50*O$1*B$1+(D$1+F$1)+'MACHINE RATE'!H22*O$1</f>
        <v>1590.9280000000001</v>
      </c>
      <c r="I51" s="27">
        <f>'MF-STEEL(KG)'!I50*O$1*B$1+(D$1+F$1)+'MACHINE RATE'!I22*O$1</f>
        <v>1706.1759999999999</v>
      </c>
      <c r="J51" s="27">
        <f>'MF-STEEL(KG)'!J50*O$1*B$1+(D$1+F$1)+'MACHINE RATE'!J22*O$1</f>
        <v>1831.4239999999998</v>
      </c>
      <c r="K51" s="28">
        <f>'MF-STEEL(KG)'!K50*O$1*B$1+(D$1+F$1)+'MACHINE RATE'!K22*O$1</f>
        <v>1967.328</v>
      </c>
      <c r="L51" s="29">
        <f>'MF-STEEL(KG)'!L50*O$1*B$1+(D$1+F$1)+'MACHINE RATE'!L22*O$1</f>
        <v>1300.9000000000001</v>
      </c>
      <c r="M51" s="27">
        <f>'MF-STEEL(KG)'!M50*O$1*B$1+(D$1+F$1)+'MACHINE RATE'!M22*O$1</f>
        <v>1700.1920000000002</v>
      </c>
      <c r="N51" s="27">
        <f>'MF-STEEL(KG)'!N50*O$1*B$1+(D$1+F$1)+'MACHINE RATE'!N22*O$1</f>
        <v>1810.44</v>
      </c>
      <c r="O51" s="27">
        <f>'MF-STEEL(KG)'!O50*O$1*B$1+(D$1+F$1)+'MACHINE RATE'!O22*O$1</f>
        <v>1936.672</v>
      </c>
      <c r="P51" s="30">
        <f>'MF-STEEL(KG)'!P50*O$1*B$1+(D$1+F$1)+'MACHINE RATE'!P22*O$1</f>
        <v>2057.576</v>
      </c>
      <c r="Q51" s="26">
        <f>'MF-STEEL(KG)'!O$1*B$1+(D$1+F$1)+'MACHINE RATE'!Q22*O$1</f>
        <v>595</v>
      </c>
      <c r="R51" s="27">
        <f>'MF-STEEL(KG)'!R50*O$1*B$1+(D$1+F$1)+'MACHINE RATE'!R22*O$1</f>
        <v>1813.472</v>
      </c>
      <c r="S51" s="27">
        <f>'MF-STEEL(KG)'!S50*O$1*B$1+(D$1+F$1)+'MACHINE RATE'!S22*O$1</f>
        <v>1923.72</v>
      </c>
      <c r="T51" s="27">
        <f>'MF-STEEL(KG)'!T50*O$1*B$1+(D$1+F$1)+'MACHINE RATE'!T22*O$1</f>
        <v>2034.296</v>
      </c>
      <c r="U51" s="28">
        <f>'MF-STEEL(KG)'!U50*O$1*B$1+(D$1+F$1)+'MACHINE RATE'!U22*O$1</f>
        <v>2155.5280000000002</v>
      </c>
      <c r="X51" s="45">
        <f>B51*'Steel Calculations'!B4</f>
        <v>0</v>
      </c>
      <c r="Y51" s="45">
        <f>C51*'Steel Calculations'!C4</f>
        <v>0</v>
      </c>
      <c r="Z51" s="45">
        <f>D51*'Steel Calculations'!D4</f>
        <v>0</v>
      </c>
      <c r="AA51" s="45">
        <f>E51*'Steel Calculations'!E4</f>
        <v>0</v>
      </c>
      <c r="AB51" s="45">
        <f>F51*'Steel Calculations'!F4</f>
        <v>0</v>
      </c>
      <c r="AC51" s="45">
        <f>G51*'Steel Calculations'!G4</f>
        <v>0</v>
      </c>
      <c r="AD51" s="45">
        <f>H51*'Steel Calculations'!H4</f>
        <v>0</v>
      </c>
      <c r="AE51" s="45">
        <f>I51*'Steel Calculations'!I4</f>
        <v>0</v>
      </c>
      <c r="AF51" s="45">
        <f>J51*'Steel Calculations'!J4</f>
        <v>0</v>
      </c>
      <c r="AG51" s="45">
        <f>K51*'Steel Calculations'!K4</f>
        <v>0</v>
      </c>
      <c r="AH51" s="45">
        <f>L51*'Steel Calculations'!L4</f>
        <v>0</v>
      </c>
      <c r="AI51" s="45">
        <f>M51*'Steel Calculations'!M4</f>
        <v>0</v>
      </c>
      <c r="AJ51" s="45">
        <f>N51*'Steel Calculations'!N4</f>
        <v>0</v>
      </c>
      <c r="AK51" s="45">
        <f>O51*'Steel Calculations'!O4</f>
        <v>0</v>
      </c>
      <c r="AL51" s="45">
        <f>P51*'Steel Calculations'!P4</f>
        <v>0</v>
      </c>
      <c r="AM51" s="45">
        <f>Q51*'Steel Calculations'!Q4</f>
        <v>0</v>
      </c>
      <c r="AN51" s="45">
        <f>R51*'Steel Calculations'!R4</f>
        <v>0</v>
      </c>
      <c r="AO51" s="45">
        <f>S51*'Steel Calculations'!S4</f>
        <v>0</v>
      </c>
      <c r="AP51" s="45">
        <f>T51*'Steel Calculations'!T4</f>
        <v>0</v>
      </c>
      <c r="AQ51" s="45">
        <f>U51*'Steel Calculations'!U4</f>
        <v>0</v>
      </c>
      <c r="AS51" s="45">
        <f>R51*'Steel Calculations'!$B$13</f>
        <v>0</v>
      </c>
      <c r="AT51" s="45">
        <f>S51*'Steel Calculations'!$C$13</f>
        <v>0</v>
      </c>
      <c r="AU51" s="45">
        <f>T51*'Steel Calculations'!$D$13</f>
        <v>0</v>
      </c>
      <c r="AV51" s="45">
        <f>U51*'Steel Calculations'!$E$13</f>
        <v>0</v>
      </c>
      <c r="AW51" s="45">
        <f>S51*'Steel Calculations'!$F$13</f>
        <v>0</v>
      </c>
      <c r="AX51" s="45">
        <f>T51*'Steel Calculations'!$G$13</f>
        <v>0</v>
      </c>
      <c r="AY51" s="45">
        <f>U51*'Steel Calculations'!$H$13</f>
        <v>0</v>
      </c>
    </row>
    <row r="52" spans="1:52" ht="13.5" thickBot="1">
      <c r="A52" s="25" t="s">
        <v>205</v>
      </c>
      <c r="B52" s="26">
        <f>'MF-STEEL(KG)'!B51*O$1*B$1+(D$1+F$1)+'MACHINE RATE'!B23*O$1</f>
        <v>1249.24</v>
      </c>
      <c r="C52" s="27">
        <f>'MF-STEEL(KG)'!C51*O$1*B$1+(D$1+F$1)+'MACHINE RATE'!C23*O$1</f>
        <v>1644.5360000000001</v>
      </c>
      <c r="D52" s="27">
        <f>'MF-STEEL(KG)'!D51*O$1*B$1+(D$1+F$1)+'MACHINE RATE'!D23*O$1</f>
        <v>1754.7840000000001</v>
      </c>
      <c r="E52" s="27">
        <f>'MF-STEEL(KG)'!E51*O$1*B$1+(D$1+F$1)+'MACHINE RATE'!E23*O$1</f>
        <v>1881.0159999999998</v>
      </c>
      <c r="F52" s="28">
        <f>'MF-STEEL(KG)'!F51*O$1*B$1+(D$1+F$1)+'MACHINE RATE'!F23*O$1</f>
        <v>2001.9199999999998</v>
      </c>
      <c r="G52" s="26">
        <f>'MF-STEEL(KG)'!G51*O$1*B$1+(D$1+F$1)+'MACHINE RATE'!G23*O$1</f>
        <v>1299.21</v>
      </c>
      <c r="H52" s="27">
        <f>'MF-STEEL(KG)'!H51*O$1*B$1+(D$1+F$1)+'MACHINE RATE'!H23*O$1</f>
        <v>1717.4879999999998</v>
      </c>
      <c r="I52" s="27">
        <f>'MF-STEEL(KG)'!I51*O$1*B$1+(D$1+F$1)+'MACHINE RATE'!I23*O$1</f>
        <v>1832.7359999999999</v>
      </c>
      <c r="J52" s="27">
        <f>'MF-STEEL(KG)'!J51*O$1*B$1+(D$1+F$1)+'MACHINE RATE'!J23*O$1</f>
        <v>1973.9680000000001</v>
      </c>
      <c r="K52" s="28">
        <f>'MF-STEEL(KG)'!K51*O$1*B$1+(D$1+F$1)+'MACHINE RATE'!K23*O$1</f>
        <v>2120.5280000000002</v>
      </c>
      <c r="L52" s="29">
        <f>'MF-STEEL(KG)'!L51*O$1*B$1+(D$1+F$1)+'MACHINE RATE'!L23*O$1</f>
        <v>1400.8200000000002</v>
      </c>
      <c r="M52" s="27">
        <f>'MF-STEEL(KG)'!M51*O$1*B$1+(D$1+F$1)+'MACHINE RATE'!M23*O$1</f>
        <v>1848.0639999999999</v>
      </c>
      <c r="N52" s="27">
        <f>'MF-STEEL(KG)'!N51*O$1*B$1+(D$1+F$1)+'MACHINE RATE'!N23*O$1</f>
        <v>1958.3120000000001</v>
      </c>
      <c r="O52" s="27">
        <f>'MF-STEEL(KG)'!O51*O$1*B$1+(D$1+F$1)+'MACHINE RATE'!O23*O$1</f>
        <v>2089.8720000000003</v>
      </c>
      <c r="P52" s="30">
        <f>'MF-STEEL(KG)'!P51*O$1*B$1+(D$1+F$1)+'MACHINE RATE'!P23*O$1</f>
        <v>2221.4319999999998</v>
      </c>
      <c r="Q52" s="26">
        <f>'MF-STEEL(KG)'!O$1*B$1+(D$1+F$1)+'MACHINE RATE'!Q23*O$1</f>
        <v>615</v>
      </c>
      <c r="R52" s="27">
        <f>'MF-STEEL(KG)'!R51*O$1*B$1+(D$1+F$1)+'MACHINE RATE'!R23*O$1</f>
        <v>1956.0159999999998</v>
      </c>
      <c r="S52" s="27">
        <f>'MF-STEEL(KG)'!S51*O$1*B$1+(D$1+F$1)+'MACHINE RATE'!S23*O$1</f>
        <v>2066.2640000000001</v>
      </c>
      <c r="T52" s="27">
        <f>'MF-STEEL(KG)'!T51*O$1*B$1+(D$1+F$1)+'MACHINE RATE'!T23*O$1</f>
        <v>2192.8239999999996</v>
      </c>
      <c r="U52" s="28">
        <f>'MF-STEEL(KG)'!U51*O$1*B$1+(D$1+F$1)+'MACHINE RATE'!U23*O$1</f>
        <v>2330.04</v>
      </c>
      <c r="X52" s="45">
        <f>B52*'Steel Calculations'!B5</f>
        <v>0</v>
      </c>
      <c r="Y52" s="45">
        <f>C52*'Steel Calculations'!C5</f>
        <v>0</v>
      </c>
      <c r="Z52" s="45">
        <f>D52*'Steel Calculations'!D5</f>
        <v>0</v>
      </c>
      <c r="AA52" s="45">
        <f>E52*'Steel Calculations'!E5</f>
        <v>0</v>
      </c>
      <c r="AB52" s="45">
        <f>F52*'Steel Calculations'!F5</f>
        <v>0</v>
      </c>
      <c r="AC52" s="45">
        <f>G52*'Steel Calculations'!G5</f>
        <v>0</v>
      </c>
      <c r="AD52" s="45">
        <f>H52*'Steel Calculations'!H5</f>
        <v>0</v>
      </c>
      <c r="AE52" s="45">
        <f>I52*'Steel Calculations'!I5</f>
        <v>3665.4719999999998</v>
      </c>
      <c r="AF52" s="45">
        <f>J52*'Steel Calculations'!J5</f>
        <v>1973.9680000000001</v>
      </c>
      <c r="AG52" s="45">
        <f>K52*'Steel Calculations'!K5</f>
        <v>0</v>
      </c>
      <c r="AH52" s="45">
        <f>L52*'Steel Calculations'!L5</f>
        <v>0</v>
      </c>
      <c r="AI52" s="45">
        <f>M52*'Steel Calculations'!M5</f>
        <v>0</v>
      </c>
      <c r="AJ52" s="45">
        <f>N52*'Steel Calculations'!N5</f>
        <v>0</v>
      </c>
      <c r="AK52" s="45">
        <f>O52*'Steel Calculations'!O5</f>
        <v>0</v>
      </c>
      <c r="AL52" s="45">
        <f>P52*'Steel Calculations'!P5</f>
        <v>0</v>
      </c>
      <c r="AM52" s="45">
        <f>Q52*'Steel Calculations'!Q5</f>
        <v>0</v>
      </c>
      <c r="AN52" s="45">
        <f>R52*'Steel Calculations'!R5</f>
        <v>0</v>
      </c>
      <c r="AO52" s="45">
        <f>S52*'Steel Calculations'!S5</f>
        <v>0</v>
      </c>
      <c r="AP52" s="45">
        <f>T52*'Steel Calculations'!T5</f>
        <v>0</v>
      </c>
      <c r="AQ52" s="45">
        <f>U52*'Steel Calculations'!U5</f>
        <v>0</v>
      </c>
      <c r="AS52" s="45">
        <f>R52*'Steel Calculations'!$B$14</f>
        <v>0</v>
      </c>
      <c r="AT52" s="45">
        <f>S52*'Steel Calculations'!$C$14</f>
        <v>0</v>
      </c>
      <c r="AU52" s="45">
        <f>T52*'Steel Calculations'!$D$14</f>
        <v>0</v>
      </c>
      <c r="AV52" s="45">
        <f>U52*'Steel Calculations'!$E$14</f>
        <v>0</v>
      </c>
      <c r="AW52" s="45">
        <f>S52*'Steel Calculations'!$F$14</f>
        <v>0</v>
      </c>
      <c r="AX52" s="45">
        <f>T52*'Steel Calculations'!$G$14</f>
        <v>0</v>
      </c>
      <c r="AY52" s="45">
        <f>U52*'Steel Calculations'!$H$14</f>
        <v>0</v>
      </c>
    </row>
    <row r="53" spans="1:52" ht="13.5" thickBot="1">
      <c r="A53" s="25" t="s">
        <v>206</v>
      </c>
      <c r="B53" s="26">
        <f>'MF-STEEL(KG)'!B52*O$1*B$1+(D$1+F$1)+'MACHINE RATE'!B24*O$1</f>
        <v>1322.52</v>
      </c>
      <c r="C53" s="27">
        <f>'MF-STEEL(KG)'!C52*O$1*B$1+(D$1+F$1)+'MACHINE RATE'!C24*O$1</f>
        <v>1749.7839999999999</v>
      </c>
      <c r="D53" s="27">
        <f>'MF-STEEL(KG)'!D52*O$1*B$1+(D$1+F$1)+'MACHINE RATE'!D24*O$1</f>
        <v>1860.0320000000002</v>
      </c>
      <c r="E53" s="27">
        <f>'MF-STEEL(KG)'!E52*O$1*B$1+(D$1+F$1)+'MACHINE RATE'!E24*O$1</f>
        <v>1986.2639999999999</v>
      </c>
      <c r="F53" s="28">
        <f>'MF-STEEL(KG)'!F52*O$1*B$1+(D$1+F$1)+'MACHINE RATE'!F24*O$1</f>
        <v>2107.1680000000001</v>
      </c>
      <c r="G53" s="26">
        <f>'MF-STEEL(KG)'!G52*O$1*B$1+(D$1+F$1)+'MACHINE RATE'!G24*O$1</f>
        <v>1372.49</v>
      </c>
      <c r="H53" s="27">
        <f>'MF-STEEL(KG)'!H52*O$1*B$1+(D$1+F$1)+'MACHINE RATE'!H24*O$1</f>
        <v>1822.7359999999999</v>
      </c>
      <c r="I53" s="27">
        <f>'MF-STEEL(KG)'!I52*O$1*B$1+(D$1+F$1)+'MACHINE RATE'!I24*O$1</f>
        <v>1937.9839999999999</v>
      </c>
      <c r="J53" s="27">
        <f>'MF-STEEL(KG)'!J52*O$1*B$1+(D$1+F$1)+'MACHINE RATE'!J24*O$1</f>
        <v>2079.2159999999999</v>
      </c>
      <c r="K53" s="28">
        <f>'MF-STEEL(KG)'!K52*O$1*B$1+(D$1+F$1)+'MACHINE RATE'!K24*O$1</f>
        <v>2225.7759999999998</v>
      </c>
      <c r="L53" s="29">
        <f>'MF-STEEL(KG)'!L52*O$1*B$1+(D$1+F$1)+'MACHINE RATE'!L24*O$1</f>
        <v>1474.1</v>
      </c>
      <c r="M53" s="27">
        <f>'MF-STEEL(KG)'!M52*O$1*B$1+(D$1+F$1)+'MACHINE RATE'!M24*O$1</f>
        <v>1953.3120000000001</v>
      </c>
      <c r="N53" s="27">
        <f>'MF-STEEL(KG)'!N52*O$1*B$1+(D$1+F$1)+'MACHINE RATE'!N24*O$1</f>
        <v>2063.5600000000004</v>
      </c>
      <c r="O53" s="27">
        <f>'MF-STEEL(KG)'!O52*O$1*B$1+(D$1+F$1)+'MACHINE RATE'!O24*O$1</f>
        <v>2195.12</v>
      </c>
      <c r="P53" s="30">
        <f>'MF-STEEL(KG)'!P52*O$1*B$1+(D$1+F$1)+'MACHINE RATE'!P24*O$1</f>
        <v>2326.6800000000003</v>
      </c>
      <c r="Q53" s="26">
        <f>'MF-STEEL(KG)'!O$1*B$1+(D$1+F$1)+'MACHINE RATE'!Q24*O$1</f>
        <v>635</v>
      </c>
      <c r="R53" s="27">
        <f>'MF-STEEL(KG)'!R52*O$1*B$1+(D$1+F$1)+'MACHINE RATE'!R24*O$1</f>
        <v>2061.2640000000001</v>
      </c>
      <c r="S53" s="27">
        <f>'MF-STEEL(KG)'!S52*O$1*B$1+(D$1+F$1)+'MACHINE RATE'!S24*O$1</f>
        <v>2171.5119999999997</v>
      </c>
      <c r="T53" s="27">
        <f>'MF-STEEL(KG)'!T52*O$1*B$1+(D$1+F$1)+'MACHINE RATE'!T24*O$1</f>
        <v>2298.0720000000001</v>
      </c>
      <c r="U53" s="28">
        <f>'MF-STEEL(KG)'!U52*O$1*B$1+(D$1+F$1)+'MACHINE RATE'!U24*O$1</f>
        <v>2435.288</v>
      </c>
      <c r="X53" s="45">
        <f>B53*'Steel Calculations'!B6</f>
        <v>0</v>
      </c>
      <c r="Y53" s="45">
        <f>C53*'Steel Calculations'!C6</f>
        <v>0</v>
      </c>
      <c r="Z53" s="45">
        <f>D53*'Steel Calculations'!D6</f>
        <v>0</v>
      </c>
      <c r="AA53" s="45">
        <f>E53*'Steel Calculations'!E6</f>
        <v>0</v>
      </c>
      <c r="AB53" s="45">
        <f>F53*'Steel Calculations'!F6</f>
        <v>0</v>
      </c>
      <c r="AC53" s="45">
        <f>G53*'Steel Calculations'!G6</f>
        <v>0</v>
      </c>
      <c r="AD53" s="45">
        <f>H53*'Steel Calculations'!H6</f>
        <v>0</v>
      </c>
      <c r="AE53" s="45">
        <f>I53*'Steel Calculations'!I6</f>
        <v>0</v>
      </c>
      <c r="AF53" s="45">
        <f>J53*'Steel Calculations'!J6</f>
        <v>0</v>
      </c>
      <c r="AG53" s="45">
        <f>K53*'Steel Calculations'!K6</f>
        <v>0</v>
      </c>
      <c r="AH53" s="45">
        <f>L53*'Steel Calculations'!L6</f>
        <v>0</v>
      </c>
      <c r="AI53" s="45">
        <f>M53*'Steel Calculations'!M6</f>
        <v>0</v>
      </c>
      <c r="AJ53" s="45">
        <f>N53*'Steel Calculations'!N6</f>
        <v>0</v>
      </c>
      <c r="AK53" s="45">
        <f>O53*'Steel Calculations'!O6</f>
        <v>0</v>
      </c>
      <c r="AL53" s="45">
        <f>P53*'Steel Calculations'!P6</f>
        <v>0</v>
      </c>
      <c r="AM53" s="45">
        <f>Q53*'Steel Calculations'!Q6</f>
        <v>0</v>
      </c>
      <c r="AN53" s="45">
        <f>R53*'Steel Calculations'!R6</f>
        <v>0</v>
      </c>
      <c r="AO53" s="45">
        <f>S53*'Steel Calculations'!S6</f>
        <v>0</v>
      </c>
      <c r="AP53" s="45">
        <f>T53*'Steel Calculations'!T6</f>
        <v>0</v>
      </c>
      <c r="AQ53" s="45">
        <f>U53*'Steel Calculations'!U6</f>
        <v>0</v>
      </c>
      <c r="AS53" s="45">
        <f>R53*'Steel Calculations'!$B$15</f>
        <v>0</v>
      </c>
      <c r="AT53" s="45">
        <f>S53*'Steel Calculations'!$C$15</f>
        <v>0</v>
      </c>
      <c r="AU53" s="45">
        <f>T53*'Steel Calculations'!$D$15</f>
        <v>0</v>
      </c>
      <c r="AV53" s="45">
        <f>U53*'Steel Calculations'!$E$15</f>
        <v>0</v>
      </c>
      <c r="AW53" s="45">
        <f>S53*'Steel Calculations'!$F$15</f>
        <v>0</v>
      </c>
      <c r="AX53" s="45">
        <f>T53*'Steel Calculations'!$G$15</f>
        <v>0</v>
      </c>
      <c r="AY53" s="45">
        <f>U53*'Steel Calculations'!$H$15</f>
        <v>0</v>
      </c>
    </row>
    <row r="54" spans="1:52" ht="13.5" thickBot="1">
      <c r="A54" s="25" t="s">
        <v>207</v>
      </c>
      <c r="B54" s="26">
        <f>'MF-STEEL(KG)'!B53*O$1*B$1+(D$1+F$1)+'MACHINE RATE'!B25*O$1</f>
        <v>1431.3200000000002</v>
      </c>
      <c r="C54" s="27">
        <f>'MF-STEEL(KG)'!C53*O$1*B$1+(D$1+F$1)+'MACHINE RATE'!C25*O$1</f>
        <v>1858.5839999999998</v>
      </c>
      <c r="D54" s="27">
        <f>'MF-STEEL(KG)'!D53*O$1*B$1+(D$1+F$1)+'MACHINE RATE'!D25*O$1</f>
        <v>1968.8320000000001</v>
      </c>
      <c r="E54" s="27">
        <f>'MF-STEEL(KG)'!E53*O$1*B$1+(D$1+F$1)+'MACHINE RATE'!E25*O$1</f>
        <v>2095.0639999999999</v>
      </c>
      <c r="F54" s="28">
        <f>'MF-STEEL(KG)'!F53*O$1*B$1+(D$1+F$1)+'MACHINE RATE'!F25*O$1</f>
        <v>2215.9679999999998</v>
      </c>
      <c r="G54" s="26">
        <f>'MF-STEEL(KG)'!G53*O$1*B$1+(D$1+F$1)+'MACHINE RATE'!G25*O$1</f>
        <v>1481.29</v>
      </c>
      <c r="H54" s="27">
        <f>'MF-STEEL(KG)'!H53*O$1*B$1+(D$1+F$1)+'MACHINE RATE'!H25*O$1</f>
        <v>1931.5360000000001</v>
      </c>
      <c r="I54" s="27">
        <f>'MF-STEEL(KG)'!I53*O$1*B$1+(D$1+F$1)+'MACHINE RATE'!I25*O$1</f>
        <v>2046.7839999999999</v>
      </c>
      <c r="J54" s="27">
        <f>'MF-STEEL(KG)'!J53*O$1*B$1+(D$1+F$1)+'MACHINE RATE'!J25*O$1</f>
        <v>2188.0159999999996</v>
      </c>
      <c r="K54" s="28">
        <f>'MF-STEEL(KG)'!K53*O$1*B$1+(D$1+F$1)+'MACHINE RATE'!K25*O$1</f>
        <v>2334.576</v>
      </c>
      <c r="L54" s="29">
        <f>'MF-STEEL(KG)'!L53*O$1*B$1+(D$1+F$1)+'MACHINE RATE'!L25*O$1</f>
        <v>1582.9</v>
      </c>
      <c r="M54" s="27">
        <f>'MF-STEEL(KG)'!M53*O$1*B$1+(D$1+F$1)+'MACHINE RATE'!M25*O$1</f>
        <v>2062.1120000000001</v>
      </c>
      <c r="N54" s="27">
        <f>'MF-STEEL(KG)'!N53*O$1*B$1+(D$1+F$1)+'MACHINE RATE'!N25*O$1</f>
        <v>2172.36</v>
      </c>
      <c r="O54" s="27">
        <f>'MF-STEEL(KG)'!O53*O$1*B$1+(D$1+F$1)+'MACHINE RATE'!O25*O$1</f>
        <v>2303.92</v>
      </c>
      <c r="P54" s="30">
        <f>'MF-STEEL(KG)'!P53*O$1*B$1+(D$1+F$1)+'MACHINE RATE'!P25*O$1</f>
        <v>2435.48</v>
      </c>
      <c r="Q54" s="26">
        <f>'MF-STEEL(KG)'!O$1*B$1+(D$1+F$1)+'MACHINE RATE'!Q25*O$1</f>
        <v>655</v>
      </c>
      <c r="R54" s="27">
        <f>'MF-STEEL(KG)'!R53*O$1*B$1+(D$1+F$1)+'MACHINE RATE'!R25*O$1</f>
        <v>2170.0639999999999</v>
      </c>
      <c r="S54" s="27">
        <f>'MF-STEEL(KG)'!S53*O$1*B$1+(D$1+F$1)+'MACHINE RATE'!S25*O$1</f>
        <v>2280.3119999999999</v>
      </c>
      <c r="T54" s="27">
        <f>'MF-STEEL(KG)'!T53*O$1*B$1+(D$1+F$1)+'MACHINE RATE'!T25*O$1</f>
        <v>2406.8720000000003</v>
      </c>
      <c r="U54" s="28">
        <f>'MF-STEEL(KG)'!U53*O$1*B$1+(D$1+F$1)+'MACHINE RATE'!U25*O$1</f>
        <v>2544.0879999999997</v>
      </c>
      <c r="X54" s="45">
        <f>B54*'Steel Calculations'!B7</f>
        <v>0</v>
      </c>
      <c r="Y54" s="45">
        <f>C54*'Steel Calculations'!C7</f>
        <v>0</v>
      </c>
      <c r="Z54" s="45">
        <f>D54*'Steel Calculations'!D7</f>
        <v>0</v>
      </c>
      <c r="AA54" s="45">
        <f>E54*'Steel Calculations'!E7</f>
        <v>0</v>
      </c>
      <c r="AB54" s="45">
        <f>F54*'Steel Calculations'!F7</f>
        <v>0</v>
      </c>
      <c r="AC54" s="45">
        <f>G54*'Steel Calculations'!G7</f>
        <v>0</v>
      </c>
      <c r="AD54" s="45">
        <f>H54*'Steel Calculations'!H7</f>
        <v>0</v>
      </c>
      <c r="AE54" s="45">
        <f>I54*'Steel Calculations'!I7</f>
        <v>0</v>
      </c>
      <c r="AF54" s="45">
        <f>J54*'Steel Calculations'!J7</f>
        <v>0</v>
      </c>
      <c r="AG54" s="45">
        <f>K54*'Steel Calculations'!K7</f>
        <v>0</v>
      </c>
      <c r="AH54" s="45">
        <f>L54*'Steel Calculations'!L7</f>
        <v>0</v>
      </c>
      <c r="AI54" s="45">
        <f>M54*'Steel Calculations'!M7</f>
        <v>0</v>
      </c>
      <c r="AJ54" s="45">
        <f>N54*'Steel Calculations'!N7</f>
        <v>0</v>
      </c>
      <c r="AK54" s="45">
        <f>O54*'Steel Calculations'!O7</f>
        <v>0</v>
      </c>
      <c r="AL54" s="45">
        <f>P54*'Steel Calculations'!P7</f>
        <v>0</v>
      </c>
      <c r="AM54" s="45">
        <f>Q54*'Steel Calculations'!Q7</f>
        <v>0</v>
      </c>
      <c r="AN54" s="45">
        <f>R54*'Steel Calculations'!R7</f>
        <v>0</v>
      </c>
      <c r="AO54" s="45">
        <f>S54*'Steel Calculations'!S7</f>
        <v>0</v>
      </c>
      <c r="AP54" s="45">
        <f>T54*'Steel Calculations'!T7</f>
        <v>0</v>
      </c>
      <c r="AQ54" s="45">
        <f>U54*'Steel Calculations'!U7</f>
        <v>0</v>
      </c>
      <c r="AS54" s="45">
        <f>R54*'Steel Calculations'!$B$16</f>
        <v>0</v>
      </c>
      <c r="AT54" s="45">
        <f>S54*'Steel Calculations'!$C$16</f>
        <v>0</v>
      </c>
      <c r="AU54" s="45">
        <f>T54*'Steel Calculations'!$D$16</f>
        <v>0</v>
      </c>
      <c r="AV54" s="45">
        <f>U54*'Steel Calculations'!$E$16</f>
        <v>0</v>
      </c>
      <c r="AW54" s="45">
        <f>S54*'Steel Calculations'!$F$16</f>
        <v>0</v>
      </c>
      <c r="AX54" s="45">
        <f>T54*'Steel Calculations'!$G$16</f>
        <v>0</v>
      </c>
      <c r="AY54" s="45">
        <f>U54*'Steel Calculations'!$H$16</f>
        <v>0</v>
      </c>
    </row>
    <row r="55" spans="1:52">
      <c r="A55" s="31"/>
      <c r="B55" s="26"/>
      <c r="C55" s="27"/>
      <c r="D55" s="27"/>
      <c r="E55" s="27"/>
      <c r="F55" s="28"/>
      <c r="G55" s="26"/>
      <c r="H55" s="27"/>
      <c r="I55" s="27"/>
      <c r="J55" s="27"/>
      <c r="K55" s="28"/>
      <c r="L55" s="29"/>
      <c r="M55" s="27"/>
      <c r="N55" s="27"/>
      <c r="O55" s="27"/>
      <c r="P55" s="30"/>
      <c r="Q55" s="26"/>
      <c r="R55" s="27"/>
      <c r="S55" s="27"/>
      <c r="T55" s="27"/>
      <c r="U55" s="28"/>
      <c r="AR55" s="45">
        <f>SUM(X50:AQ54)-M$1*(20*B$1+'MACHINE RATE'!V25)</f>
        <v>5105.1399999999994</v>
      </c>
      <c r="AZ55" s="45">
        <f>SUM(AS50:AY54)</f>
        <v>0</v>
      </c>
    </row>
    <row r="56" spans="1:52" ht="15.75" thickBot="1">
      <c r="A56" s="533" t="s">
        <v>241</v>
      </c>
      <c r="B56" s="534"/>
      <c r="C56" s="53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</row>
    <row r="57" spans="1:52" ht="13.5" thickBot="1">
      <c r="A57" s="20" t="s">
        <v>0</v>
      </c>
      <c r="B57" s="529" t="s">
        <v>194</v>
      </c>
      <c r="C57" s="530"/>
      <c r="D57" s="530"/>
      <c r="E57" s="530"/>
      <c r="F57" s="531"/>
      <c r="G57" s="532" t="s">
        <v>195</v>
      </c>
      <c r="H57" s="530"/>
      <c r="I57" s="530"/>
      <c r="J57" s="530"/>
      <c r="K57" s="531"/>
      <c r="L57" s="532" t="s">
        <v>196</v>
      </c>
      <c r="M57" s="530"/>
      <c r="N57" s="530"/>
      <c r="O57" s="530"/>
      <c r="P57" s="531"/>
      <c r="Q57" s="532" t="s">
        <v>197</v>
      </c>
      <c r="R57" s="530"/>
      <c r="S57" s="530"/>
      <c r="T57" s="530"/>
      <c r="U57" s="531"/>
    </row>
    <row r="58" spans="1:52" ht="13.5" thickBot="1">
      <c r="A58" s="38"/>
      <c r="B58" s="26"/>
      <c r="C58" s="27"/>
      <c r="D58" s="27"/>
      <c r="E58" s="27"/>
      <c r="F58" s="28"/>
      <c r="G58" s="26"/>
      <c r="H58" s="27"/>
      <c r="I58" s="27"/>
      <c r="J58" s="27"/>
      <c r="K58" s="28"/>
      <c r="L58" s="29"/>
      <c r="M58" s="27"/>
      <c r="N58" s="27"/>
      <c r="O58" s="27"/>
      <c r="P58" s="30"/>
      <c r="Q58" s="26"/>
      <c r="R58" s="27"/>
      <c r="S58" s="27"/>
      <c r="T58" s="27"/>
      <c r="U58" s="28"/>
    </row>
    <row r="59" spans="1:52" ht="13.5" thickBot="1">
      <c r="A59" s="25" t="s">
        <v>203</v>
      </c>
      <c r="B59" s="26">
        <f>'MF-STEEL(KG)'!B58*O$1*B$1+(D$1+F$1)+'MACHINE RATE'!B30*O$1</f>
        <v>1285.2640000000001</v>
      </c>
      <c r="C59" s="27">
        <f>'MF-STEEL(KG)'!C58*O$1*B$1+(D$1+F$1)+'MACHINE RATE'!C30*O$1</f>
        <v>1678.3871999999999</v>
      </c>
      <c r="D59" s="27">
        <f>'MF-STEEL(KG)'!D58*O$1*B$1+(D$1+F$1)+'MACHINE RATE'!D30*O$1</f>
        <v>1826.4223999999999</v>
      </c>
      <c r="E59" s="27">
        <f>'MF-STEEL(KG)'!E58*O$1*B$1+(D$1+F$1)+'MACHINE RATE'!E30*O$1</f>
        <v>1974.4575999999997</v>
      </c>
      <c r="F59" s="28">
        <f>'MF-STEEL(KG)'!F58*O$1*B$1+(D$1+F$1)+'MACHINE RATE'!F30*O$1</f>
        <v>2172.4928</v>
      </c>
      <c r="G59" s="26">
        <f>'MF-STEEL(KG)'!G58*O$1*B$1+(D$1+F$1)+'MACHINE RATE'!G30*O$1</f>
        <v>1408.241</v>
      </c>
      <c r="H59" s="27">
        <f>'MF-STEEL(KG)'!H58*O$1*B$1+(D$1+F$1)+'MACHINE RATE'!H30*O$1</f>
        <v>1815.1504</v>
      </c>
      <c r="I59" s="27">
        <f>'MF-STEEL(KG)'!I58*O$1*B$1+(D$1+F$1)+'MACHINE RATE'!I30*O$1</f>
        <v>1963.1855999999998</v>
      </c>
      <c r="J59" s="27">
        <f>'MF-STEEL(KG)'!J58*O$1*B$1+(D$1+F$1)+'MACHINE RATE'!J30*O$1</f>
        <v>2117.348</v>
      </c>
      <c r="K59" s="28">
        <f>'MF-STEEL(KG)'!K58*O$1*B$1+(D$1+F$1)+'MACHINE RATE'!K30*O$1</f>
        <v>2271.5104000000001</v>
      </c>
      <c r="L59" s="29">
        <f>'MF-STEEL(KG)'!L58*O$1*B$1+(D$1+F$1)+'MACHINE RATE'!L30*O$1</f>
        <v>1558.0245</v>
      </c>
      <c r="M59" s="27">
        <f>'MF-STEEL(KG)'!M58*O$1*B$1+(D$1+F$1)+'MACHINE RATE'!M30*O$1</f>
        <v>1994.8039999999999</v>
      </c>
      <c r="N59" s="27">
        <f>'MF-STEEL(KG)'!N58*O$1*B$1+(D$1+F$1)+'MACHINE RATE'!N30*O$1</f>
        <v>2142.8391999999999</v>
      </c>
      <c r="O59" s="27">
        <f>'MF-STEEL(KG)'!O58*O$1*B$1+(D$1+F$1)+'MACHINE RATE'!O30*O$1</f>
        <v>2303.1288</v>
      </c>
      <c r="P59" s="30">
        <f>'MF-STEEL(KG)'!P58*O$1*B$1+(D$1+F$1)+'MACHINE RATE'!P30*O$1</f>
        <v>2463.4183999999996</v>
      </c>
      <c r="Q59" s="26">
        <f>'MF-STEEL(KG)'!O$1*B$1+(D$1+F$1)+'MACHINE RATE'!Q30*O$1</f>
        <v>850</v>
      </c>
      <c r="R59" s="27">
        <f>'MF-STEEL(KG)'!R58*O$1*B$1+(D$1+F$1)+'MACHINE RATE'!R30*O$1</f>
        <v>2131.5671999999995</v>
      </c>
      <c r="S59" s="27">
        <f>'MF-STEEL(KG)'!S58*O$1*B$1+(D$1+F$1)+'MACHINE RATE'!S30*O$1</f>
        <v>2279.6023999999998</v>
      </c>
      <c r="T59" s="27">
        <f>'MF-STEEL(KG)'!T58*O$1*B$1+(D$1+F$1)+'MACHINE RATE'!T30*O$1</f>
        <v>2446.0191999999997</v>
      </c>
      <c r="U59" s="28">
        <f>'MF-STEEL(KG)'!U58*O$1*B$1+(D$1+F$1)+'MACHINE RATE'!U30*O$1</f>
        <v>2612.4359999999997</v>
      </c>
      <c r="X59" s="45">
        <f>B59*'Steel Calculations'!B3</f>
        <v>0</v>
      </c>
      <c r="Y59" s="45">
        <f>C59*'Steel Calculations'!C3</f>
        <v>0</v>
      </c>
      <c r="Z59" s="45">
        <f>D59*'Steel Calculations'!D3</f>
        <v>0</v>
      </c>
      <c r="AA59" s="45">
        <f>E59*'Steel Calculations'!E3</f>
        <v>0</v>
      </c>
      <c r="AB59" s="45">
        <f>F59*'Steel Calculations'!F3</f>
        <v>0</v>
      </c>
      <c r="AC59" s="45">
        <f>G59*'Steel Calculations'!G3</f>
        <v>0</v>
      </c>
      <c r="AD59" s="45">
        <f>H59*'Steel Calculations'!H3</f>
        <v>0</v>
      </c>
      <c r="AE59" s="45">
        <f>I59*'Steel Calculations'!I3</f>
        <v>0</v>
      </c>
      <c r="AF59" s="45">
        <f>J59*'Steel Calculations'!J3</f>
        <v>0</v>
      </c>
      <c r="AG59" s="45">
        <f>K59*'Steel Calculations'!K3</f>
        <v>0</v>
      </c>
      <c r="AH59" s="45">
        <f>L59*'Steel Calculations'!L3</f>
        <v>0</v>
      </c>
      <c r="AI59" s="45">
        <f>M59*'Steel Calculations'!M3</f>
        <v>0</v>
      </c>
      <c r="AJ59" s="45">
        <f>N59*'Steel Calculations'!N3</f>
        <v>0</v>
      </c>
      <c r="AK59" s="45">
        <f>O59*'Steel Calculations'!O3</f>
        <v>0</v>
      </c>
      <c r="AL59" s="45">
        <f>P59*'Steel Calculations'!P3</f>
        <v>0</v>
      </c>
      <c r="AM59" s="45">
        <f>Q59*'Steel Calculations'!Q3</f>
        <v>0</v>
      </c>
      <c r="AN59" s="45">
        <f>R59*'Steel Calculations'!R3</f>
        <v>0</v>
      </c>
      <c r="AO59" s="45">
        <f>S59*'Steel Calculations'!S3</f>
        <v>0</v>
      </c>
      <c r="AP59" s="45">
        <f>T59*'Steel Calculations'!T3</f>
        <v>0</v>
      </c>
      <c r="AQ59" s="45">
        <f>U59*'Steel Calculations'!U3</f>
        <v>0</v>
      </c>
      <c r="AS59" s="51"/>
      <c r="AT59" s="51"/>
      <c r="AU59" s="51"/>
      <c r="AV59" s="51"/>
      <c r="AW59" s="51"/>
      <c r="AX59" s="51"/>
      <c r="AY59" s="51"/>
      <c r="AZ59" s="51"/>
    </row>
    <row r="60" spans="1:52" ht="13.5" thickBot="1">
      <c r="A60" s="25" t="s">
        <v>204</v>
      </c>
      <c r="B60" s="26">
        <f>'MF-STEEL(KG)'!B59*O$1*B$1+(D$1+F$1)+'MACHINE RATE'!B31*O$1</f>
        <v>1392.7065</v>
      </c>
      <c r="C60" s="27">
        <f>'MF-STEEL(KG)'!C59*O$1*B$1+(D$1+F$1)+'MACHINE RATE'!C31*O$1</f>
        <v>1820.2952</v>
      </c>
      <c r="D60" s="27">
        <f>'MF-STEEL(KG)'!D59*O$1*B$1+(D$1+F$1)+'MACHINE RATE'!D31*O$1</f>
        <v>1968.3304000000001</v>
      </c>
      <c r="E60" s="27">
        <f>'MF-STEEL(KG)'!E59*O$1*B$1+(D$1+F$1)+'MACHINE RATE'!E31*O$1</f>
        <v>2128.62</v>
      </c>
      <c r="F60" s="28">
        <f>'MF-STEEL(KG)'!F59*O$1*B$1+(D$1+F$1)+'MACHINE RATE'!F31*O$1</f>
        <v>2332.7823999999996</v>
      </c>
      <c r="G60" s="26">
        <f>'MF-STEEL(KG)'!G59*O$1*B$1+(D$1+F$1)+'MACHINE RATE'!G31*O$1</f>
        <v>1531.0015000000001</v>
      </c>
      <c r="H60" s="27">
        <f>'MF-STEEL(KG)'!H59*O$1*B$1+(D$1+F$1)+'MACHINE RATE'!H31*O$1</f>
        <v>1981.5671999999997</v>
      </c>
      <c r="I60" s="27">
        <f>'MF-STEEL(KG)'!I59*O$1*B$1+(D$1+F$1)+'MACHINE RATE'!I31*O$1</f>
        <v>2129.6023999999998</v>
      </c>
      <c r="J60" s="27">
        <f>'MF-STEEL(KG)'!J59*O$1*B$1+(D$1+F$1)+'MACHINE RATE'!J31*O$1</f>
        <v>2277.6376</v>
      </c>
      <c r="K60" s="28">
        <f>'MF-STEEL(KG)'!K59*O$1*B$1+(D$1+F$1)+'MACHINE RATE'!K31*O$1</f>
        <v>2437.9271999999996</v>
      </c>
      <c r="L60" s="29">
        <f>'MF-STEEL(KG)'!L59*O$1*B$1+(D$1+F$1)+'MACHINE RATE'!L31*O$1</f>
        <v>1680.7849999999999</v>
      </c>
      <c r="M60" s="27">
        <f>'MF-STEEL(KG)'!M59*O$1*B$1+(D$1+F$1)+'MACHINE RATE'!M31*O$1</f>
        <v>2161.2208000000001</v>
      </c>
      <c r="N60" s="27">
        <f>'MF-STEEL(KG)'!N59*O$1*B$1+(D$1+F$1)+'MACHINE RATE'!N31*O$1</f>
        <v>2309.2559999999999</v>
      </c>
      <c r="O60" s="27">
        <f>'MF-STEEL(KG)'!O59*O$1*B$1+(D$1+F$1)+'MACHINE RATE'!O31*O$1</f>
        <v>2475.6728000000003</v>
      </c>
      <c r="P60" s="30">
        <f>'MF-STEEL(KG)'!P59*O$1*B$1+(D$1+F$1)+'MACHINE RATE'!P31*O$1</f>
        <v>2635.9623999999994</v>
      </c>
      <c r="Q60" s="26">
        <f>'MF-STEEL(KG)'!O$1*B$1+(D$1+F$1)+'MACHINE RATE'!Q31*O$1</f>
        <v>900</v>
      </c>
      <c r="R60" s="27">
        <f>'MF-STEEL(KG)'!R59*O$1*B$1+(D$1+F$1)+'MACHINE RATE'!R31*O$1</f>
        <v>2322.4928</v>
      </c>
      <c r="S60" s="27">
        <f>'MF-STEEL(KG)'!S59*O$1*B$1+(D$1+F$1)+'MACHINE RATE'!S31*O$1</f>
        <v>2470.5280000000002</v>
      </c>
      <c r="T60" s="27">
        <f>'MF-STEEL(KG)'!T59*O$1*B$1+(D$1+F$1)+'MACHINE RATE'!T31*O$1</f>
        <v>2624.6903999999995</v>
      </c>
      <c r="U60" s="28">
        <f>'MF-STEEL(KG)'!U59*O$1*B$1+(D$1+F$1)+'MACHINE RATE'!U31*O$1</f>
        <v>2791.1071999999999</v>
      </c>
      <c r="X60" s="45">
        <f>B60*'Steel Calculations'!B4</f>
        <v>0</v>
      </c>
      <c r="Y60" s="45">
        <f>C60*'Steel Calculations'!C4</f>
        <v>0</v>
      </c>
      <c r="Z60" s="45">
        <f>D60*'Steel Calculations'!D4</f>
        <v>0</v>
      </c>
      <c r="AA60" s="45">
        <f>E60*'Steel Calculations'!E4</f>
        <v>0</v>
      </c>
      <c r="AB60" s="45">
        <f>F60*'Steel Calculations'!F4</f>
        <v>0</v>
      </c>
      <c r="AC60" s="45">
        <f>G60*'Steel Calculations'!G4</f>
        <v>0</v>
      </c>
      <c r="AD60" s="45">
        <f>H60*'Steel Calculations'!H4</f>
        <v>0</v>
      </c>
      <c r="AE60" s="45">
        <f>I60*'Steel Calculations'!I4</f>
        <v>0</v>
      </c>
      <c r="AF60" s="45">
        <f>J60*'Steel Calculations'!J4</f>
        <v>0</v>
      </c>
      <c r="AG60" s="45">
        <f>K60*'Steel Calculations'!K4</f>
        <v>0</v>
      </c>
      <c r="AH60" s="45">
        <f>L60*'Steel Calculations'!L4</f>
        <v>0</v>
      </c>
      <c r="AI60" s="45">
        <f>M60*'Steel Calculations'!M4</f>
        <v>0</v>
      </c>
      <c r="AJ60" s="45">
        <f>N60*'Steel Calculations'!N4</f>
        <v>0</v>
      </c>
      <c r="AK60" s="45">
        <f>O60*'Steel Calculations'!O4</f>
        <v>0</v>
      </c>
      <c r="AL60" s="45">
        <f>P60*'Steel Calculations'!P4</f>
        <v>0</v>
      </c>
      <c r="AM60" s="45">
        <f>Q60*'Steel Calculations'!Q4</f>
        <v>0</v>
      </c>
      <c r="AN60" s="45">
        <f>R60*'Steel Calculations'!R4</f>
        <v>0</v>
      </c>
      <c r="AO60" s="45">
        <f>S60*'Steel Calculations'!S4</f>
        <v>0</v>
      </c>
      <c r="AP60" s="45">
        <f>T60*'Steel Calculations'!T4</f>
        <v>0</v>
      </c>
      <c r="AQ60" s="45">
        <f>U60*'Steel Calculations'!U4</f>
        <v>0</v>
      </c>
      <c r="AS60" s="51"/>
      <c r="AT60" s="51"/>
      <c r="AU60" s="51"/>
      <c r="AV60" s="51"/>
      <c r="AW60" s="51"/>
      <c r="AX60" s="51"/>
      <c r="AY60" s="51"/>
      <c r="AZ60" s="51"/>
    </row>
    <row r="61" spans="1:52" ht="13.5" thickBot="1">
      <c r="A61" s="25" t="s">
        <v>205</v>
      </c>
      <c r="B61" s="26">
        <f>'MF-STEEL(KG)'!B60*O$1*B$1+(D$1+F$1)+'MACHINE RATE'!B32*O$1</f>
        <v>1523.1259999999997</v>
      </c>
      <c r="C61" s="27">
        <f>'MF-STEEL(KG)'!C60*O$1*B$1+(D$1+F$1)+'MACHINE RATE'!C32*O$1</f>
        <v>1998.9663999999998</v>
      </c>
      <c r="D61" s="27">
        <f>'MF-STEEL(KG)'!D60*O$1*B$1+(D$1+F$1)+'MACHINE RATE'!D32*O$1</f>
        <v>2147.0016000000001</v>
      </c>
      <c r="E61" s="27">
        <f>'MF-STEEL(KG)'!E60*O$1*B$1+(D$1+F$1)+'MACHINE RATE'!E32*O$1</f>
        <v>2313.4183999999996</v>
      </c>
      <c r="F61" s="28">
        <f>'MF-STEEL(KG)'!F60*O$1*B$1+(D$1+F$1)+'MACHINE RATE'!F32*O$1</f>
        <v>2523.7080000000001</v>
      </c>
      <c r="G61" s="26">
        <f>'MF-STEEL(KG)'!G60*O$1*B$1+(D$1+F$1)+'MACHINE RATE'!G32*O$1</f>
        <v>1657.5915</v>
      </c>
      <c r="H61" s="27">
        <f>'MF-STEEL(KG)'!H60*O$1*B$1+(D$1+F$1)+'MACHINE RATE'!H32*O$1</f>
        <v>2154.1111999999998</v>
      </c>
      <c r="I61" s="27">
        <f>'MF-STEEL(KG)'!I60*O$1*B$1+(D$1+F$1)+'MACHINE RATE'!I32*O$1</f>
        <v>2302.1463999999996</v>
      </c>
      <c r="J61" s="27">
        <f>'MF-STEEL(KG)'!J60*O$1*B$1+(D$1+F$1)+'MACHINE RATE'!J32*O$1</f>
        <v>2468.5632000000001</v>
      </c>
      <c r="K61" s="28">
        <f>'MF-STEEL(KG)'!K60*O$1*B$1+(D$1+F$1)+'MACHINE RATE'!K32*O$1</f>
        <v>2641.1071999999999</v>
      </c>
      <c r="L61" s="29">
        <f>'MF-STEEL(KG)'!L60*O$1*B$1+(D$1+F$1)+'MACHINE RATE'!L32*O$1</f>
        <v>1822.693</v>
      </c>
      <c r="M61" s="27">
        <f>'MF-STEEL(KG)'!M60*O$1*B$1+(D$1+F$1)+'MACHINE RATE'!M32*O$1</f>
        <v>2358.2735999999995</v>
      </c>
      <c r="N61" s="27">
        <f>'MF-STEEL(KG)'!N60*O$1*B$1+(D$1+F$1)+'MACHINE RATE'!N32*O$1</f>
        <v>2506.3087999999998</v>
      </c>
      <c r="O61" s="27">
        <f>'MF-STEEL(KG)'!O60*O$1*B$1+(D$1+F$1)+'MACHINE RATE'!O32*O$1</f>
        <v>2678.8527999999997</v>
      </c>
      <c r="P61" s="30">
        <f>'MF-STEEL(KG)'!P60*O$1*B$1+(D$1+F$1)+'MACHINE RATE'!P32*O$1</f>
        <v>2851.3967999999995</v>
      </c>
      <c r="Q61" s="26">
        <f>'MF-STEEL(KG)'!O$1*B$1+(D$1+F$1)+'MACHINE RATE'!Q32*O$1</f>
        <v>950</v>
      </c>
      <c r="R61" s="27">
        <f>'MF-STEEL(KG)'!R60*O$1*B$1+(D$1+F$1)+'MACHINE RATE'!R32*O$1</f>
        <v>2513.4183999999996</v>
      </c>
      <c r="S61" s="27">
        <f>'MF-STEEL(KG)'!S60*O$1*B$1+(D$1+F$1)+'MACHINE RATE'!S32*O$1</f>
        <v>2661.4535999999998</v>
      </c>
      <c r="T61" s="27">
        <f>'MF-STEEL(KG)'!T60*O$1*B$1+(D$1+F$1)+'MACHINE RATE'!T32*O$1</f>
        <v>2833.9975999999997</v>
      </c>
      <c r="U61" s="28">
        <f>'MF-STEEL(KG)'!U60*O$1*B$1+(D$1+F$1)+'MACHINE RATE'!U32*O$1</f>
        <v>3018.7959999999998</v>
      </c>
      <c r="X61" s="45">
        <f>B61*'Steel Calculations'!B5</f>
        <v>0</v>
      </c>
      <c r="Y61" s="45">
        <f>C61*'Steel Calculations'!C5</f>
        <v>0</v>
      </c>
      <c r="Z61" s="45">
        <f>D61*'Steel Calculations'!D5</f>
        <v>0</v>
      </c>
      <c r="AA61" s="45">
        <f>E61*'Steel Calculations'!E5</f>
        <v>0</v>
      </c>
      <c r="AB61" s="45">
        <f>F61*'Steel Calculations'!F5</f>
        <v>0</v>
      </c>
      <c r="AC61" s="45">
        <f>G61*'Steel Calculations'!G5</f>
        <v>0</v>
      </c>
      <c r="AD61" s="45">
        <f>H61*'Steel Calculations'!H5</f>
        <v>0</v>
      </c>
      <c r="AE61" s="45">
        <f>I61*'Steel Calculations'!I5</f>
        <v>4604.2927999999993</v>
      </c>
      <c r="AF61" s="45">
        <f>J61*'Steel Calculations'!J5</f>
        <v>2468.5632000000001</v>
      </c>
      <c r="AG61" s="45">
        <f>K61*'Steel Calculations'!K5</f>
        <v>0</v>
      </c>
      <c r="AH61" s="45">
        <f>L61*'Steel Calculations'!L5</f>
        <v>0</v>
      </c>
      <c r="AI61" s="45">
        <f>M61*'Steel Calculations'!M5</f>
        <v>0</v>
      </c>
      <c r="AJ61" s="45">
        <f>N61*'Steel Calculations'!N5</f>
        <v>0</v>
      </c>
      <c r="AK61" s="45">
        <f>O61*'Steel Calculations'!O5</f>
        <v>0</v>
      </c>
      <c r="AL61" s="45">
        <f>P61*'Steel Calculations'!P5</f>
        <v>0</v>
      </c>
      <c r="AM61" s="45">
        <f>Q61*'Steel Calculations'!Q5</f>
        <v>0</v>
      </c>
      <c r="AN61" s="45">
        <f>R61*'Steel Calculations'!R5</f>
        <v>0</v>
      </c>
      <c r="AO61" s="45">
        <f>S61*'Steel Calculations'!S5</f>
        <v>0</v>
      </c>
      <c r="AP61" s="45">
        <f>T61*'Steel Calculations'!T5</f>
        <v>0</v>
      </c>
      <c r="AQ61" s="45">
        <f>U61*'Steel Calculations'!U5</f>
        <v>0</v>
      </c>
      <c r="AS61" s="51"/>
      <c r="AT61" s="51"/>
      <c r="AU61" s="51"/>
      <c r="AV61" s="51"/>
      <c r="AW61" s="51"/>
      <c r="AX61" s="51"/>
      <c r="AY61" s="51"/>
      <c r="AZ61" s="51"/>
    </row>
    <row r="62" spans="1:52" ht="13.5" thickBot="1">
      <c r="A62" s="25" t="s">
        <v>206</v>
      </c>
      <c r="B62" s="26">
        <f>'MF-STEEL(KG)'!B61*O$1*B$1+(D$1+F$1)+'MACHINE RATE'!B33*O$1</f>
        <v>1634.3979999999999</v>
      </c>
      <c r="C62" s="27">
        <f>'MF-STEEL(KG)'!C61*O$1*B$1+(D$1+F$1)+'MACHINE RATE'!C33*O$1</f>
        <v>2147.0015999999996</v>
      </c>
      <c r="D62" s="27">
        <f>'MF-STEEL(KG)'!D61*O$1*B$1+(D$1+F$1)+'MACHINE RATE'!D33*O$1</f>
        <v>2295.0367999999999</v>
      </c>
      <c r="E62" s="27">
        <f>'MF-STEEL(KG)'!E61*O$1*B$1+(D$1+F$1)+'MACHINE RATE'!E33*O$1</f>
        <v>2461.4535999999998</v>
      </c>
      <c r="F62" s="28">
        <f>'MF-STEEL(KG)'!F61*O$1*B$1+(D$1+F$1)+'MACHINE RATE'!F33*O$1</f>
        <v>2671.7431999999999</v>
      </c>
      <c r="G62" s="26">
        <f>'MF-STEEL(KG)'!G61*O$1*B$1+(D$1+F$1)+'MACHINE RATE'!G33*O$1</f>
        <v>1768.8634999999999</v>
      </c>
      <c r="H62" s="27">
        <f>'MF-STEEL(KG)'!H61*O$1*B$1+(D$1+F$1)+'MACHINE RATE'!H33*O$1</f>
        <v>2302.1463999999996</v>
      </c>
      <c r="I62" s="27">
        <f>'MF-STEEL(KG)'!I61*O$1*B$1+(D$1+F$1)+'MACHINE RATE'!I33*O$1</f>
        <v>2450.1815999999999</v>
      </c>
      <c r="J62" s="27">
        <f>'MF-STEEL(KG)'!J61*O$1*B$1+(D$1+F$1)+'MACHINE RATE'!J33*O$1</f>
        <v>2616.5983999999999</v>
      </c>
      <c r="K62" s="28">
        <f>'MF-STEEL(KG)'!K61*O$1*B$1+(D$1+F$1)+'MACHINE RATE'!K33*O$1</f>
        <v>2789.1423999999997</v>
      </c>
      <c r="L62" s="29">
        <f>'MF-STEEL(KG)'!L61*O$1*B$1+(D$1+F$1)+'MACHINE RATE'!L33*O$1</f>
        <v>1933.9649999999997</v>
      </c>
      <c r="M62" s="27">
        <f>'MF-STEEL(KG)'!M61*O$1*B$1+(D$1+F$1)+'MACHINE RATE'!M33*O$1</f>
        <v>2506.3087999999998</v>
      </c>
      <c r="N62" s="27">
        <f>'MF-STEEL(KG)'!N61*O$1*B$1+(D$1+F$1)+'MACHINE RATE'!N33*O$1</f>
        <v>2654.3440000000001</v>
      </c>
      <c r="O62" s="27">
        <f>'MF-STEEL(KG)'!O61*O$1*B$1+(D$1+F$1)+'MACHINE RATE'!O33*O$1</f>
        <v>2826.8879999999999</v>
      </c>
      <c r="P62" s="30">
        <f>'MF-STEEL(KG)'!P61*O$1*B$1+(D$1+F$1)+'MACHINE RATE'!P33*O$1</f>
        <v>2999.4319999999998</v>
      </c>
      <c r="Q62" s="26">
        <f>'MF-STEEL(KG)'!O$1*B$1+(D$1+F$1)+'MACHINE RATE'!Q33*O$1</f>
        <v>1000</v>
      </c>
      <c r="R62" s="27">
        <f>'MF-STEEL(KG)'!R61*O$1*B$1+(D$1+F$1)+'MACHINE RATE'!R33*O$1</f>
        <v>2661.4535999999998</v>
      </c>
      <c r="S62" s="27">
        <f>'MF-STEEL(KG)'!S61*O$1*B$1+(D$1+F$1)+'MACHINE RATE'!S33*O$1</f>
        <v>2809.4888000000001</v>
      </c>
      <c r="T62" s="27">
        <f>'MF-STEEL(KG)'!T61*O$1*B$1+(D$1+F$1)+'MACHINE RATE'!T33*O$1</f>
        <v>2982.0328</v>
      </c>
      <c r="U62" s="28">
        <f>'MF-STEEL(KG)'!U61*O$1*B$1+(D$1+F$1)+'MACHINE RATE'!U33*O$1</f>
        <v>3166.8311999999996</v>
      </c>
      <c r="X62" s="45">
        <f>B62*'Steel Calculations'!B6</f>
        <v>0</v>
      </c>
      <c r="Y62" s="45">
        <f>C62*'Steel Calculations'!C6</f>
        <v>0</v>
      </c>
      <c r="Z62" s="45">
        <f>D62*'Steel Calculations'!D6</f>
        <v>0</v>
      </c>
      <c r="AA62" s="45">
        <f>E62*'Steel Calculations'!E6</f>
        <v>0</v>
      </c>
      <c r="AB62" s="45">
        <f>F62*'Steel Calculations'!F6</f>
        <v>0</v>
      </c>
      <c r="AC62" s="45">
        <f>G62*'Steel Calculations'!G6</f>
        <v>0</v>
      </c>
      <c r="AD62" s="45">
        <f>H62*'Steel Calculations'!H6</f>
        <v>0</v>
      </c>
      <c r="AE62" s="45">
        <f>I62*'Steel Calculations'!I6</f>
        <v>0</v>
      </c>
      <c r="AF62" s="45">
        <f>J62*'Steel Calculations'!J6</f>
        <v>0</v>
      </c>
      <c r="AG62" s="45">
        <f>K62*'Steel Calculations'!K6</f>
        <v>0</v>
      </c>
      <c r="AH62" s="45">
        <f>L62*'Steel Calculations'!L6</f>
        <v>0</v>
      </c>
      <c r="AI62" s="45">
        <f>M62*'Steel Calculations'!M6</f>
        <v>0</v>
      </c>
      <c r="AJ62" s="45">
        <f>N62*'Steel Calculations'!N6</f>
        <v>0</v>
      </c>
      <c r="AK62" s="45">
        <f>O62*'Steel Calculations'!O6</f>
        <v>0</v>
      </c>
      <c r="AL62" s="45">
        <f>P62*'Steel Calculations'!P6</f>
        <v>0</v>
      </c>
      <c r="AM62" s="45">
        <f>Q62*'Steel Calculations'!Q6</f>
        <v>0</v>
      </c>
      <c r="AN62" s="45">
        <f>R62*'Steel Calculations'!R6</f>
        <v>0</v>
      </c>
      <c r="AO62" s="45">
        <f>S62*'Steel Calculations'!S6</f>
        <v>0</v>
      </c>
      <c r="AP62" s="45">
        <f>T62*'Steel Calculations'!T6</f>
        <v>0</v>
      </c>
      <c r="AQ62" s="45">
        <f>U62*'Steel Calculations'!U6</f>
        <v>0</v>
      </c>
      <c r="AS62" s="51"/>
      <c r="AT62" s="51"/>
      <c r="AU62" s="51"/>
      <c r="AV62" s="51"/>
      <c r="AW62" s="51"/>
      <c r="AX62" s="51"/>
      <c r="AY62" s="51"/>
      <c r="AZ62" s="51"/>
    </row>
    <row r="63" spans="1:52" ht="13.5" thickBot="1">
      <c r="A63" s="25" t="s">
        <v>207</v>
      </c>
      <c r="B63" s="26">
        <f>'MF-STEEL(KG)'!B62*O$1*B$1+(D$1+F$1)+'MACHINE RATE'!B34*O$1</f>
        <v>1786.518</v>
      </c>
      <c r="C63" s="27">
        <f>'MF-STEEL(KG)'!C62*O$1*B$1+(D$1+F$1)+'MACHINE RATE'!C34*O$1</f>
        <v>2299.1215999999995</v>
      </c>
      <c r="D63" s="27">
        <f>'MF-STEEL(KG)'!D62*O$1*B$1+(D$1+F$1)+'MACHINE RATE'!D34*O$1</f>
        <v>2447.1567999999997</v>
      </c>
      <c r="E63" s="27">
        <f>'MF-STEEL(KG)'!E62*O$1*B$1+(D$1+F$1)+'MACHINE RATE'!E34*O$1</f>
        <v>2613.5735999999997</v>
      </c>
      <c r="F63" s="28">
        <f>'MF-STEEL(KG)'!F62*O$1*B$1+(D$1+F$1)+'MACHINE RATE'!F34*O$1</f>
        <v>2823.8631999999998</v>
      </c>
      <c r="G63" s="26">
        <f>'MF-STEEL(KG)'!G62*O$1*B$1+(D$1+F$1)+'MACHINE RATE'!G34*O$1</f>
        <v>1920.9835</v>
      </c>
      <c r="H63" s="27">
        <f>'MF-STEEL(KG)'!H62*O$1*B$1+(D$1+F$1)+'MACHINE RATE'!H34*O$1</f>
        <v>2454.2664</v>
      </c>
      <c r="I63" s="27">
        <f>'MF-STEEL(KG)'!I62*O$1*B$1+(D$1+F$1)+'MACHINE RATE'!I34*O$1</f>
        <v>2602.3015999999998</v>
      </c>
      <c r="J63" s="27">
        <f>'MF-STEEL(KG)'!J62*O$1*B$1+(D$1+F$1)+'MACHINE RATE'!J34*O$1</f>
        <v>2768.7183999999997</v>
      </c>
      <c r="K63" s="28">
        <f>'MF-STEEL(KG)'!K62*O$1*B$1+(D$1+F$1)+'MACHINE RATE'!K34*O$1</f>
        <v>2941.2623999999996</v>
      </c>
      <c r="L63" s="29">
        <f>'MF-STEEL(KG)'!L62*O$1*B$1+(D$1+F$1)+'MACHINE RATE'!L34*O$1</f>
        <v>2086.085</v>
      </c>
      <c r="M63" s="27">
        <f>'MF-STEEL(KG)'!M62*O$1*B$1+(D$1+F$1)+'MACHINE RATE'!M34*O$1</f>
        <v>2658.4288000000001</v>
      </c>
      <c r="N63" s="27">
        <f>'MF-STEEL(KG)'!N62*O$1*B$1+(D$1+F$1)+'MACHINE RATE'!N34*O$1</f>
        <v>2806.4639999999999</v>
      </c>
      <c r="O63" s="27">
        <f>'MF-STEEL(KG)'!O62*O$1*B$1+(D$1+F$1)+'MACHINE RATE'!O34*O$1</f>
        <v>2979.0079999999998</v>
      </c>
      <c r="P63" s="30">
        <f>'MF-STEEL(KG)'!P62*O$1*B$1+(D$1+F$1)+'MACHINE RATE'!P34*O$1</f>
        <v>3151.5519999999997</v>
      </c>
      <c r="Q63" s="26">
        <f>'MF-STEEL(KG)'!O$1*B$1+(D$1+F$1)+'MACHINE RATE'!Q34*O$1</f>
        <v>1050</v>
      </c>
      <c r="R63" s="27">
        <f>'MF-STEEL(KG)'!R62*O$1*B$1+(D$1+F$1)+'MACHINE RATE'!R34*O$1</f>
        <v>2813.5735999999997</v>
      </c>
      <c r="S63" s="27">
        <f>'MF-STEEL(KG)'!S62*O$1*B$1+(D$1+F$1)+'MACHINE RATE'!S34*O$1</f>
        <v>2961.6088</v>
      </c>
      <c r="T63" s="27">
        <f>'MF-STEEL(KG)'!T62*O$1*B$1+(D$1+F$1)+'MACHINE RATE'!T34*O$1</f>
        <v>3134.1528000000003</v>
      </c>
      <c r="U63" s="28">
        <f>'MF-STEEL(KG)'!U62*O$1*B$1+(D$1+F$1)+'MACHINE RATE'!U34*O$1</f>
        <v>3318.9512</v>
      </c>
      <c r="X63" s="45">
        <f>B63*'Steel Calculations'!B7</f>
        <v>0</v>
      </c>
      <c r="Y63" s="45">
        <f>C63*'Steel Calculations'!C7</f>
        <v>0</v>
      </c>
      <c r="Z63" s="45">
        <f>D63*'Steel Calculations'!D7</f>
        <v>0</v>
      </c>
      <c r="AA63" s="45">
        <f>E63*'Steel Calculations'!E7</f>
        <v>0</v>
      </c>
      <c r="AB63" s="45">
        <f>F63*'Steel Calculations'!F7</f>
        <v>0</v>
      </c>
      <c r="AC63" s="45">
        <f>G63*'Steel Calculations'!G7</f>
        <v>0</v>
      </c>
      <c r="AD63" s="45">
        <f>H63*'Steel Calculations'!H7</f>
        <v>0</v>
      </c>
      <c r="AE63" s="45">
        <f>I63*'Steel Calculations'!I7</f>
        <v>0</v>
      </c>
      <c r="AF63" s="45">
        <f>J63*'Steel Calculations'!J7</f>
        <v>0</v>
      </c>
      <c r="AG63" s="45">
        <f>K63*'Steel Calculations'!K7</f>
        <v>0</v>
      </c>
      <c r="AH63" s="45">
        <f>L63*'Steel Calculations'!L7</f>
        <v>0</v>
      </c>
      <c r="AI63" s="45">
        <f>M63*'Steel Calculations'!M7</f>
        <v>0</v>
      </c>
      <c r="AJ63" s="45">
        <f>N63*'Steel Calculations'!N7</f>
        <v>0</v>
      </c>
      <c r="AK63" s="45">
        <f>O63*'Steel Calculations'!O7</f>
        <v>0</v>
      </c>
      <c r="AL63" s="45">
        <f>P63*'Steel Calculations'!P7</f>
        <v>0</v>
      </c>
      <c r="AM63" s="45">
        <f>Q63*'Steel Calculations'!Q7</f>
        <v>0</v>
      </c>
      <c r="AN63" s="45">
        <f>R63*'Steel Calculations'!R7</f>
        <v>0</v>
      </c>
      <c r="AO63" s="45">
        <f>S63*'Steel Calculations'!S7</f>
        <v>0</v>
      </c>
      <c r="AP63" s="45">
        <f>T63*'Steel Calculations'!T7</f>
        <v>0</v>
      </c>
      <c r="AQ63" s="45">
        <f>U63*'Steel Calculations'!U7</f>
        <v>0</v>
      </c>
      <c r="AS63" s="51"/>
      <c r="AT63" s="51"/>
      <c r="AU63" s="51"/>
      <c r="AV63" s="51"/>
      <c r="AW63" s="51"/>
      <c r="AX63" s="51"/>
      <c r="AY63" s="51"/>
      <c r="AZ63" s="51"/>
    </row>
    <row r="64" spans="1:52">
      <c r="AR64" s="45">
        <f>SUM(X59:AQ63)-M$1*(20*B$1+'MACHINE RATE'!V34)</f>
        <v>6415.8559999999998</v>
      </c>
      <c r="AS64" s="51"/>
      <c r="AT64" s="51"/>
      <c r="AU64" s="51"/>
      <c r="AV64" s="51"/>
      <c r="AW64" s="51"/>
      <c r="AX64" s="51"/>
      <c r="AY64" s="51"/>
      <c r="AZ64" s="51"/>
    </row>
    <row r="65" spans="1:52" ht="15.75" thickBot="1">
      <c r="A65" s="533" t="s">
        <v>242</v>
      </c>
      <c r="B65" s="534"/>
      <c r="C65" s="534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AS65" s="51"/>
      <c r="AT65" s="51"/>
      <c r="AU65" s="51"/>
      <c r="AV65" s="51"/>
      <c r="AW65" s="51"/>
      <c r="AX65" s="51"/>
      <c r="AY65" s="51"/>
      <c r="AZ65" s="51"/>
    </row>
    <row r="66" spans="1:52" ht="13.5" thickBot="1">
      <c r="A66" s="20" t="s">
        <v>0</v>
      </c>
      <c r="B66" s="529" t="s">
        <v>194</v>
      </c>
      <c r="C66" s="530"/>
      <c r="D66" s="530"/>
      <c r="E66" s="530"/>
      <c r="F66" s="531"/>
      <c r="G66" s="532" t="s">
        <v>195</v>
      </c>
      <c r="H66" s="530"/>
      <c r="I66" s="530"/>
      <c r="J66" s="530"/>
      <c r="K66" s="531"/>
      <c r="L66" s="532" t="s">
        <v>196</v>
      </c>
      <c r="M66" s="530"/>
      <c r="N66" s="530"/>
      <c r="O66" s="530"/>
      <c r="P66" s="531"/>
      <c r="Q66" s="532" t="s">
        <v>197</v>
      </c>
      <c r="R66" s="530"/>
      <c r="S66" s="530"/>
      <c r="T66" s="530"/>
      <c r="U66" s="531"/>
      <c r="AS66" s="51"/>
      <c r="AT66" s="51"/>
      <c r="AU66" s="51"/>
      <c r="AV66" s="51"/>
      <c r="AW66" s="51"/>
      <c r="AX66" s="51"/>
      <c r="AY66" s="51"/>
      <c r="AZ66" s="51"/>
    </row>
    <row r="67" spans="1:52" ht="13.5" thickBot="1">
      <c r="A67" s="21"/>
      <c r="B67" s="22" t="s">
        <v>198</v>
      </c>
      <c r="C67" s="22" t="s">
        <v>199</v>
      </c>
      <c r="D67" s="22" t="s">
        <v>200</v>
      </c>
      <c r="E67" s="22" t="s">
        <v>201</v>
      </c>
      <c r="F67" s="23" t="s">
        <v>202</v>
      </c>
      <c r="G67" s="22" t="s">
        <v>198</v>
      </c>
      <c r="H67" s="22" t="s">
        <v>199</v>
      </c>
      <c r="I67" s="22" t="s">
        <v>200</v>
      </c>
      <c r="J67" s="22" t="s">
        <v>201</v>
      </c>
      <c r="K67" s="22" t="s">
        <v>202</v>
      </c>
      <c r="L67" s="24" t="s">
        <v>198</v>
      </c>
      <c r="M67" s="22" t="s">
        <v>199</v>
      </c>
      <c r="N67" s="22" t="s">
        <v>200</v>
      </c>
      <c r="O67" s="22" t="s">
        <v>201</v>
      </c>
      <c r="P67" s="22" t="s">
        <v>202</v>
      </c>
      <c r="Q67" s="22" t="s">
        <v>198</v>
      </c>
      <c r="R67" s="22" t="s">
        <v>199</v>
      </c>
      <c r="S67" s="22" t="s">
        <v>200</v>
      </c>
      <c r="T67" s="22" t="s">
        <v>201</v>
      </c>
      <c r="U67" s="22" t="s">
        <v>202</v>
      </c>
      <c r="AS67" s="51"/>
      <c r="AT67" s="51"/>
      <c r="AU67" s="51"/>
      <c r="AV67" s="51"/>
      <c r="AW67" s="51"/>
      <c r="AX67" s="51"/>
      <c r="AY67" s="51"/>
      <c r="AZ67" s="51"/>
    </row>
    <row r="68" spans="1:52" ht="13.5" thickBot="1">
      <c r="A68" s="25" t="s">
        <v>203</v>
      </c>
      <c r="B68" s="26">
        <f>'MF-STEEL(KG)'!B67*O$1*B$1+(D$1+F$1)+'MACHINE RATE'!B4*O$1</f>
        <v>1216.5360000000001</v>
      </c>
      <c r="C68" s="27">
        <f>'MF-STEEL(KG)'!C67*O$1*B$1+(D$1+F$1)+'MACHINE RATE'!C4*O$1</f>
        <v>1608.2528</v>
      </c>
      <c r="D68" s="27">
        <f>'MF-STEEL(KG)'!D67*O$1*B$1+(D$1+F$1)+'MACHINE RATE'!D4*O$1</f>
        <v>1734.4576</v>
      </c>
      <c r="E68" s="27">
        <f>'MF-STEEL(KG)'!E67*O$1*B$1+(D$1+F$1)+'MACHINE RATE'!E4*O$1</f>
        <v>1860.6623999999999</v>
      </c>
      <c r="F68" s="28">
        <f>'MF-STEEL(KG)'!F67*O$1*B$1+(D$1+F$1)+'MACHINE RATE'!F4*O$1</f>
        <v>1986.8672000000001</v>
      </c>
      <c r="G68" s="26">
        <f>'MF-STEEL(KG)'!G67*O$1*B$1+(D$1+F$1)+'MACHINE RATE'!G4*O$1</f>
        <v>1261.4277499999998</v>
      </c>
      <c r="H68" s="27">
        <f>'MF-STEEL(KG)'!H67*O$1*B$1+(D$1+F$1)+'MACHINE RATE'!H4*O$1</f>
        <v>1658.0796</v>
      </c>
      <c r="I68" s="27">
        <f>'MF-STEEL(KG)'!I67*O$1*B$1+(D$1+F$1)+'MACHINE RATE'!I4*O$1</f>
        <v>1794.2843999999998</v>
      </c>
      <c r="J68" s="27">
        <f>'MF-STEEL(KG)'!J67*O$1*B$1+(D$1+F$1)+'MACHINE RATE'!J4*O$1</f>
        <v>1937.127</v>
      </c>
      <c r="K68" s="28">
        <f>'MF-STEEL(KG)'!K67*O$1*B$1+(D$1+F$1)+'MACHINE RATE'!K4*O$1</f>
        <v>1879.9695999999999</v>
      </c>
      <c r="L68" s="29">
        <f>'MF-STEEL(KG)'!L67*O$1*B$1+(D$1+F$1)+'MACHINE RATE'!L4*O$1</f>
        <v>1260.3598750000001</v>
      </c>
      <c r="M68" s="27">
        <f>'MF-STEEL(KG)'!M67*O$1*B$1+(D$1+F$1)+'MACHINE RATE'!M4*O$1</f>
        <v>1704.3710000000001</v>
      </c>
      <c r="N68" s="27">
        <f>'MF-STEEL(KG)'!N67*O$1*B$1+(D$1+F$1)+'MACHINE RATE'!N4*O$1</f>
        <v>1935.5757999999998</v>
      </c>
      <c r="O68" s="27">
        <f>'MF-STEEL(KG)'!O67*O$1*B$1+(D$1+F$1)+'MACHINE RATE'!O4*O$1</f>
        <v>2080.0562</v>
      </c>
      <c r="P68" s="30">
        <f>'MF-STEEL(KG)'!P67*O$1*B$1+(D$1+F$1)+'MACHINE RATE'!P4*O$1</f>
        <v>2219.5365999999999</v>
      </c>
      <c r="Q68" s="26">
        <f>'MF-STEEL(KG)'!O$1*B$1+(D$1+F$1)+'MACHINE RATE'!Q4*O$1</f>
        <v>520</v>
      </c>
      <c r="R68" s="27">
        <f>'MF-STEEL(KG)'!R67*O$1*B$1+(D$1+F$1)+'MACHINE RATE'!R4*O$1</f>
        <v>1884.1977999999999</v>
      </c>
      <c r="S68" s="27">
        <f>'MF-STEEL(KG)'!S67*O$1*B$1+(D$1+F$1)+'MACHINE RATE'!S4*O$1</f>
        <v>2020.4025999999997</v>
      </c>
      <c r="T68" s="27">
        <f>'MF-STEEL(KG)'!T67*O$1*B$1+(D$1+F$1)+'MACHINE RATE'!T4*O$1</f>
        <v>2176.5208000000002</v>
      </c>
      <c r="U68" s="28">
        <f>'MF-STEEL(KG)'!U67*O$1*B$1+(D$1+F$1)+'MACHINE RATE'!U4*O$1</f>
        <v>2332.6390000000001</v>
      </c>
      <c r="X68" s="45">
        <f>B68*'Steel Calculations'!B3</f>
        <v>0</v>
      </c>
      <c r="Y68" s="45">
        <f>C68*'Steel Calculations'!C3</f>
        <v>0</v>
      </c>
      <c r="Z68" s="45">
        <f>D68*'Steel Calculations'!D3</f>
        <v>0</v>
      </c>
      <c r="AA68" s="45">
        <f>E68*'Steel Calculations'!E3</f>
        <v>0</v>
      </c>
      <c r="AB68" s="45">
        <f>F68*'Steel Calculations'!F3</f>
        <v>0</v>
      </c>
      <c r="AC68" s="45">
        <f>G68*'Steel Calculations'!G3</f>
        <v>0</v>
      </c>
      <c r="AD68" s="45">
        <f>H68*'Steel Calculations'!H3</f>
        <v>0</v>
      </c>
      <c r="AE68" s="45">
        <f>I68*'Steel Calculations'!I3</f>
        <v>0</v>
      </c>
      <c r="AF68" s="45">
        <f>J68*'Steel Calculations'!J3</f>
        <v>0</v>
      </c>
      <c r="AG68" s="45">
        <f>K68*'Steel Calculations'!K3</f>
        <v>0</v>
      </c>
      <c r="AH68" s="45">
        <f>L68*'Steel Calculations'!L3</f>
        <v>0</v>
      </c>
      <c r="AI68" s="45">
        <f>M68*'Steel Calculations'!M3</f>
        <v>0</v>
      </c>
      <c r="AJ68" s="45">
        <f>N68*'Steel Calculations'!N3</f>
        <v>0</v>
      </c>
      <c r="AK68" s="45">
        <f>O68*'Steel Calculations'!O3</f>
        <v>0</v>
      </c>
      <c r="AL68" s="45">
        <f>P68*'Steel Calculations'!P3</f>
        <v>0</v>
      </c>
      <c r="AM68" s="45">
        <f>Q68*'Steel Calculations'!Q3</f>
        <v>0</v>
      </c>
      <c r="AN68" s="45">
        <f>R68*'Steel Calculations'!R3</f>
        <v>0</v>
      </c>
      <c r="AO68" s="45">
        <f>S68*'Steel Calculations'!S3</f>
        <v>0</v>
      </c>
      <c r="AP68" s="45">
        <f>T68*'Steel Calculations'!T3</f>
        <v>0</v>
      </c>
      <c r="AQ68" s="45">
        <f>U68*'Steel Calculations'!U3</f>
        <v>0</v>
      </c>
      <c r="AS68" s="49"/>
      <c r="AT68" s="49"/>
      <c r="AU68" s="49"/>
      <c r="AV68" s="49"/>
      <c r="AW68" s="49"/>
      <c r="AX68" s="49"/>
      <c r="AY68" s="49"/>
    </row>
    <row r="69" spans="1:52" ht="13.5" thickBot="1">
      <c r="A69" s="25" t="s">
        <v>204</v>
      </c>
      <c r="B69" s="26">
        <f>'MF-STEEL(KG)'!B68*O$1*B$1+(D$1+F$1)+'MACHINE RATE'!B5*O$1</f>
        <v>1298.7653749999999</v>
      </c>
      <c r="C69" s="27">
        <f>'MF-STEEL(KG)'!C68*O$1*B$1+(D$1+F$1)+'MACHINE RATE'!C5*O$1</f>
        <v>1727.8198</v>
      </c>
      <c r="D69" s="27">
        <f>'MF-STEEL(KG)'!D68*O$1*B$1+(D$1+F$1)+'MACHINE RATE'!D5*O$1</f>
        <v>1854.0246</v>
      </c>
      <c r="E69" s="27">
        <f>'MF-STEEL(KG)'!E68*O$1*B$1+(D$1+F$1)+'MACHINE RATE'!E5*O$1</f>
        <v>1993.5050000000001</v>
      </c>
      <c r="F69" s="28">
        <f>'MF-STEEL(KG)'!F68*O$1*B$1+(D$1+F$1)+'MACHINE RATE'!F5*O$1</f>
        <v>2126.3476000000001</v>
      </c>
      <c r="G69" s="26">
        <f>'MF-STEEL(KG)'!G68*O$1*B$1+(D$1+F$1)+'MACHINE RATE'!G5*O$1</f>
        <v>1360.2516250000001</v>
      </c>
      <c r="H69" s="27">
        <f>'MF-STEEL(KG)'!H68*O$1*B$1+(D$1+F$1)+'MACHINE RATE'!H5*O$1</f>
        <v>1804.1977999999999</v>
      </c>
      <c r="I69" s="27">
        <f>'MF-STEEL(KG)'!I68*O$1*B$1+(D$1+F$1)+'MACHINE RATE'!I5*O$1</f>
        <v>1940.4025999999997</v>
      </c>
      <c r="J69" s="27">
        <f>'MF-STEEL(KG)'!J68*O$1*B$1+(D$1+F$1)+'MACHINE RATE'!J5*O$1</f>
        <v>2076.6073999999999</v>
      </c>
      <c r="K69" s="28">
        <f>'MF-STEEL(KG)'!K68*O$1*B$1+(D$1+F$1)+'MACHINE RATE'!K5*O$1</f>
        <v>2026.0877999999998</v>
      </c>
      <c r="L69" s="29">
        <f>'MF-STEEL(KG)'!L68*O$1*B$1+(D$1+F$1)+'MACHINE RATE'!L5*O$1</f>
        <v>1359.1837500000001</v>
      </c>
      <c r="M69" s="27">
        <f>'MF-STEEL(KG)'!M68*O$1*B$1+(D$1+F$1)+'MACHINE RATE'!M5*O$1</f>
        <v>1850.4892</v>
      </c>
      <c r="N69" s="27">
        <f>'MF-STEEL(KG)'!N68*O$1*B$1+(D$1+F$1)+'MACHINE RATE'!N5*O$1</f>
        <v>2081.6940000000004</v>
      </c>
      <c r="O69" s="27">
        <f>'MF-STEEL(KG)'!O68*O$1*B$1+(D$1+F$1)+'MACHINE RATE'!O5*O$1</f>
        <v>2232.8122000000003</v>
      </c>
      <c r="P69" s="30">
        <f>'MF-STEEL(KG)'!P68*O$1*B$1+(D$1+F$1)+'MACHINE RATE'!P5*O$1</f>
        <v>2372.2925999999998</v>
      </c>
      <c r="Q69" s="26">
        <f>'MF-STEEL(KG)'!O$1*B$1+(D$1+F$1)+'MACHINE RATE'!Q5*O$1</f>
        <v>540</v>
      </c>
      <c r="R69" s="27">
        <f>'MF-STEEL(KG)'!R68*O$1*B$1+(D$1+F$1)+'MACHINE RATE'!R5*O$1</f>
        <v>2056.8672000000001</v>
      </c>
      <c r="S69" s="27">
        <f>'MF-STEEL(KG)'!S68*O$1*B$1+(D$1+F$1)+'MACHINE RATE'!S5*O$1</f>
        <v>2193.0720000000001</v>
      </c>
      <c r="T69" s="27">
        <f>'MF-STEEL(KG)'!T68*O$1*B$1+(D$1+F$1)+'MACHINE RATE'!T5*O$1</f>
        <v>2335.9146000000001</v>
      </c>
      <c r="U69" s="28">
        <f>'MF-STEEL(KG)'!U68*O$1*B$1+(D$1+F$1)+'MACHINE RATE'!U5*O$1</f>
        <v>2492.0328</v>
      </c>
      <c r="X69" s="45">
        <f>B69*'Steel Calculations'!B4</f>
        <v>0</v>
      </c>
      <c r="Y69" s="45">
        <f>C69*'Steel Calculations'!C4</f>
        <v>0</v>
      </c>
      <c r="Z69" s="45">
        <f>D69*'Steel Calculations'!D4</f>
        <v>0</v>
      </c>
      <c r="AA69" s="45">
        <f>E69*'Steel Calculations'!E4</f>
        <v>0</v>
      </c>
      <c r="AB69" s="45">
        <f>F69*'Steel Calculations'!F4</f>
        <v>0</v>
      </c>
      <c r="AC69" s="45">
        <f>G69*'Steel Calculations'!G4</f>
        <v>0</v>
      </c>
      <c r="AD69" s="45">
        <f>H69*'Steel Calculations'!H4</f>
        <v>0</v>
      </c>
      <c r="AE69" s="45">
        <f>I69*'Steel Calculations'!I4</f>
        <v>0</v>
      </c>
      <c r="AF69" s="45">
        <f>J69*'Steel Calculations'!J4</f>
        <v>0</v>
      </c>
      <c r="AG69" s="45">
        <f>K69*'Steel Calculations'!K4</f>
        <v>0</v>
      </c>
      <c r="AH69" s="45">
        <f>L69*'Steel Calculations'!L4</f>
        <v>0</v>
      </c>
      <c r="AI69" s="45">
        <f>M69*'Steel Calculations'!M4</f>
        <v>0</v>
      </c>
      <c r="AJ69" s="45">
        <f>N69*'Steel Calculations'!N4</f>
        <v>0</v>
      </c>
      <c r="AK69" s="45">
        <f>O69*'Steel Calculations'!O4</f>
        <v>0</v>
      </c>
      <c r="AL69" s="45">
        <f>P69*'Steel Calculations'!P4</f>
        <v>0</v>
      </c>
      <c r="AM69" s="45">
        <f>Q69*'Steel Calculations'!Q4</f>
        <v>0</v>
      </c>
      <c r="AN69" s="45">
        <f>R69*'Steel Calculations'!R4</f>
        <v>0</v>
      </c>
      <c r="AO69" s="45">
        <f>S69*'Steel Calculations'!S4</f>
        <v>0</v>
      </c>
      <c r="AP69" s="45">
        <f>T69*'Steel Calculations'!T4</f>
        <v>0</v>
      </c>
      <c r="AQ69" s="45">
        <f>U69*'Steel Calculations'!U4</f>
        <v>0</v>
      </c>
      <c r="AS69" s="45">
        <f>R69*'Steel Calculations'!$B$13</f>
        <v>0</v>
      </c>
      <c r="AT69" s="45">
        <f>S69*'Steel Calculations'!$C$13</f>
        <v>0</v>
      </c>
      <c r="AU69" s="45">
        <f>T69*'Steel Calculations'!$D$13</f>
        <v>0</v>
      </c>
      <c r="AV69" s="45">
        <f>U69*'Steel Calculations'!$E$13</f>
        <v>0</v>
      </c>
      <c r="AW69" s="45">
        <f>S69*'Steel Calculations'!$F$13</f>
        <v>0</v>
      </c>
      <c r="AX69" s="45">
        <f>T69*'Steel Calculations'!$G$13</f>
        <v>0</v>
      </c>
      <c r="AY69" s="45">
        <f>U69*'Steel Calculations'!$H$13</f>
        <v>0</v>
      </c>
    </row>
    <row r="70" spans="1:52" ht="13.5" thickBot="1">
      <c r="A70" s="25" t="s">
        <v>205</v>
      </c>
      <c r="B70" s="26">
        <f>'MF-STEEL(KG)'!B69*O$1*B$1+(D$1+F$1)+'MACHINE RATE'!B6*O$1</f>
        <v>1405.8865000000001</v>
      </c>
      <c r="C70" s="27">
        <f>'MF-STEEL(KG)'!C69*O$1*B$1+(D$1+F$1)+'MACHINE RATE'!C6*O$1</f>
        <v>1887.2135999999998</v>
      </c>
      <c r="D70" s="27">
        <f>'MF-STEEL(KG)'!D69*O$1*B$1+(D$1+F$1)+'MACHINE RATE'!D6*O$1</f>
        <v>2013.4184</v>
      </c>
      <c r="E70" s="27">
        <f>'MF-STEEL(KG)'!E69*O$1*B$1+(D$1+F$1)+'MACHINE RATE'!E6*O$1</f>
        <v>2159.5365999999999</v>
      </c>
      <c r="F70" s="28">
        <f>'MF-STEEL(KG)'!F69*O$1*B$1+(D$1+F$1)+'MACHINE RATE'!F6*O$1</f>
        <v>2299.0170000000003</v>
      </c>
      <c r="G70" s="26">
        <f>'MF-STEEL(KG)'!G69*O$1*B$1+(D$1+F$1)+'MACHINE RATE'!G6*O$1</f>
        <v>1463.224125</v>
      </c>
      <c r="H70" s="27">
        <f>'MF-STEEL(KG)'!H69*O$1*B$1+(D$1+F$1)+'MACHINE RATE'!H6*O$1</f>
        <v>1956.9538</v>
      </c>
      <c r="I70" s="27">
        <f>'MF-STEEL(KG)'!I69*O$1*B$1+(D$1+F$1)+'MACHINE RATE'!I6*O$1</f>
        <v>2093.1585999999998</v>
      </c>
      <c r="J70" s="27">
        <f>'MF-STEEL(KG)'!J69*O$1*B$1+(D$1+F$1)+'MACHINE RATE'!J6*O$1</f>
        <v>2249.2767999999996</v>
      </c>
      <c r="K70" s="28">
        <f>'MF-STEEL(KG)'!K69*O$1*B$1+(D$1+F$1)+'MACHINE RATE'!K6*O$1</f>
        <v>2212.0328</v>
      </c>
      <c r="L70" s="29">
        <f>'MF-STEEL(KG)'!L69*O$1*B$1+(D$1+F$1)+'MACHINE RATE'!L6*O$1</f>
        <v>1478.7507500000002</v>
      </c>
      <c r="M70" s="27">
        <f>'MF-STEEL(KG)'!M69*O$1*B$1+(D$1+F$1)+'MACHINE RATE'!M6*O$1</f>
        <v>2029.7963999999997</v>
      </c>
      <c r="N70" s="27">
        <f>'MF-STEEL(KG)'!N69*O$1*B$1+(D$1+F$1)+'MACHINE RATE'!N6*O$1</f>
        <v>2261.0011999999997</v>
      </c>
      <c r="O70" s="27">
        <f>'MF-STEEL(KG)'!O69*O$1*B$1+(D$1+F$1)+'MACHINE RATE'!O6*O$1</f>
        <v>2418.7572</v>
      </c>
      <c r="P70" s="30">
        <f>'MF-STEEL(KG)'!P69*O$1*B$1+(D$1+F$1)+'MACHINE RATE'!P6*O$1</f>
        <v>2571.5132000000003</v>
      </c>
      <c r="Q70" s="26">
        <f>'MF-STEEL(KG)'!O$1*B$1+(D$1+F$1)+'MACHINE RATE'!Q6*O$1</f>
        <v>560</v>
      </c>
      <c r="R70" s="27">
        <f>'MF-STEEL(KG)'!R69*O$1*B$1+(D$1+F$1)+'MACHINE RATE'!R6*O$1</f>
        <v>2229.5365999999999</v>
      </c>
      <c r="S70" s="27">
        <f>'MF-STEEL(KG)'!S69*O$1*B$1+(D$1+F$1)+'MACHINE RATE'!S6*O$1</f>
        <v>2365.7413999999999</v>
      </c>
      <c r="T70" s="27">
        <f>'MF-STEEL(KG)'!T69*O$1*B$1+(D$1+F$1)+'MACHINE RATE'!T6*O$1</f>
        <v>2528.4973999999997</v>
      </c>
      <c r="U70" s="28">
        <f>'MF-STEEL(KG)'!U69*O$1*B$1+(D$1+F$1)+'MACHINE RATE'!U6*O$1</f>
        <v>2704.529</v>
      </c>
      <c r="X70" s="45">
        <f>B70*'Steel Calculations'!B5</f>
        <v>0</v>
      </c>
      <c r="Y70" s="45">
        <f>C70*'Steel Calculations'!C5</f>
        <v>0</v>
      </c>
      <c r="Z70" s="45">
        <f>D70*'Steel Calculations'!D5</f>
        <v>0</v>
      </c>
      <c r="AA70" s="45">
        <f>E70*'Steel Calculations'!E5</f>
        <v>0</v>
      </c>
      <c r="AB70" s="45">
        <f>F70*'Steel Calculations'!F5</f>
        <v>0</v>
      </c>
      <c r="AC70" s="45">
        <f>G70*'Steel Calculations'!G5</f>
        <v>0</v>
      </c>
      <c r="AD70" s="45">
        <f>H70*'Steel Calculations'!H5</f>
        <v>0</v>
      </c>
      <c r="AE70" s="45">
        <f>I70*'Steel Calculations'!I5</f>
        <v>4186.3171999999995</v>
      </c>
      <c r="AF70" s="45">
        <f>J70*'Steel Calculations'!J5</f>
        <v>2249.2767999999996</v>
      </c>
      <c r="AG70" s="45">
        <f>K70*'Steel Calculations'!K5</f>
        <v>0</v>
      </c>
      <c r="AH70" s="45">
        <f>L70*'Steel Calculations'!L5</f>
        <v>0</v>
      </c>
      <c r="AI70" s="45">
        <f>M70*'Steel Calculations'!M5</f>
        <v>0</v>
      </c>
      <c r="AJ70" s="45">
        <f>N70*'Steel Calculations'!N5</f>
        <v>0</v>
      </c>
      <c r="AK70" s="45">
        <f>O70*'Steel Calculations'!O5</f>
        <v>0</v>
      </c>
      <c r="AL70" s="45">
        <f>P70*'Steel Calculations'!P5</f>
        <v>0</v>
      </c>
      <c r="AM70" s="45">
        <f>Q70*'Steel Calculations'!Q5</f>
        <v>0</v>
      </c>
      <c r="AN70" s="45">
        <f>R70*'Steel Calculations'!R5</f>
        <v>0</v>
      </c>
      <c r="AO70" s="45">
        <f>S70*'Steel Calculations'!S5</f>
        <v>0</v>
      </c>
      <c r="AP70" s="45">
        <f>T70*'Steel Calculations'!T5</f>
        <v>0</v>
      </c>
      <c r="AQ70" s="45">
        <f>U70*'Steel Calculations'!U5</f>
        <v>0</v>
      </c>
      <c r="AS70" s="45">
        <f>R70*'Steel Calculations'!$B$14</f>
        <v>0</v>
      </c>
      <c r="AT70" s="45">
        <f>S70*'Steel Calculations'!$C$14</f>
        <v>0</v>
      </c>
      <c r="AU70" s="45">
        <f>T70*'Steel Calculations'!$D$14</f>
        <v>0</v>
      </c>
      <c r="AV70" s="45">
        <f>U70*'Steel Calculations'!$E$14</f>
        <v>0</v>
      </c>
      <c r="AW70" s="45">
        <f>S70*'Steel Calculations'!$F$14</f>
        <v>0</v>
      </c>
      <c r="AX70" s="45">
        <f>T70*'Steel Calculations'!$G$14</f>
        <v>0</v>
      </c>
      <c r="AY70" s="45">
        <f>U70*'Steel Calculations'!$H$14</f>
        <v>0</v>
      </c>
    </row>
    <row r="71" spans="1:52" ht="13.5" thickBot="1">
      <c r="A71" s="25" t="s">
        <v>206</v>
      </c>
      <c r="B71" s="26">
        <f>'MF-STEEL(KG)'!B70*O$1*B$1+(D$1+F$1)+'MACHINE RATE'!B7*O$1</f>
        <v>1492.2645</v>
      </c>
      <c r="C71" s="27">
        <f>'MF-STEEL(KG)'!C70*O$1*B$1+(D$1+F$1)+'MACHINE RATE'!C7*O$1</f>
        <v>2013.4183999999998</v>
      </c>
      <c r="D71" s="27">
        <f>'MF-STEEL(KG)'!D70*O$1*B$1+(D$1+F$1)+'MACHINE RATE'!D7*O$1</f>
        <v>2139.6232</v>
      </c>
      <c r="E71" s="27">
        <f>'MF-STEEL(KG)'!E70*O$1*B$1+(D$1+F$1)+'MACHINE RATE'!E7*O$1</f>
        <v>2285.7413999999999</v>
      </c>
      <c r="F71" s="28">
        <f>'MF-STEEL(KG)'!F70*O$1*B$1+(D$1+F$1)+'MACHINE RATE'!F7*O$1</f>
        <v>2425.2218000000003</v>
      </c>
      <c r="G71" s="26">
        <f>'MF-STEEL(KG)'!G70*O$1*B$1+(D$1+F$1)+'MACHINE RATE'!G7*O$1</f>
        <v>1549.6021249999999</v>
      </c>
      <c r="H71" s="27">
        <f>'MF-STEEL(KG)'!H70*O$1*B$1+(D$1+F$1)+'MACHINE RATE'!H7*O$1</f>
        <v>2083.1585999999998</v>
      </c>
      <c r="I71" s="27">
        <f>'MF-STEEL(KG)'!I70*O$1*B$1+(D$1+F$1)+'MACHINE RATE'!I7*O$1</f>
        <v>2219.3634000000002</v>
      </c>
      <c r="J71" s="27">
        <f>'MF-STEEL(KG)'!J70*O$1*B$1+(D$1+F$1)+'MACHINE RATE'!J7*O$1</f>
        <v>2375.4816000000001</v>
      </c>
      <c r="K71" s="28">
        <f>'MF-STEEL(KG)'!K70*O$1*B$1+(D$1+F$1)+'MACHINE RATE'!K7*O$1</f>
        <v>2338.2375999999999</v>
      </c>
      <c r="L71" s="29">
        <f>'MF-STEEL(KG)'!L70*O$1*B$1+(D$1+F$1)+'MACHINE RATE'!L7*O$1</f>
        <v>1565.1287499999999</v>
      </c>
      <c r="M71" s="27">
        <f>'MF-STEEL(KG)'!M70*O$1*B$1+(D$1+F$1)+'MACHINE RATE'!M7*O$1</f>
        <v>2156.0011999999997</v>
      </c>
      <c r="N71" s="27">
        <f>'MF-STEEL(KG)'!N70*O$1*B$1+(D$1+F$1)+'MACHINE RATE'!N7*O$1</f>
        <v>2387.2060000000001</v>
      </c>
      <c r="O71" s="27">
        <f>'MF-STEEL(KG)'!O70*O$1*B$1+(D$1+F$1)+'MACHINE RATE'!O7*O$1</f>
        <v>2544.962</v>
      </c>
      <c r="P71" s="30">
        <f>'MF-STEEL(KG)'!P70*O$1*B$1+(D$1+F$1)+'MACHINE RATE'!P7*O$1</f>
        <v>2697.7179999999998</v>
      </c>
      <c r="Q71" s="26">
        <f>'MF-STEEL(KG)'!O$1*B$1+(D$1+F$1)+'MACHINE RATE'!Q7*O$1</f>
        <v>580</v>
      </c>
      <c r="R71" s="27">
        <f>'MF-STEEL(KG)'!R70*O$1*B$1+(D$1+F$1)+'MACHINE RATE'!R7*O$1</f>
        <v>2355.7413999999999</v>
      </c>
      <c r="S71" s="27">
        <f>'MF-STEEL(KG)'!S70*O$1*B$1+(D$1+F$1)+'MACHINE RATE'!S7*O$1</f>
        <v>2491.9462000000003</v>
      </c>
      <c r="T71" s="27">
        <f>'MF-STEEL(KG)'!T70*O$1*B$1+(D$1+F$1)+'MACHINE RATE'!T7*O$1</f>
        <v>2654.7022000000006</v>
      </c>
      <c r="U71" s="28">
        <f>'MF-STEEL(KG)'!U70*O$1*B$1+(D$1+F$1)+'MACHINE RATE'!U7*O$1</f>
        <v>2830.7338</v>
      </c>
      <c r="X71" s="45">
        <f>B71*'Steel Calculations'!B6</f>
        <v>0</v>
      </c>
      <c r="Y71" s="45">
        <f>C71*'Steel Calculations'!C6</f>
        <v>0</v>
      </c>
      <c r="Z71" s="45">
        <f>D71*'Steel Calculations'!D6</f>
        <v>0</v>
      </c>
      <c r="AA71" s="45">
        <f>E71*'Steel Calculations'!E6</f>
        <v>0</v>
      </c>
      <c r="AB71" s="45">
        <f>F71*'Steel Calculations'!F6</f>
        <v>0</v>
      </c>
      <c r="AC71" s="45">
        <f>G71*'Steel Calculations'!G6</f>
        <v>0</v>
      </c>
      <c r="AD71" s="45">
        <f>H71*'Steel Calculations'!H6</f>
        <v>0</v>
      </c>
      <c r="AE71" s="45">
        <f>I71*'Steel Calculations'!I6</f>
        <v>0</v>
      </c>
      <c r="AF71" s="45">
        <f>J71*'Steel Calculations'!J6</f>
        <v>0</v>
      </c>
      <c r="AG71" s="45">
        <f>K71*'Steel Calculations'!K6</f>
        <v>0</v>
      </c>
      <c r="AH71" s="45">
        <f>L71*'Steel Calculations'!L6</f>
        <v>0</v>
      </c>
      <c r="AI71" s="45">
        <f>M71*'Steel Calculations'!M6</f>
        <v>0</v>
      </c>
      <c r="AJ71" s="45">
        <f>N71*'Steel Calculations'!N6</f>
        <v>0</v>
      </c>
      <c r="AK71" s="45">
        <f>O71*'Steel Calculations'!O6</f>
        <v>0</v>
      </c>
      <c r="AL71" s="45">
        <f>P71*'Steel Calculations'!P6</f>
        <v>0</v>
      </c>
      <c r="AM71" s="45">
        <f>Q71*'Steel Calculations'!Q6</f>
        <v>0</v>
      </c>
      <c r="AN71" s="45">
        <f>R71*'Steel Calculations'!R6</f>
        <v>0</v>
      </c>
      <c r="AO71" s="45">
        <f>S71*'Steel Calculations'!S6</f>
        <v>0</v>
      </c>
      <c r="AP71" s="45">
        <f>T71*'Steel Calculations'!T6</f>
        <v>0</v>
      </c>
      <c r="AQ71" s="45">
        <f>U71*'Steel Calculations'!U6</f>
        <v>0</v>
      </c>
      <c r="AS71" s="45">
        <f>R71*'Steel Calculations'!$B$15</f>
        <v>0</v>
      </c>
      <c r="AT71" s="45">
        <f>S71*'Steel Calculations'!$C$15</f>
        <v>0</v>
      </c>
      <c r="AU71" s="45">
        <f>T71*'Steel Calculations'!$D$15</f>
        <v>0</v>
      </c>
      <c r="AV71" s="45">
        <f>U71*'Steel Calculations'!$E$15</f>
        <v>0</v>
      </c>
      <c r="AW71" s="45">
        <f>S71*'Steel Calculations'!$F$15</f>
        <v>0</v>
      </c>
      <c r="AX71" s="45">
        <f>T71*'Steel Calculations'!$G$15</f>
        <v>0</v>
      </c>
      <c r="AY71" s="45">
        <f>U71*'Steel Calculations'!$H$15</f>
        <v>0</v>
      </c>
    </row>
    <row r="72" spans="1:52" ht="13.5" thickBot="1">
      <c r="A72" s="25" t="s">
        <v>207</v>
      </c>
      <c r="B72" s="26">
        <f>'MF-STEEL(KG)'!B71*O$1*B$1+(D$1+F$1)+'MACHINE RATE'!B8*O$1</f>
        <v>1622.8945000000001</v>
      </c>
      <c r="C72" s="27">
        <f>'MF-STEEL(KG)'!C71*O$1*B$1+(D$1+F$1)+'MACHINE RATE'!C8*O$1</f>
        <v>2144.0483999999997</v>
      </c>
      <c r="D72" s="27">
        <f>'MF-STEEL(KG)'!D71*O$1*B$1+(D$1+F$1)+'MACHINE RATE'!D8*O$1</f>
        <v>2270.2532000000001</v>
      </c>
      <c r="E72" s="27">
        <f>'MF-STEEL(KG)'!E71*O$1*B$1+(D$1+F$1)+'MACHINE RATE'!E8*O$1</f>
        <v>2416.3714</v>
      </c>
      <c r="F72" s="28">
        <f>'MF-STEEL(KG)'!F71*O$1*B$1+(D$1+F$1)+'MACHINE RATE'!F8*O$1</f>
        <v>2555.8518000000004</v>
      </c>
      <c r="G72" s="26">
        <f>'MF-STEEL(KG)'!G71*O$1*B$1+(D$1+F$1)+'MACHINE RATE'!G8*O$1</f>
        <v>1680.232125</v>
      </c>
      <c r="H72" s="27">
        <f>'MF-STEEL(KG)'!H71*O$1*B$1+(D$1+F$1)+'MACHINE RATE'!H8*O$1</f>
        <v>2213.7885999999999</v>
      </c>
      <c r="I72" s="27">
        <f>'MF-STEEL(KG)'!I71*O$1*B$1+(D$1+F$1)+'MACHINE RATE'!I8*O$1</f>
        <v>2349.9933999999998</v>
      </c>
      <c r="J72" s="27">
        <f>'MF-STEEL(KG)'!J71*O$1*B$1+(D$1+F$1)+'MACHINE RATE'!J8*O$1</f>
        <v>2506.1116000000002</v>
      </c>
      <c r="K72" s="28">
        <f>'MF-STEEL(KG)'!K71*O$1*B$1+(D$1+F$1)+'MACHINE RATE'!K8*O$1</f>
        <v>2468.8676</v>
      </c>
      <c r="L72" s="29">
        <f>'MF-STEEL(KG)'!L71*O$1*B$1+(D$1+F$1)+'MACHINE RATE'!L8*O$1</f>
        <v>1695.75875</v>
      </c>
      <c r="M72" s="27">
        <f>'MF-STEEL(KG)'!M71*O$1*B$1+(D$1+F$1)+'MACHINE RATE'!M8*O$1</f>
        <v>2286.6311999999998</v>
      </c>
      <c r="N72" s="27">
        <f>'MF-STEEL(KG)'!N71*O$1*B$1+(D$1+F$1)+'MACHINE RATE'!N8*O$1</f>
        <v>2517.8360000000002</v>
      </c>
      <c r="O72" s="27">
        <f>'MF-STEEL(KG)'!O71*O$1*B$1+(D$1+F$1)+'MACHINE RATE'!O8*O$1</f>
        <v>2675.5919999999996</v>
      </c>
      <c r="P72" s="30">
        <f>'MF-STEEL(KG)'!P71*O$1*B$1+(D$1+F$1)+'MACHINE RATE'!P8*O$1</f>
        <v>2828.348</v>
      </c>
      <c r="Q72" s="26">
        <f>'MF-STEEL(KG)'!O$1*B$1+(D$1+F$1)+'MACHINE RATE'!Q8*O$1</f>
        <v>600</v>
      </c>
      <c r="R72" s="27">
        <f>'MF-STEEL(KG)'!R71*O$1*B$1+(D$1+F$1)+'MACHINE RATE'!R8*O$1</f>
        <v>2486.3714</v>
      </c>
      <c r="S72" s="27">
        <f>'MF-STEEL(KG)'!S71*O$1*B$1+(D$1+F$1)+'MACHINE RATE'!S8*O$1</f>
        <v>2622.5762000000004</v>
      </c>
      <c r="T72" s="27">
        <f>'MF-STEEL(KG)'!T71*O$1*B$1+(D$1+F$1)+'MACHINE RATE'!T8*O$1</f>
        <v>2785.3322000000003</v>
      </c>
      <c r="U72" s="28">
        <f>'MF-STEEL(KG)'!U71*O$1*B$1+(D$1+F$1)+'MACHINE RATE'!U8*O$1</f>
        <v>2961.3638000000001</v>
      </c>
      <c r="X72" s="45">
        <f>B72*'Steel Calculations'!B7</f>
        <v>0</v>
      </c>
      <c r="Y72" s="45">
        <f>C72*'Steel Calculations'!C7</f>
        <v>0</v>
      </c>
      <c r="Z72" s="45">
        <f>D72*'Steel Calculations'!D7</f>
        <v>0</v>
      </c>
      <c r="AA72" s="45">
        <f>E72*'Steel Calculations'!E7</f>
        <v>0</v>
      </c>
      <c r="AB72" s="45">
        <f>F72*'Steel Calculations'!F7</f>
        <v>0</v>
      </c>
      <c r="AC72" s="45">
        <f>G72*'Steel Calculations'!G7</f>
        <v>0</v>
      </c>
      <c r="AD72" s="45">
        <f>H72*'Steel Calculations'!H7</f>
        <v>0</v>
      </c>
      <c r="AE72" s="45">
        <f>I72*'Steel Calculations'!I7</f>
        <v>0</v>
      </c>
      <c r="AF72" s="45">
        <f>J72*'Steel Calculations'!J7</f>
        <v>0</v>
      </c>
      <c r="AG72" s="45">
        <f>K72*'Steel Calculations'!K7</f>
        <v>0</v>
      </c>
      <c r="AH72" s="45">
        <f>L72*'Steel Calculations'!L7</f>
        <v>0</v>
      </c>
      <c r="AI72" s="45">
        <f>M72*'Steel Calculations'!M7</f>
        <v>0</v>
      </c>
      <c r="AJ72" s="45">
        <f>N72*'Steel Calculations'!N7</f>
        <v>0</v>
      </c>
      <c r="AK72" s="45">
        <f>O72*'Steel Calculations'!O7</f>
        <v>0</v>
      </c>
      <c r="AL72" s="45">
        <f>P72*'Steel Calculations'!P7</f>
        <v>0</v>
      </c>
      <c r="AM72" s="45">
        <f>Q72*'Steel Calculations'!Q7</f>
        <v>0</v>
      </c>
      <c r="AN72" s="45">
        <f>R72*'Steel Calculations'!R7</f>
        <v>0</v>
      </c>
      <c r="AO72" s="45">
        <f>S72*'Steel Calculations'!S7</f>
        <v>0</v>
      </c>
      <c r="AP72" s="45">
        <f>T72*'Steel Calculations'!T7</f>
        <v>0</v>
      </c>
      <c r="AQ72" s="45">
        <f>U72*'Steel Calculations'!U7</f>
        <v>0</v>
      </c>
      <c r="AS72" s="45">
        <f>R72*'Steel Calculations'!$B$16</f>
        <v>0</v>
      </c>
      <c r="AT72" s="45">
        <f>S72*'Steel Calculations'!$C$16</f>
        <v>0</v>
      </c>
      <c r="AU72" s="45">
        <f>T72*'Steel Calculations'!$D$16</f>
        <v>0</v>
      </c>
      <c r="AV72" s="45">
        <f>U72*'Steel Calculations'!$E$16</f>
        <v>0</v>
      </c>
      <c r="AW72" s="45">
        <f>S72*'Steel Calculations'!$F$16</f>
        <v>0</v>
      </c>
      <c r="AX72" s="45">
        <f>T72*'Steel Calculations'!$G$16</f>
        <v>0</v>
      </c>
      <c r="AY72" s="45">
        <f>U72*'Steel Calculations'!$H$16</f>
        <v>0</v>
      </c>
    </row>
    <row r="73" spans="1:52">
      <c r="A73" s="31"/>
      <c r="B73" s="26"/>
      <c r="C73" s="27"/>
      <c r="D73" s="27"/>
      <c r="E73" s="27"/>
      <c r="F73" s="28"/>
      <c r="G73" s="26"/>
      <c r="H73" s="27"/>
      <c r="I73" s="27"/>
      <c r="J73" s="27"/>
      <c r="K73" s="28"/>
      <c r="L73" s="29"/>
      <c r="M73" s="27"/>
      <c r="N73" s="27"/>
      <c r="O73" s="27"/>
      <c r="P73" s="30"/>
      <c r="Q73" s="26"/>
      <c r="R73" s="27"/>
      <c r="S73" s="27"/>
      <c r="T73" s="27"/>
      <c r="U73" s="28"/>
      <c r="AR73" s="45">
        <f>SUM(X68:AQ72)-M$1*(22*B$1+'MACHINE RATE'!V8)</f>
        <v>5896.1939999999995</v>
      </c>
      <c r="AZ73" s="45">
        <f>SUM(AS68:AY72)</f>
        <v>0</v>
      </c>
    </row>
    <row r="74" spans="1:52" ht="15.75" thickBot="1">
      <c r="A74" s="533" t="s">
        <v>243</v>
      </c>
      <c r="B74" s="534"/>
      <c r="C74" s="534"/>
      <c r="D74" s="534"/>
      <c r="E74" s="534"/>
      <c r="F74" s="534"/>
      <c r="G74" s="534"/>
      <c r="H74" s="534"/>
      <c r="I74" s="534"/>
      <c r="J74" s="534"/>
      <c r="K74" s="534"/>
      <c r="L74" s="534"/>
      <c r="M74" s="534"/>
      <c r="N74" s="534"/>
      <c r="O74" s="534"/>
      <c r="P74" s="534"/>
      <c r="Q74" s="534"/>
      <c r="R74" s="534"/>
      <c r="S74" s="534"/>
      <c r="T74" s="534"/>
      <c r="U74" s="534"/>
    </row>
    <row r="75" spans="1:52" ht="13.5" thickBot="1">
      <c r="A75" s="20" t="s">
        <v>0</v>
      </c>
      <c r="B75" s="529" t="s">
        <v>194</v>
      </c>
      <c r="C75" s="530"/>
      <c r="D75" s="530"/>
      <c r="E75" s="530"/>
      <c r="F75" s="531"/>
      <c r="G75" s="532" t="s">
        <v>195</v>
      </c>
      <c r="H75" s="530"/>
      <c r="I75" s="530"/>
      <c r="J75" s="530"/>
      <c r="K75" s="531"/>
      <c r="L75" s="532" t="s">
        <v>196</v>
      </c>
      <c r="M75" s="530"/>
      <c r="N75" s="530"/>
      <c r="O75" s="530"/>
      <c r="P75" s="531"/>
      <c r="Q75" s="532" t="s">
        <v>197</v>
      </c>
      <c r="R75" s="530"/>
      <c r="S75" s="530"/>
      <c r="T75" s="530"/>
      <c r="U75" s="531"/>
    </row>
    <row r="76" spans="1:52" ht="13.5" thickBot="1">
      <c r="A76" s="38"/>
      <c r="B76" s="26"/>
      <c r="C76" s="27"/>
      <c r="D76" s="27"/>
      <c r="E76" s="27"/>
      <c r="F76" s="28"/>
      <c r="G76" s="26"/>
      <c r="H76" s="27"/>
      <c r="I76" s="27"/>
      <c r="J76" s="27"/>
      <c r="K76" s="28"/>
      <c r="L76" s="29"/>
      <c r="M76" s="27"/>
      <c r="N76" s="27"/>
      <c r="O76" s="27"/>
      <c r="P76" s="30"/>
      <c r="Q76" s="26"/>
      <c r="R76" s="27"/>
      <c r="S76" s="27"/>
      <c r="T76" s="27"/>
      <c r="U76" s="28"/>
    </row>
    <row r="77" spans="1:52" ht="13.5" thickBot="1">
      <c r="A77" s="25" t="s">
        <v>203</v>
      </c>
      <c r="B77" s="26">
        <f>'MF-STEEL(KG)'!B76*O$1*B$1+(D$1+F$1)+'MACHINE RATE'!B13*O$1</f>
        <v>1391.0164</v>
      </c>
      <c r="C77" s="27">
        <f>'MF-STEEL(KG)'!C76*O$1*B$1+(D$1+F$1)+'MACHINE RATE'!C13*O$1</f>
        <v>1843.4907199999998</v>
      </c>
      <c r="D77" s="27">
        <f>'MF-STEEL(KG)'!D76*O$1*B$1+(D$1+F$1)+'MACHINE RATE'!D13*O$1</f>
        <v>1990.6262399999998</v>
      </c>
      <c r="E77" s="27">
        <f>'MF-STEEL(KG)'!E76*O$1*B$1+(D$1+F$1)+'MACHINE RATE'!E13*O$1</f>
        <v>2137.7617599999999</v>
      </c>
      <c r="F77" s="28">
        <f>'MF-STEEL(KG)'!F76*O$1*B$1+(D$1+F$1)+'MACHINE RATE'!F13*O$1</f>
        <v>2284.8972800000001</v>
      </c>
      <c r="G77" s="26">
        <f>'MF-STEEL(KG)'!G76*O$1*B$1+(D$1+F$1)+'MACHINE RATE'!G13*O$1</f>
        <v>1439.6419124999998</v>
      </c>
      <c r="H77" s="27">
        <f>'MF-STEEL(KG)'!H76*O$1*B$1+(D$1+F$1)+'MACHINE RATE'!H13*O$1</f>
        <v>1914.2915399999997</v>
      </c>
      <c r="I77" s="27">
        <f>'MF-STEEL(KG)'!I76*O$1*B$1+(D$1+F$1)+'MACHINE RATE'!I13*O$1</f>
        <v>2066.42706</v>
      </c>
      <c r="J77" s="27">
        <f>'MF-STEEL(KG)'!J76*O$1*B$1+(D$1+F$1)+'MACHINE RATE'!J13*O$1</f>
        <v>2236.19605</v>
      </c>
      <c r="K77" s="28">
        <f>'MF-STEEL(KG)'!K76*O$1*B$1+(D$1+F$1)+'MACHINE RATE'!K13*O$1</f>
        <v>2405.96504</v>
      </c>
      <c r="L77" s="29">
        <f>'MF-STEEL(KG)'!L76*O$1*B$1+(D$1+F$1)+'MACHINE RATE'!L13*O$1</f>
        <v>1546.66385625</v>
      </c>
      <c r="M77" s="27">
        <f>'MF-STEEL(KG)'!M76*O$1*B$1+(D$1+F$1)+'MACHINE RATE'!M13*O$1</f>
        <v>2053.5266499999998</v>
      </c>
      <c r="N77" s="27">
        <f>'MF-STEEL(KG)'!N76*O$1*B$1+(D$1+F$1)+'MACHINE RATE'!N13*O$1</f>
        <v>2200.6621699999996</v>
      </c>
      <c r="O77" s="27">
        <f>'MF-STEEL(KG)'!O76*O$1*B$1+(D$1+F$1)+'MACHINE RATE'!O13*O$1</f>
        <v>2363.0646299999999</v>
      </c>
      <c r="P77" s="30">
        <f>'MF-STEEL(KG)'!P76*O$1*B$1+(D$1+F$1)+'MACHINE RATE'!P13*O$1</f>
        <v>2525.4670900000001</v>
      </c>
      <c r="Q77" s="26">
        <f>'MF-STEEL(KG)'!O$1*B$1+(D$1+F$1)+'MACHINE RATE'!Q13*O$1</f>
        <v>600</v>
      </c>
      <c r="R77" s="27">
        <f>'MF-STEEL(KG)'!R76*O$1*B$1+(D$1+F$1)+'MACHINE RATE'!R13*O$1</f>
        <v>2159.3274699999997</v>
      </c>
      <c r="S77" s="27">
        <f>'MF-STEEL(KG)'!S76*O$1*B$1+(D$1+F$1)+'MACHINE RATE'!S13*O$1</f>
        <v>2306.4629899999995</v>
      </c>
      <c r="T77" s="27">
        <f>'MF-STEEL(KG)'!T76*O$1*B$1+(D$1+F$1)+'MACHINE RATE'!T13*O$1</f>
        <v>2471.49892</v>
      </c>
      <c r="U77" s="28">
        <f>'MF-STEEL(KG)'!U76*O$1*B$1+(D$1+F$1)+'MACHINE RATE'!U13*O$1</f>
        <v>2636.53485</v>
      </c>
      <c r="X77" s="45">
        <f>B77*'Steel Calculations'!B3</f>
        <v>0</v>
      </c>
      <c r="Y77" s="45">
        <f>C77*'Steel Calculations'!C3</f>
        <v>0</v>
      </c>
      <c r="Z77" s="45">
        <f>D77*'Steel Calculations'!D3</f>
        <v>0</v>
      </c>
      <c r="AA77" s="45">
        <f>E77*'Steel Calculations'!E3</f>
        <v>0</v>
      </c>
      <c r="AB77" s="45">
        <f>F77*'Steel Calculations'!F3</f>
        <v>0</v>
      </c>
      <c r="AC77" s="45">
        <f>G77*'Steel Calculations'!G3</f>
        <v>0</v>
      </c>
      <c r="AD77" s="45">
        <f>H77*'Steel Calculations'!H3</f>
        <v>0</v>
      </c>
      <c r="AE77" s="45">
        <f>I77*'Steel Calculations'!I3</f>
        <v>0</v>
      </c>
      <c r="AF77" s="45">
        <f>J77*'Steel Calculations'!J3</f>
        <v>0</v>
      </c>
      <c r="AG77" s="45">
        <f>K77*'Steel Calculations'!K3</f>
        <v>0</v>
      </c>
      <c r="AH77" s="45">
        <f>L77*'Steel Calculations'!L3</f>
        <v>0</v>
      </c>
      <c r="AI77" s="45">
        <f>M77*'Steel Calculations'!M3</f>
        <v>0</v>
      </c>
      <c r="AJ77" s="45">
        <f>N77*'Steel Calculations'!N3</f>
        <v>0</v>
      </c>
      <c r="AK77" s="45">
        <f>O77*'Steel Calculations'!O3</f>
        <v>0</v>
      </c>
      <c r="AL77" s="45">
        <f>P77*'Steel Calculations'!P3</f>
        <v>0</v>
      </c>
      <c r="AM77" s="45">
        <f>Q77*'Steel Calculations'!Q3</f>
        <v>0</v>
      </c>
      <c r="AN77" s="45">
        <f>R77*'Steel Calculations'!R3</f>
        <v>0</v>
      </c>
      <c r="AO77" s="45">
        <f>S77*'Steel Calculations'!S3</f>
        <v>0</v>
      </c>
      <c r="AP77" s="45">
        <f>T77*'Steel Calculations'!T3</f>
        <v>0</v>
      </c>
      <c r="AQ77" s="45">
        <f>U77*'Steel Calculations'!U3</f>
        <v>0</v>
      </c>
      <c r="AS77" s="49"/>
      <c r="AT77" s="49"/>
      <c r="AU77" s="49"/>
      <c r="AV77" s="49"/>
      <c r="AW77" s="49"/>
      <c r="AX77" s="49"/>
      <c r="AY77" s="49"/>
    </row>
    <row r="78" spans="1:52" ht="13.5" thickBot="1">
      <c r="A78" s="25" t="s">
        <v>204</v>
      </c>
      <c r="B78" s="26">
        <f>'MF-STEEL(KG)'!B77*O$1*B$1+(D$1+F$1)+'MACHINE RATE'!B14*O$1</f>
        <v>1482.5801812499999</v>
      </c>
      <c r="C78" s="27">
        <f>'MF-STEEL(KG)'!C77*O$1*B$1+(D$1+F$1)+'MACHINE RATE'!C14*O$1</f>
        <v>1977.9927699999998</v>
      </c>
      <c r="D78" s="27">
        <f>'MF-STEEL(KG)'!D77*O$1*B$1+(D$1+F$1)+'MACHINE RATE'!D14*O$1</f>
        <v>2125.1282899999997</v>
      </c>
      <c r="E78" s="27">
        <f>'MF-STEEL(KG)'!E77*O$1*B$1+(D$1+F$1)+'MACHINE RATE'!E14*O$1</f>
        <v>2287.5307499999999</v>
      </c>
      <c r="F78" s="28">
        <f>'MF-STEEL(KG)'!F77*O$1*B$1+(D$1+F$1)+'MACHINE RATE'!F14*O$1</f>
        <v>2442.2997399999995</v>
      </c>
      <c r="G78" s="26">
        <f>'MF-STEEL(KG)'!G77*O$1*B$1+(D$1+F$1)+'MACHINE RATE'!G14*O$1</f>
        <v>1550.28936875</v>
      </c>
      <c r="H78" s="27">
        <f>'MF-STEEL(KG)'!H77*O$1*B$1+(D$1+F$1)+'MACHINE RATE'!H14*O$1</f>
        <v>2079.3274699999997</v>
      </c>
      <c r="I78" s="27">
        <f>'MF-STEEL(KG)'!I77*O$1*B$1+(D$1+F$1)+'MACHINE RATE'!I14*O$1</f>
        <v>2231.4629899999995</v>
      </c>
      <c r="J78" s="27">
        <f>'MF-STEEL(KG)'!J77*O$1*B$1+(D$1+F$1)+'MACHINE RATE'!J14*O$1</f>
        <v>2393.5985099999998</v>
      </c>
      <c r="K78" s="28">
        <f>'MF-STEEL(KG)'!K77*O$1*B$1+(D$1+F$1)+'MACHINE RATE'!K14*O$1</f>
        <v>2571.0009699999991</v>
      </c>
      <c r="L78" s="29">
        <f>'MF-STEEL(KG)'!L77*O$1*B$1+(D$1+F$1)+'MACHINE RATE'!L14*O$1</f>
        <v>1657.3113124999998</v>
      </c>
      <c r="M78" s="27">
        <f>'MF-STEEL(KG)'!M77*O$1*B$1+(D$1+F$1)+'MACHINE RATE'!M14*O$1</f>
        <v>2218.5625799999998</v>
      </c>
      <c r="N78" s="27">
        <f>'MF-STEEL(KG)'!N77*O$1*B$1+(D$1+F$1)+'MACHINE RATE'!N14*O$1</f>
        <v>2365.6981000000001</v>
      </c>
      <c r="O78" s="27">
        <f>'MF-STEEL(KG)'!O77*O$1*B$1+(D$1+F$1)+'MACHINE RATE'!O14*O$1</f>
        <v>2535.7340300000001</v>
      </c>
      <c r="P78" s="30">
        <f>'MF-STEEL(KG)'!P77*O$1*B$1+(D$1+F$1)+'MACHINE RATE'!P14*O$1</f>
        <v>2698.1364899999999</v>
      </c>
      <c r="Q78" s="26">
        <f>'MF-STEEL(KG)'!O$1*B$1+(D$1+F$1)+'MACHINE RATE'!Q14*O$1</f>
        <v>620</v>
      </c>
      <c r="R78" s="27">
        <f>'MF-STEEL(KG)'!R77*O$1*B$1+(D$1+F$1)+'MACHINE RATE'!R14*O$1</f>
        <v>2354.8972800000001</v>
      </c>
      <c r="S78" s="27">
        <f>'MF-STEEL(KG)'!S77*O$1*B$1+(D$1+F$1)+'MACHINE RATE'!S14*O$1</f>
        <v>2502.0328</v>
      </c>
      <c r="T78" s="27">
        <f>'MF-STEEL(KG)'!T77*O$1*B$1+(D$1+F$1)+'MACHINE RATE'!T14*O$1</f>
        <v>2651.80179</v>
      </c>
      <c r="U78" s="28">
        <f>'MF-STEEL(KG)'!U77*O$1*B$1+(D$1+F$1)+'MACHINE RATE'!U14*O$1</f>
        <v>2816.83772</v>
      </c>
      <c r="X78" s="45">
        <f>B78*'Steel Calculations'!B4</f>
        <v>0</v>
      </c>
      <c r="Y78" s="45">
        <f>C78*'Steel Calculations'!C4</f>
        <v>0</v>
      </c>
      <c r="Z78" s="45">
        <f>D78*'Steel Calculations'!D4</f>
        <v>0</v>
      </c>
      <c r="AA78" s="45">
        <f>E78*'Steel Calculations'!E4</f>
        <v>0</v>
      </c>
      <c r="AB78" s="45">
        <f>F78*'Steel Calculations'!F4</f>
        <v>0</v>
      </c>
      <c r="AC78" s="45">
        <f>G78*'Steel Calculations'!G4</f>
        <v>0</v>
      </c>
      <c r="AD78" s="45">
        <f>H78*'Steel Calculations'!H4</f>
        <v>0</v>
      </c>
      <c r="AE78" s="45">
        <f>I78*'Steel Calculations'!I4</f>
        <v>0</v>
      </c>
      <c r="AF78" s="45">
        <f>J78*'Steel Calculations'!J4</f>
        <v>0</v>
      </c>
      <c r="AG78" s="45">
        <f>K78*'Steel Calculations'!K4</f>
        <v>0</v>
      </c>
      <c r="AH78" s="45">
        <f>L78*'Steel Calculations'!L4</f>
        <v>0</v>
      </c>
      <c r="AI78" s="45">
        <f>M78*'Steel Calculations'!M4</f>
        <v>0</v>
      </c>
      <c r="AJ78" s="45">
        <f>N78*'Steel Calculations'!N4</f>
        <v>0</v>
      </c>
      <c r="AK78" s="45">
        <f>O78*'Steel Calculations'!O4</f>
        <v>0</v>
      </c>
      <c r="AL78" s="45">
        <f>P78*'Steel Calculations'!P4</f>
        <v>0</v>
      </c>
      <c r="AM78" s="45">
        <f>Q78*'Steel Calculations'!Q4</f>
        <v>0</v>
      </c>
      <c r="AN78" s="45">
        <f>R78*'Steel Calculations'!R4</f>
        <v>0</v>
      </c>
      <c r="AO78" s="45">
        <f>S78*'Steel Calculations'!S4</f>
        <v>0</v>
      </c>
      <c r="AP78" s="45">
        <f>T78*'Steel Calculations'!T4</f>
        <v>0</v>
      </c>
      <c r="AQ78" s="45">
        <f>U78*'Steel Calculations'!U4</f>
        <v>0</v>
      </c>
      <c r="AS78" s="45">
        <f>R78*'Steel Calculations'!$B$13</f>
        <v>0</v>
      </c>
      <c r="AT78" s="45">
        <f>S78*'Steel Calculations'!$C$13</f>
        <v>0</v>
      </c>
      <c r="AU78" s="45">
        <f>T78*'Steel Calculations'!$D$13</f>
        <v>0</v>
      </c>
      <c r="AV78" s="45">
        <f>U78*'Steel Calculations'!$E$13</f>
        <v>0</v>
      </c>
      <c r="AW78" s="45">
        <f>S78*'Steel Calculations'!$F$13</f>
        <v>0</v>
      </c>
      <c r="AX78" s="45">
        <f>T78*'Steel Calculations'!$G$13</f>
        <v>0</v>
      </c>
      <c r="AY78" s="45">
        <f>U78*'Steel Calculations'!$H$13</f>
        <v>0</v>
      </c>
    </row>
    <row r="79" spans="1:52" ht="13.5" thickBot="1">
      <c r="A79" s="25" t="s">
        <v>205</v>
      </c>
      <c r="B79" s="26">
        <f>'MF-STEEL(KG)'!B78*O$1*B$1+(D$1+F$1)+'MACHINE RATE'!B15*O$1</f>
        <v>1602.7694749999998</v>
      </c>
      <c r="C79" s="27">
        <f>'MF-STEEL(KG)'!C78*O$1*B$1+(D$1+F$1)+'MACHINE RATE'!C15*O$1</f>
        <v>2158.2956399999994</v>
      </c>
      <c r="D79" s="27">
        <f>'MF-STEEL(KG)'!D78*O$1*B$1+(D$1+F$1)+'MACHINE RATE'!D15*O$1</f>
        <v>2305.4311600000001</v>
      </c>
      <c r="E79" s="27">
        <f>'MF-STEEL(KG)'!E78*O$1*B$1+(D$1+F$1)+'MACHINE RATE'!E15*O$1</f>
        <v>2475.4670900000001</v>
      </c>
      <c r="F79" s="28">
        <f>'MF-STEEL(KG)'!F78*O$1*B$1+(D$1+F$1)+'MACHINE RATE'!F15*O$1</f>
        <v>2637.8695500000003</v>
      </c>
      <c r="G79" s="26">
        <f>'MF-STEEL(KG)'!G78*O$1*B$1+(D$1+F$1)+'MACHINE RATE'!G15*O$1</f>
        <v>1665.70774375</v>
      </c>
      <c r="H79" s="27">
        <f>'MF-STEEL(KG)'!H78*O$1*B$1+(D$1+F$1)+'MACHINE RATE'!H15*O$1</f>
        <v>2251.9968699999999</v>
      </c>
      <c r="I79" s="27">
        <f>'MF-STEEL(KG)'!I78*O$1*B$1+(D$1+F$1)+'MACHINE RATE'!I15*O$1</f>
        <v>2404.1323899999998</v>
      </c>
      <c r="J79" s="27">
        <f>'MF-STEEL(KG)'!J78*O$1*B$1+(D$1+F$1)+'MACHINE RATE'!J15*O$1</f>
        <v>2589.1683199999998</v>
      </c>
      <c r="K79" s="28">
        <f>'MF-STEEL(KG)'!K78*O$1*B$1+(D$1+F$1)+'MACHINE RATE'!K15*O$1</f>
        <v>2781.83772</v>
      </c>
      <c r="L79" s="29">
        <f>'MF-STEEL(KG)'!L78*O$1*B$1+(D$1+F$1)+'MACHINE RATE'!L15*O$1</f>
        <v>1791.8133625</v>
      </c>
      <c r="M79" s="27">
        <f>'MF-STEEL(KG)'!M78*O$1*B$1+(D$1+F$1)+'MACHINE RATE'!M15*O$1</f>
        <v>2421.7658599999995</v>
      </c>
      <c r="N79" s="27">
        <f>'MF-STEEL(KG)'!N78*O$1*B$1+(D$1+F$1)+'MACHINE RATE'!N15*O$1</f>
        <v>2568.9013799999998</v>
      </c>
      <c r="O79" s="27">
        <f>'MF-STEEL(KG)'!O78*O$1*B$1+(D$1+F$1)+'MACHINE RATE'!O15*O$1</f>
        <v>2746.57078</v>
      </c>
      <c r="P79" s="30">
        <f>'MF-STEEL(KG)'!P78*O$1*B$1+(D$1+F$1)+'MACHINE RATE'!P15*O$1</f>
        <v>2924.2401799999998</v>
      </c>
      <c r="Q79" s="26">
        <f>'MF-STEEL(KG)'!O$1*B$1+(D$1+F$1)+'MACHINE RATE'!Q15*O$1</f>
        <v>640</v>
      </c>
      <c r="R79" s="27">
        <f>'MF-STEEL(KG)'!R78*O$1*B$1+(D$1+F$1)+'MACHINE RATE'!R15*O$1</f>
        <v>2550.4670900000001</v>
      </c>
      <c r="S79" s="27">
        <f>'MF-STEEL(KG)'!S78*O$1*B$1+(D$1+F$1)+'MACHINE RATE'!S15*O$1</f>
        <v>2697.6026099999999</v>
      </c>
      <c r="T79" s="27">
        <f>'MF-STEEL(KG)'!T78*O$1*B$1+(D$1+F$1)+'MACHINE RATE'!T15*O$1</f>
        <v>2870.2720099999992</v>
      </c>
      <c r="U79" s="28">
        <f>'MF-STEEL(KG)'!U78*O$1*B$1+(D$1+F$1)+'MACHINE RATE'!U15*O$1</f>
        <v>3058.2083499999999</v>
      </c>
      <c r="X79" s="45">
        <f>B79*'Steel Calculations'!B5</f>
        <v>0</v>
      </c>
      <c r="Y79" s="45">
        <f>C79*'Steel Calculations'!C5</f>
        <v>0</v>
      </c>
      <c r="Z79" s="45">
        <f>D79*'Steel Calculations'!D5</f>
        <v>0</v>
      </c>
      <c r="AA79" s="45">
        <f>E79*'Steel Calculations'!E5</f>
        <v>0</v>
      </c>
      <c r="AB79" s="45">
        <f>F79*'Steel Calculations'!F5</f>
        <v>0</v>
      </c>
      <c r="AC79" s="45">
        <f>G79*'Steel Calculations'!G5</f>
        <v>0</v>
      </c>
      <c r="AD79" s="45">
        <f>H79*'Steel Calculations'!H5</f>
        <v>0</v>
      </c>
      <c r="AE79" s="45">
        <f>I79*'Steel Calculations'!I5</f>
        <v>4808.2647799999995</v>
      </c>
      <c r="AF79" s="45">
        <f>J79*'Steel Calculations'!J5</f>
        <v>2589.1683199999998</v>
      </c>
      <c r="AG79" s="45">
        <f>K79*'Steel Calculations'!K5</f>
        <v>0</v>
      </c>
      <c r="AH79" s="45">
        <f>L79*'Steel Calculations'!L5</f>
        <v>0</v>
      </c>
      <c r="AI79" s="45">
        <f>M79*'Steel Calculations'!M5</f>
        <v>0</v>
      </c>
      <c r="AJ79" s="45">
        <f>N79*'Steel Calculations'!N5</f>
        <v>0</v>
      </c>
      <c r="AK79" s="45">
        <f>O79*'Steel Calculations'!O5</f>
        <v>0</v>
      </c>
      <c r="AL79" s="45">
        <f>P79*'Steel Calculations'!P5</f>
        <v>0</v>
      </c>
      <c r="AM79" s="45">
        <f>Q79*'Steel Calculations'!Q5</f>
        <v>0</v>
      </c>
      <c r="AN79" s="45">
        <f>R79*'Steel Calculations'!R5</f>
        <v>0</v>
      </c>
      <c r="AO79" s="45">
        <f>S79*'Steel Calculations'!S5</f>
        <v>0</v>
      </c>
      <c r="AP79" s="45">
        <f>T79*'Steel Calculations'!T5</f>
        <v>0</v>
      </c>
      <c r="AQ79" s="45">
        <f>U79*'Steel Calculations'!U5</f>
        <v>0</v>
      </c>
      <c r="AS79" s="45">
        <f>R79*'Steel Calculations'!$B$14</f>
        <v>0</v>
      </c>
      <c r="AT79" s="45">
        <f>S79*'Steel Calculations'!$C$14</f>
        <v>0</v>
      </c>
      <c r="AU79" s="45">
        <f>T79*'Steel Calculations'!$D$14</f>
        <v>0</v>
      </c>
      <c r="AV79" s="45">
        <f>U79*'Steel Calculations'!$E$14</f>
        <v>0</v>
      </c>
      <c r="AW79" s="45">
        <f>S79*'Steel Calculations'!$F$14</f>
        <v>0</v>
      </c>
      <c r="AX79" s="45">
        <f>T79*'Steel Calculations'!$G$14</f>
        <v>0</v>
      </c>
      <c r="AY79" s="45">
        <f>U79*'Steel Calculations'!$H$14</f>
        <v>0</v>
      </c>
    </row>
    <row r="80" spans="1:52" ht="13.5" thickBot="1">
      <c r="A80" s="25" t="s">
        <v>206</v>
      </c>
      <c r="B80" s="26">
        <f>'MF-STEEL(KG)'!B79*O$1*B$1+(D$1+F$1)+'MACHINE RATE'!B16*O$1</f>
        <v>1699.1041749999999</v>
      </c>
      <c r="C80" s="27">
        <f>'MF-STEEL(KG)'!C79*O$1*B$1+(D$1+F$1)+'MACHINE RATE'!C16*O$1</f>
        <v>2300.4311599999996</v>
      </c>
      <c r="D80" s="27">
        <f>'MF-STEEL(KG)'!D79*O$1*B$1+(D$1+F$1)+'MACHINE RATE'!D16*O$1</f>
        <v>2447.5666799999999</v>
      </c>
      <c r="E80" s="27">
        <f>'MF-STEEL(KG)'!E79*O$1*B$1+(D$1+F$1)+'MACHINE RATE'!E16*O$1</f>
        <v>2617.6026099999999</v>
      </c>
      <c r="F80" s="28">
        <f>'MF-STEEL(KG)'!F79*O$1*B$1+(D$1+F$1)+'MACHINE RATE'!F16*O$1</f>
        <v>2780.0050700000002</v>
      </c>
      <c r="G80" s="26">
        <f>'MF-STEEL(KG)'!G79*O$1*B$1+(D$1+F$1)+'MACHINE RATE'!G16*O$1</f>
        <v>1762.0424437499998</v>
      </c>
      <c r="H80" s="27">
        <f>'MF-STEEL(KG)'!H79*O$1*B$1+(D$1+F$1)+'MACHINE RATE'!H16*O$1</f>
        <v>2394.1323899999998</v>
      </c>
      <c r="I80" s="27">
        <f>'MF-STEEL(KG)'!I79*O$1*B$1+(D$1+F$1)+'MACHINE RATE'!I16*O$1</f>
        <v>2546.2679099999996</v>
      </c>
      <c r="J80" s="27">
        <f>'MF-STEEL(KG)'!J79*O$1*B$1+(D$1+F$1)+'MACHINE RATE'!J16*O$1</f>
        <v>2731.30384</v>
      </c>
      <c r="K80" s="28">
        <f>'MF-STEEL(KG)'!K79*O$1*B$1+(D$1+F$1)+'MACHINE RATE'!K16*O$1</f>
        <v>2923.9732399999998</v>
      </c>
      <c r="L80" s="29">
        <f>'MF-STEEL(KG)'!L79*O$1*B$1+(D$1+F$1)+'MACHINE RATE'!L16*O$1</f>
        <v>1888.1480624999999</v>
      </c>
      <c r="M80" s="27">
        <f>'MF-STEEL(KG)'!M79*O$1*B$1+(D$1+F$1)+'MACHINE RATE'!M16*O$1</f>
        <v>2563.9013799999998</v>
      </c>
      <c r="N80" s="27">
        <f>'MF-STEEL(KG)'!N79*O$1*B$1+(D$1+F$1)+'MACHINE RATE'!N16*O$1</f>
        <v>2711.0368999999996</v>
      </c>
      <c r="O80" s="27">
        <f>'MF-STEEL(KG)'!O79*O$1*B$1+(D$1+F$1)+'MACHINE RATE'!O16*O$1</f>
        <v>2888.7062999999998</v>
      </c>
      <c r="P80" s="30">
        <f>'MF-STEEL(KG)'!P79*O$1*B$1+(D$1+F$1)+'MACHINE RATE'!P16*O$1</f>
        <v>3066.3756999999996</v>
      </c>
      <c r="Q80" s="26">
        <f>'MF-STEEL(KG)'!O$1*B$1+(D$1+F$1)+'MACHINE RATE'!Q16*O$1</f>
        <v>660</v>
      </c>
      <c r="R80" s="27">
        <f>'MF-STEEL(KG)'!R79*O$1*B$1+(D$1+F$1)+'MACHINE RATE'!R16*O$1</f>
        <v>2692.6026099999999</v>
      </c>
      <c r="S80" s="27">
        <f>'MF-STEEL(KG)'!S79*O$1*B$1+(D$1+F$1)+'MACHINE RATE'!S16*O$1</f>
        <v>2839.7381299999997</v>
      </c>
      <c r="T80" s="27">
        <f>'MF-STEEL(KG)'!T79*O$1*B$1+(D$1+F$1)+'MACHINE RATE'!T16*O$1</f>
        <v>3012.40753</v>
      </c>
      <c r="U80" s="28">
        <f>'MF-STEEL(KG)'!U79*O$1*B$1+(D$1+F$1)+'MACHINE RATE'!U16*O$1</f>
        <v>3200.3438700000002</v>
      </c>
      <c r="X80" s="45">
        <f>B80*'Steel Calculations'!B6</f>
        <v>0</v>
      </c>
      <c r="Y80" s="45">
        <f>C80*'Steel Calculations'!C6</f>
        <v>0</v>
      </c>
      <c r="Z80" s="45">
        <f>D80*'Steel Calculations'!D6</f>
        <v>0</v>
      </c>
      <c r="AA80" s="45">
        <f>E80*'Steel Calculations'!E6</f>
        <v>0</v>
      </c>
      <c r="AB80" s="45">
        <f>F80*'Steel Calculations'!F6</f>
        <v>0</v>
      </c>
      <c r="AC80" s="45">
        <f>G80*'Steel Calculations'!G6</f>
        <v>0</v>
      </c>
      <c r="AD80" s="45">
        <f>H80*'Steel Calculations'!H6</f>
        <v>0</v>
      </c>
      <c r="AE80" s="45">
        <f>I80*'Steel Calculations'!I6</f>
        <v>0</v>
      </c>
      <c r="AF80" s="45">
        <f>J80*'Steel Calculations'!J6</f>
        <v>0</v>
      </c>
      <c r="AG80" s="45">
        <f>K80*'Steel Calculations'!K6</f>
        <v>0</v>
      </c>
      <c r="AH80" s="45">
        <f>L80*'Steel Calculations'!L6</f>
        <v>0</v>
      </c>
      <c r="AI80" s="45">
        <f>M80*'Steel Calculations'!M6</f>
        <v>0</v>
      </c>
      <c r="AJ80" s="45">
        <f>N80*'Steel Calculations'!N6</f>
        <v>0</v>
      </c>
      <c r="AK80" s="45">
        <f>O80*'Steel Calculations'!O6</f>
        <v>0</v>
      </c>
      <c r="AL80" s="45">
        <f>P80*'Steel Calculations'!P6</f>
        <v>0</v>
      </c>
      <c r="AM80" s="45">
        <f>Q80*'Steel Calculations'!Q6</f>
        <v>0</v>
      </c>
      <c r="AN80" s="45">
        <f>R80*'Steel Calculations'!R6</f>
        <v>0</v>
      </c>
      <c r="AO80" s="45">
        <f>S80*'Steel Calculations'!S6</f>
        <v>0</v>
      </c>
      <c r="AP80" s="45">
        <f>T80*'Steel Calculations'!T6</f>
        <v>0</v>
      </c>
      <c r="AQ80" s="45">
        <f>U80*'Steel Calculations'!U6</f>
        <v>0</v>
      </c>
      <c r="AS80" s="45">
        <f>R80*'Steel Calculations'!$B$15</f>
        <v>0</v>
      </c>
      <c r="AT80" s="45">
        <f>S80*'Steel Calculations'!$C$15</f>
        <v>0</v>
      </c>
      <c r="AU80" s="45">
        <f>T80*'Steel Calculations'!$D$15</f>
        <v>0</v>
      </c>
      <c r="AV80" s="45">
        <f>U80*'Steel Calculations'!$E$15</f>
        <v>0</v>
      </c>
      <c r="AW80" s="45">
        <f>S80*'Steel Calculations'!$F$15</f>
        <v>0</v>
      </c>
      <c r="AX80" s="45">
        <f>T80*'Steel Calculations'!$G$15</f>
        <v>0</v>
      </c>
      <c r="AY80" s="45">
        <f>U80*'Steel Calculations'!$H$15</f>
        <v>0</v>
      </c>
    </row>
    <row r="81" spans="1:52" ht="13.5" thickBot="1">
      <c r="A81" s="25" t="s">
        <v>207</v>
      </c>
      <c r="B81" s="26">
        <f>'MF-STEEL(KG)'!B80*O$1*B$1+(D$1+F$1)+'MACHINE RATE'!B17*O$1</f>
        <v>1846.328675</v>
      </c>
      <c r="C81" s="27">
        <f>'MF-STEEL(KG)'!C80*O$1*B$1+(D$1+F$1)+'MACHINE RATE'!C17*O$1</f>
        <v>2447.6556599999994</v>
      </c>
      <c r="D81" s="27">
        <f>'MF-STEEL(KG)'!D80*O$1*B$1+(D$1+F$1)+'MACHINE RATE'!D17*O$1</f>
        <v>2594.7911800000002</v>
      </c>
      <c r="E81" s="27">
        <f>'MF-STEEL(KG)'!E80*O$1*B$1+(D$1+F$1)+'MACHINE RATE'!E17*O$1</f>
        <v>2764.8271099999993</v>
      </c>
      <c r="F81" s="28">
        <f>'MF-STEEL(KG)'!F80*O$1*B$1+(D$1+F$1)+'MACHINE RATE'!F17*O$1</f>
        <v>2927.22957</v>
      </c>
      <c r="G81" s="26">
        <f>'MF-STEEL(KG)'!G80*O$1*B$1+(D$1+F$1)+'MACHINE RATE'!G17*O$1</f>
        <v>1909.2669437499999</v>
      </c>
      <c r="H81" s="27">
        <f>'MF-STEEL(KG)'!H80*O$1*B$1+(D$1+F$1)+'MACHINE RATE'!H17*O$1</f>
        <v>2541.3568899999996</v>
      </c>
      <c r="I81" s="27">
        <f>'MF-STEEL(KG)'!I80*O$1*B$1+(D$1+F$1)+'MACHINE RATE'!I17*O$1</f>
        <v>2693.4924099999994</v>
      </c>
      <c r="J81" s="27">
        <f>'MF-STEEL(KG)'!J80*O$1*B$1+(D$1+F$1)+'MACHINE RATE'!J17*O$1</f>
        <v>2878.5283399999994</v>
      </c>
      <c r="K81" s="28">
        <f>'MF-STEEL(KG)'!K80*O$1*B$1+(D$1+F$1)+'MACHINE RATE'!K17*O$1</f>
        <v>3071.1977399999996</v>
      </c>
      <c r="L81" s="29">
        <f>'MF-STEEL(KG)'!L80*O$1*B$1+(D$1+F$1)+'MACHINE RATE'!L17*O$1</f>
        <v>2035.3725625</v>
      </c>
      <c r="M81" s="27">
        <f>'MF-STEEL(KG)'!M80*O$1*B$1+(D$1+F$1)+'MACHINE RATE'!M17*O$1</f>
        <v>2711.1258800000001</v>
      </c>
      <c r="N81" s="27">
        <f>'MF-STEEL(KG)'!N80*O$1*B$1+(D$1+F$1)+'MACHINE RATE'!N17*O$1</f>
        <v>2858.2613999999999</v>
      </c>
      <c r="O81" s="27">
        <f>'MF-STEEL(KG)'!O80*O$1*B$1+(D$1+F$1)+'MACHINE RATE'!O17*O$1</f>
        <v>3035.9308000000001</v>
      </c>
      <c r="P81" s="30">
        <f>'MF-STEEL(KG)'!P80*O$1*B$1+(D$1+F$1)+'MACHINE RATE'!P17*O$1</f>
        <v>3213.6001999999999</v>
      </c>
      <c r="Q81" s="26">
        <f>'MF-STEEL(KG)'!O$1*B$1+(D$1+F$1)+'MACHINE RATE'!Q17*O$1</f>
        <v>680</v>
      </c>
      <c r="R81" s="27">
        <f>'MF-STEEL(KG)'!R80*O$1*B$1+(D$1+F$1)+'MACHINE RATE'!R17*O$1</f>
        <v>2839.8271099999993</v>
      </c>
      <c r="S81" s="27">
        <f>'MF-STEEL(KG)'!S80*O$1*B$1+(D$1+F$1)+'MACHINE RATE'!S17*O$1</f>
        <v>2986.9626300000004</v>
      </c>
      <c r="T81" s="27">
        <f>'MF-STEEL(KG)'!T80*O$1*B$1+(D$1+F$1)+'MACHINE RATE'!T17*O$1</f>
        <v>3159.6320300000002</v>
      </c>
      <c r="U81" s="28">
        <f>'MF-STEEL(KG)'!U80*O$1*B$1+(D$1+F$1)+'MACHINE RATE'!U17*O$1</f>
        <v>3347.56837</v>
      </c>
      <c r="X81" s="45">
        <f>B71*'Steel Calculations'!B7</f>
        <v>0</v>
      </c>
      <c r="Y81" s="45">
        <f>C71*'Steel Calculations'!C7</f>
        <v>0</v>
      </c>
      <c r="Z81" s="45">
        <f>D71*'Steel Calculations'!D7</f>
        <v>0</v>
      </c>
      <c r="AA81" s="45">
        <f>E71*'Steel Calculations'!E7</f>
        <v>0</v>
      </c>
      <c r="AB81" s="45">
        <f>F71*'Steel Calculations'!F7</f>
        <v>0</v>
      </c>
      <c r="AC81" s="45">
        <f>G71*'Steel Calculations'!G7</f>
        <v>0</v>
      </c>
      <c r="AD81" s="45">
        <f>H71*'Steel Calculations'!H7</f>
        <v>0</v>
      </c>
      <c r="AE81" s="45">
        <f>I71*'Steel Calculations'!I7</f>
        <v>0</v>
      </c>
      <c r="AF81" s="45">
        <f>J71*'Steel Calculations'!J7</f>
        <v>0</v>
      </c>
      <c r="AG81" s="45">
        <f>K71*'Steel Calculations'!K7</f>
        <v>0</v>
      </c>
      <c r="AH81" s="45">
        <f>L71*'Steel Calculations'!L7</f>
        <v>0</v>
      </c>
      <c r="AI81" s="45">
        <f>M71*'Steel Calculations'!M7</f>
        <v>0</v>
      </c>
      <c r="AJ81" s="45">
        <f>N71*'Steel Calculations'!N7</f>
        <v>0</v>
      </c>
      <c r="AK81" s="45">
        <f>O71*'Steel Calculations'!O7</f>
        <v>0</v>
      </c>
      <c r="AL81" s="45">
        <f>P71*'Steel Calculations'!P7</f>
        <v>0</v>
      </c>
      <c r="AM81" s="45">
        <f>Q71*'Steel Calculations'!Q7</f>
        <v>0</v>
      </c>
      <c r="AN81" s="45">
        <f>R71*'Steel Calculations'!R7</f>
        <v>0</v>
      </c>
      <c r="AO81" s="45">
        <f>S71*'Steel Calculations'!S7</f>
        <v>0</v>
      </c>
      <c r="AP81" s="45">
        <f>T71*'Steel Calculations'!T7</f>
        <v>0</v>
      </c>
      <c r="AQ81" s="45">
        <f>U71*'Steel Calculations'!U7</f>
        <v>0</v>
      </c>
      <c r="AS81" s="45">
        <f>R81*'Steel Calculations'!$B$16</f>
        <v>0</v>
      </c>
      <c r="AT81" s="45">
        <f>S81*'Steel Calculations'!$C$16</f>
        <v>0</v>
      </c>
      <c r="AU81" s="45">
        <f>T81*'Steel Calculations'!$D$16</f>
        <v>0</v>
      </c>
      <c r="AV81" s="45">
        <f>U81*'Steel Calculations'!$E$16</f>
        <v>0</v>
      </c>
      <c r="AW81" s="45">
        <f>S81*'Steel Calculations'!$F$16</f>
        <v>0</v>
      </c>
      <c r="AX81" s="45">
        <f>T81*'Steel Calculations'!$G$16</f>
        <v>0</v>
      </c>
      <c r="AY81" s="45">
        <f>U81*'Steel Calculations'!$H$16</f>
        <v>0</v>
      </c>
    </row>
    <row r="82" spans="1:52">
      <c r="A82" s="31"/>
      <c r="B82" s="26"/>
      <c r="C82" s="27"/>
      <c r="D82" s="27"/>
      <c r="E82" s="27"/>
      <c r="F82" s="28"/>
      <c r="G82" s="26"/>
      <c r="H82" s="27"/>
      <c r="I82" s="27"/>
      <c r="J82" s="27"/>
      <c r="K82" s="28"/>
      <c r="L82" s="29"/>
      <c r="M82" s="27"/>
      <c r="N82" s="27"/>
      <c r="O82" s="27"/>
      <c r="P82" s="30"/>
      <c r="Q82" s="26"/>
      <c r="R82" s="27"/>
      <c r="S82" s="27"/>
      <c r="T82" s="27"/>
      <c r="U82" s="28"/>
      <c r="AR82" s="45">
        <f>SUM(X77:AQ81)-M$1*(22*B$1+'MACHINE RATE'!V17)</f>
        <v>6823.5330999999987</v>
      </c>
      <c r="AZ82" s="45">
        <f>SUM(AS77:AY81)</f>
        <v>0</v>
      </c>
    </row>
    <row r="83" spans="1:52" ht="15.75" thickBot="1">
      <c r="A83" s="533" t="s">
        <v>244</v>
      </c>
      <c r="B83" s="534"/>
      <c r="C83" s="534"/>
      <c r="D83" s="534"/>
      <c r="E83" s="534"/>
      <c r="F83" s="534"/>
      <c r="G83" s="534"/>
      <c r="H83" s="534"/>
      <c r="I83" s="534"/>
      <c r="J83" s="534"/>
      <c r="K83" s="534"/>
      <c r="L83" s="534"/>
      <c r="M83" s="534"/>
      <c r="N83" s="534"/>
      <c r="O83" s="534"/>
      <c r="P83" s="534"/>
      <c r="Q83" s="534"/>
      <c r="R83" s="534"/>
      <c r="S83" s="534"/>
      <c r="T83" s="534"/>
      <c r="U83" s="534"/>
    </row>
    <row r="84" spans="1:52" ht="13.5" thickBot="1">
      <c r="A84" s="20" t="s">
        <v>0</v>
      </c>
      <c r="B84" s="529" t="s">
        <v>194</v>
      </c>
      <c r="C84" s="530"/>
      <c r="D84" s="530"/>
      <c r="E84" s="530"/>
      <c r="F84" s="531"/>
      <c r="G84" s="532" t="s">
        <v>195</v>
      </c>
      <c r="H84" s="530"/>
      <c r="I84" s="530"/>
      <c r="J84" s="530"/>
      <c r="K84" s="531"/>
      <c r="L84" s="532" t="s">
        <v>196</v>
      </c>
      <c r="M84" s="530"/>
      <c r="N84" s="530"/>
      <c r="O84" s="530"/>
      <c r="P84" s="531"/>
      <c r="Q84" s="532" t="s">
        <v>197</v>
      </c>
      <c r="R84" s="530"/>
      <c r="S84" s="530"/>
      <c r="T84" s="530"/>
      <c r="U84" s="531"/>
    </row>
    <row r="85" spans="1:52" ht="13.5" thickBot="1">
      <c r="A85" s="38"/>
      <c r="B85" s="26"/>
      <c r="C85" s="27"/>
      <c r="D85" s="27"/>
      <c r="E85" s="27"/>
      <c r="F85" s="28"/>
      <c r="G85" s="26"/>
      <c r="H85" s="27"/>
      <c r="I85" s="27"/>
      <c r="J85" s="27"/>
      <c r="K85" s="28"/>
      <c r="L85" s="29"/>
      <c r="M85" s="27"/>
      <c r="N85" s="27"/>
      <c r="O85" s="27"/>
      <c r="P85" s="30"/>
      <c r="Q85" s="26"/>
      <c r="R85" s="27"/>
      <c r="S85" s="27"/>
      <c r="T85" s="27"/>
      <c r="U85" s="28"/>
    </row>
    <row r="86" spans="1:52" ht="13.5" thickBot="1">
      <c r="A86" s="25" t="s">
        <v>203</v>
      </c>
      <c r="B86" s="26">
        <f>'MF-STEEL(KG)'!B85*O$1*B$1+(D$1+F$1)+'MACHINE RATE'!B21*O$1</f>
        <v>1405.8432000000003</v>
      </c>
      <c r="C86" s="27">
        <f>'MF-STEEL(KG)'!C85*O$1*B$1+(D$1+F$1)+'MACHINE RATE'!C21*O$1</f>
        <v>1876.90336</v>
      </c>
      <c r="D86" s="27">
        <f>'MF-STEEL(KG)'!D85*O$1*B$1+(D$1+F$1)+'MACHINE RATE'!D21*O$1</f>
        <v>2029.3491199999999</v>
      </c>
      <c r="E86" s="27">
        <f>'MF-STEEL(KG)'!E85*O$1*B$1+(D$1+F$1)+'MACHINE RATE'!E21*O$1</f>
        <v>2181.7948800000004</v>
      </c>
      <c r="F86" s="28">
        <f>'MF-STEEL(KG)'!F85*O$1*B$1+(D$1+F$1)+'MACHINE RATE'!F21*O$1</f>
        <v>2334.24064</v>
      </c>
      <c r="G86" s="26">
        <f>'MF-STEEL(KG)'!G85*O$1*B$1+(D$1+F$1)+'MACHINE RATE'!G21*O$1</f>
        <v>1455.7132999999999</v>
      </c>
      <c r="H86" s="27">
        <f>'MF-STEEL(KG)'!H85*O$1*B$1+(D$1+F$1)+'MACHINE RATE'!H21*O$1</f>
        <v>1949.69552</v>
      </c>
      <c r="I86" s="27">
        <f>'MF-STEEL(KG)'!I85*O$1*B$1+(D$1+F$1)+'MACHINE RATE'!I21*O$1</f>
        <v>2107.1412799999998</v>
      </c>
      <c r="J86" s="27">
        <f>'MF-STEEL(KG)'!J85*O$1*B$1+(D$1+F$1)+'MACHINE RATE'!J21*O$1</f>
        <v>2282.5524</v>
      </c>
      <c r="K86" s="28">
        <f>'MF-STEEL(KG)'!K85*O$1*B$1+(D$1+F$1)+'MACHINE RATE'!K21*O$1</f>
        <v>2457.9635199999998</v>
      </c>
      <c r="L86" s="29">
        <f>'MF-STEEL(KG)'!L85*O$1*B$1+(D$1+F$1)+'MACHINE RATE'!L21*O$1</f>
        <v>1565.4318499999999</v>
      </c>
      <c r="M86" s="27">
        <f>'MF-STEEL(KG)'!M85*O$1*B$1+(D$1+F$1)+'MACHINE RATE'!M21*O$1</f>
        <v>2093.2452000000003</v>
      </c>
      <c r="N86" s="27">
        <f>'MF-STEEL(KG)'!N85*O$1*B$1+(D$1+F$1)+'MACHINE RATE'!N21*O$1</f>
        <v>2245.6909599999999</v>
      </c>
      <c r="O86" s="27">
        <f>'MF-STEEL(KG)'!O85*O$1*B$1+(D$1+F$1)+'MACHINE RATE'!O21*O$1</f>
        <v>2414.0674399999998</v>
      </c>
      <c r="P86" s="30">
        <f>'MF-STEEL(KG)'!P85*O$1*B$1+(D$1+F$1)+'MACHINE RATE'!P21*O$1</f>
        <v>2582.4439199999997</v>
      </c>
      <c r="Q86" s="26">
        <f>'MF-STEEL(KG)'!O$1*B$1+(D$1+F$1)+'MACHINE RATE'!Q21*O$1</f>
        <v>575</v>
      </c>
      <c r="R86" s="27">
        <f>'MF-STEEL(KG)'!R85*O$1*B$1+(D$1+F$1)+'MACHINE RATE'!R21*O$1</f>
        <v>2201.0373599999998</v>
      </c>
      <c r="S86" s="27">
        <f>'MF-STEEL(KG)'!S85*O$1*B$1+(D$1+F$1)+'MACHINE RATE'!S21*O$1</f>
        <v>2353.4831199999994</v>
      </c>
      <c r="T86" s="27">
        <f>'MF-STEEL(KG)'!T85*O$1*B$1+(D$1+F$1)+'MACHINE RATE'!T21*O$1</f>
        <v>2524.8249599999999</v>
      </c>
      <c r="U86" s="28">
        <f>'MF-STEEL(KG)'!U85*O$1*B$1+(D$1+F$1)+'MACHINE RATE'!U21*O$1</f>
        <v>2696.1668</v>
      </c>
      <c r="X86" s="45">
        <f>B86*'Steel Calculations'!B3</f>
        <v>0</v>
      </c>
      <c r="Y86" s="45">
        <f>C86*'Steel Calculations'!C3</f>
        <v>0</v>
      </c>
      <c r="Z86" s="45">
        <f>D86*'Steel Calculations'!D3</f>
        <v>0</v>
      </c>
      <c r="AA86" s="45">
        <f>E86*'Steel Calculations'!E3</f>
        <v>0</v>
      </c>
      <c r="AB86" s="45">
        <f>F86*'Steel Calculations'!F3</f>
        <v>0</v>
      </c>
      <c r="AC86" s="45">
        <f>G86*'Steel Calculations'!G3</f>
        <v>0</v>
      </c>
      <c r="AD86" s="45">
        <f>H86*'Steel Calculations'!H3</f>
        <v>0</v>
      </c>
      <c r="AE86" s="45">
        <f>I86*'Steel Calculations'!I3</f>
        <v>0</v>
      </c>
      <c r="AF86" s="45">
        <f>J86*'Steel Calculations'!J3</f>
        <v>0</v>
      </c>
      <c r="AG86" s="45">
        <f>K86*'Steel Calculations'!K3</f>
        <v>0</v>
      </c>
      <c r="AH86" s="45">
        <f>L86*'Steel Calculations'!L3</f>
        <v>0</v>
      </c>
      <c r="AI86" s="45">
        <f>M86*'Steel Calculations'!M3</f>
        <v>0</v>
      </c>
      <c r="AJ86" s="45">
        <f>N86*'Steel Calculations'!N3</f>
        <v>0</v>
      </c>
      <c r="AK86" s="45">
        <f>O86*'Steel Calculations'!O3</f>
        <v>0</v>
      </c>
      <c r="AL86" s="45">
        <f>P86*'Steel Calculations'!P3</f>
        <v>0</v>
      </c>
      <c r="AM86" s="45">
        <f>Q86*'Steel Calculations'!Q3</f>
        <v>0</v>
      </c>
      <c r="AN86" s="45">
        <f>R86*'Steel Calculations'!R3</f>
        <v>0</v>
      </c>
      <c r="AO86" s="45">
        <f>S86*'Steel Calculations'!S3</f>
        <v>0</v>
      </c>
      <c r="AP86" s="45">
        <f>T86*'Steel Calculations'!T3</f>
        <v>0</v>
      </c>
      <c r="AQ86" s="45">
        <f>U86*'Steel Calculations'!U3</f>
        <v>0</v>
      </c>
      <c r="AS86" s="49"/>
      <c r="AT86" s="49"/>
      <c r="AU86" s="49"/>
      <c r="AV86" s="49"/>
      <c r="AW86" s="49"/>
      <c r="AX86" s="49"/>
      <c r="AY86" s="49"/>
    </row>
    <row r="87" spans="1:52" ht="13.5" thickBot="1">
      <c r="A87" s="25" t="s">
        <v>204</v>
      </c>
      <c r="B87" s="26">
        <f>'MF-STEEL(KG)'!B86*O$1*B$1+(D$1+F$1)+'MACHINE RATE'!B22*O$1</f>
        <v>1500.5184499999998</v>
      </c>
      <c r="C87" s="27">
        <f>'MF-STEEL(KG)'!C86*O$1*B$1+(D$1+F$1)+'MACHINE RATE'!C22*O$1</f>
        <v>2016.3837600000002</v>
      </c>
      <c r="D87" s="27">
        <f>'MF-STEEL(KG)'!D86*O$1*B$1+(D$1+F$1)+'MACHINE RATE'!D22*O$1</f>
        <v>2168.8295199999998</v>
      </c>
      <c r="E87" s="27">
        <f>'MF-STEEL(KG)'!E86*O$1*B$1+(D$1+F$1)+'MACHINE RATE'!E22*O$1</f>
        <v>2337.2060000000001</v>
      </c>
      <c r="F87" s="28">
        <f>'MF-STEEL(KG)'!F86*O$1*B$1+(D$1+F$1)+'MACHINE RATE'!F22*O$1</f>
        <v>2497.6171199999994</v>
      </c>
      <c r="G87" s="26">
        <f>'MF-STEEL(KG)'!G86*O$1*B$1+(D$1+F$1)+'MACHINE RATE'!G22*O$1</f>
        <v>1570.30195</v>
      </c>
      <c r="H87" s="27">
        <f>'MF-STEEL(KG)'!H86*O$1*B$1+(D$1+F$1)+'MACHINE RATE'!H22*O$1</f>
        <v>2121.0373599999998</v>
      </c>
      <c r="I87" s="27">
        <f>'MF-STEEL(KG)'!I86*O$1*B$1+(D$1+F$1)+'MACHINE RATE'!I22*O$1</f>
        <v>2278.4831199999994</v>
      </c>
      <c r="J87" s="27">
        <f>'MF-STEEL(KG)'!J86*O$1*B$1+(D$1+F$1)+'MACHINE RATE'!J22*O$1</f>
        <v>2445.9288799999999</v>
      </c>
      <c r="K87" s="28">
        <f>'MF-STEEL(KG)'!K86*O$1*B$1+(D$1+F$1)+'MACHINE RATE'!K22*O$1</f>
        <v>2629.3053599999994</v>
      </c>
      <c r="L87" s="29">
        <f>'MF-STEEL(KG)'!L86*O$1*B$1+(D$1+F$1)+'MACHINE RATE'!L22*O$1</f>
        <v>1680.0204999999999</v>
      </c>
      <c r="M87" s="27">
        <f>'MF-STEEL(KG)'!M86*O$1*B$1+(D$1+F$1)+'MACHINE RATE'!M22*O$1</f>
        <v>2264.5870399999999</v>
      </c>
      <c r="N87" s="27">
        <f>'MF-STEEL(KG)'!N86*O$1*B$1+(D$1+F$1)+'MACHINE RATE'!N22*O$1</f>
        <v>2417.0328</v>
      </c>
      <c r="O87" s="27">
        <f>'MF-STEEL(KG)'!O86*O$1*B$1+(D$1+F$1)+'MACHINE RATE'!O22*O$1</f>
        <v>2593.37464</v>
      </c>
      <c r="P87" s="30">
        <f>'MF-STEEL(KG)'!P86*O$1*B$1+(D$1+F$1)+'MACHINE RATE'!P22*O$1</f>
        <v>2761.7511199999994</v>
      </c>
      <c r="Q87" s="26">
        <f>'MF-STEEL(KG)'!O$1*B$1+(D$1+F$1)+'MACHINE RATE'!Q22*O$1</f>
        <v>595</v>
      </c>
      <c r="R87" s="27">
        <f>'MF-STEEL(KG)'!R86*O$1*B$1+(D$1+F$1)+'MACHINE RATE'!R22*O$1</f>
        <v>2404.24064</v>
      </c>
      <c r="S87" s="27">
        <f>'MF-STEEL(KG)'!S86*O$1*B$1+(D$1+F$1)+'MACHINE RATE'!S22*O$1</f>
        <v>2556.6864000000005</v>
      </c>
      <c r="T87" s="27">
        <f>'MF-STEEL(KG)'!T86*O$1*B$1+(D$1+F$1)+'MACHINE RATE'!T22*O$1</f>
        <v>2712.0975200000003</v>
      </c>
      <c r="U87" s="28">
        <f>'MF-STEEL(KG)'!U86*O$1*B$1+(D$1+F$1)+'MACHINE RATE'!U22*O$1</f>
        <v>2883.4393599999999</v>
      </c>
      <c r="X87" s="45">
        <f>B87*'Steel Calculations'!B4</f>
        <v>0</v>
      </c>
      <c r="Y87" s="45">
        <f>C87*'Steel Calculations'!C4</f>
        <v>0</v>
      </c>
      <c r="Z87" s="45">
        <f>D87*'Steel Calculations'!D4</f>
        <v>0</v>
      </c>
      <c r="AA87" s="45">
        <f>E87*'Steel Calculations'!E4</f>
        <v>0</v>
      </c>
      <c r="AB87" s="45">
        <f>F87*'Steel Calculations'!F4</f>
        <v>0</v>
      </c>
      <c r="AC87" s="45">
        <f>G87*'Steel Calculations'!G4</f>
        <v>0</v>
      </c>
      <c r="AD87" s="45">
        <f>H87*'Steel Calculations'!H4</f>
        <v>0</v>
      </c>
      <c r="AE87" s="45">
        <f>I87*'Steel Calculations'!I4</f>
        <v>0</v>
      </c>
      <c r="AF87" s="45">
        <f>J87*'Steel Calculations'!J4</f>
        <v>0</v>
      </c>
      <c r="AG87" s="45">
        <f>K87*'Steel Calculations'!K4</f>
        <v>0</v>
      </c>
      <c r="AH87" s="45">
        <f>L87*'Steel Calculations'!L4</f>
        <v>0</v>
      </c>
      <c r="AI87" s="45">
        <f>M87*'Steel Calculations'!M4</f>
        <v>0</v>
      </c>
      <c r="AJ87" s="45">
        <f>N87*'Steel Calculations'!N4</f>
        <v>0</v>
      </c>
      <c r="AK87" s="45">
        <f>O87*'Steel Calculations'!O4</f>
        <v>0</v>
      </c>
      <c r="AL87" s="45">
        <f>P87*'Steel Calculations'!P4</f>
        <v>0</v>
      </c>
      <c r="AM87" s="45">
        <f>Q87*'Steel Calculations'!Q4</f>
        <v>0</v>
      </c>
      <c r="AN87" s="45">
        <f>R87*'Steel Calculations'!R4</f>
        <v>0</v>
      </c>
      <c r="AO87" s="45">
        <f>S87*'Steel Calculations'!S4</f>
        <v>0</v>
      </c>
      <c r="AP87" s="45">
        <f>T87*'Steel Calculations'!T4</f>
        <v>0</v>
      </c>
      <c r="AQ87" s="45">
        <f>U87*'Steel Calculations'!U4</f>
        <v>0</v>
      </c>
      <c r="AS87" s="45">
        <f>R87*'Steel Calculations'!$B$13</f>
        <v>0</v>
      </c>
      <c r="AT87" s="45">
        <f>S87*'Steel Calculations'!$C$13</f>
        <v>0</v>
      </c>
      <c r="AU87" s="45">
        <f>T87*'Steel Calculations'!$D$13</f>
        <v>0</v>
      </c>
      <c r="AV87" s="45">
        <f>U87*'Steel Calculations'!$E$13</f>
        <v>0</v>
      </c>
      <c r="AW87" s="45">
        <f>S87*'Steel Calculations'!$F$13</f>
        <v>0</v>
      </c>
      <c r="AX87" s="45">
        <f>T87*'Steel Calculations'!$G$13</f>
        <v>0</v>
      </c>
      <c r="AY87" s="45">
        <f>U87*'Steel Calculations'!$H$13</f>
        <v>0</v>
      </c>
    </row>
    <row r="88" spans="1:52" ht="13.5" thickBot="1">
      <c r="A88" s="25" t="s">
        <v>205</v>
      </c>
      <c r="B88" s="26">
        <f>'MF-STEEL(KG)'!B87*O$1*B$1+(D$1+F$1)+'MACHINE RATE'!B23*O$1</f>
        <v>1625.0637999999999</v>
      </c>
      <c r="C88" s="27">
        <f>'MF-STEEL(KG)'!C87*O$1*B$1+(D$1+F$1)+'MACHINE RATE'!C23*O$1</f>
        <v>2203.6563199999996</v>
      </c>
      <c r="D88" s="27">
        <f>'MF-STEEL(KG)'!D87*O$1*B$1+(D$1+F$1)+'MACHINE RATE'!D23*O$1</f>
        <v>2356.1020800000001</v>
      </c>
      <c r="E88" s="27">
        <f>'MF-STEEL(KG)'!E87*O$1*B$1+(D$1+F$1)+'MACHINE RATE'!E23*O$1</f>
        <v>2532.4439199999997</v>
      </c>
      <c r="F88" s="28">
        <f>'MF-STEEL(KG)'!F87*O$1*B$1+(D$1+F$1)+'MACHINE RATE'!F23*O$1</f>
        <v>2700.8204000000001</v>
      </c>
      <c r="G88" s="26">
        <f>'MF-STEEL(KG)'!G87*O$1*B$1+(D$1+F$1)+'MACHINE RATE'!G23*O$1</f>
        <v>1689.86895</v>
      </c>
      <c r="H88" s="27">
        <f>'MF-STEEL(KG)'!H87*O$1*B$1+(D$1+F$1)+'MACHINE RATE'!H23*O$1</f>
        <v>2300.3445599999995</v>
      </c>
      <c r="I88" s="27">
        <f>'MF-STEEL(KG)'!I87*O$1*B$1+(D$1+F$1)+'MACHINE RATE'!I23*O$1</f>
        <v>2457.7903200000001</v>
      </c>
      <c r="J88" s="27">
        <f>'MF-STEEL(KG)'!J87*O$1*B$1+(D$1+F$1)+'MACHINE RATE'!J23*O$1</f>
        <v>2649.1321599999997</v>
      </c>
      <c r="K88" s="28">
        <f>'MF-STEEL(KG)'!K87*O$1*B$1+(D$1+F$1)+'MACHINE RATE'!K23*O$1</f>
        <v>2848.4393599999999</v>
      </c>
      <c r="L88" s="29">
        <f>'MF-STEEL(KG)'!L87*O$1*B$1+(D$1+F$1)+'MACHINE RATE'!L23*O$1</f>
        <v>1819.5009</v>
      </c>
      <c r="M88" s="27">
        <f>'MF-STEEL(KG)'!M87*O$1*B$1+(D$1+F$1)+'MACHINE RATE'!M23*O$1</f>
        <v>2475.7556799999998</v>
      </c>
      <c r="N88" s="27">
        <f>'MF-STEEL(KG)'!N87*O$1*B$1+(D$1+F$1)+'MACHINE RATE'!N23*O$1</f>
        <v>2628.2014399999998</v>
      </c>
      <c r="O88" s="27">
        <f>'MF-STEEL(KG)'!O87*O$1*B$1+(D$1+F$1)+'MACHINE RATE'!O23*O$1</f>
        <v>2812.50864</v>
      </c>
      <c r="P88" s="30">
        <f>'MF-STEEL(KG)'!P87*O$1*B$1+(D$1+F$1)+'MACHINE RATE'!P23*O$1</f>
        <v>2996.8158400000002</v>
      </c>
      <c r="Q88" s="26">
        <f>'MF-STEEL(KG)'!O$1*B$1+(D$1+F$1)+'MACHINE RATE'!Q23*O$1</f>
        <v>615</v>
      </c>
      <c r="R88" s="27">
        <f>'MF-STEEL(KG)'!R87*O$1*B$1+(D$1+F$1)+'MACHINE RATE'!R23*O$1</f>
        <v>2607.4439199999997</v>
      </c>
      <c r="S88" s="27">
        <f>'MF-STEEL(KG)'!S87*O$1*B$1+(D$1+F$1)+'MACHINE RATE'!S23*O$1</f>
        <v>2759.8896799999998</v>
      </c>
      <c r="T88" s="27">
        <f>'MF-STEEL(KG)'!T87*O$1*B$1+(D$1+F$1)+'MACHINE RATE'!T23*O$1</f>
        <v>2939.1968799999995</v>
      </c>
      <c r="U88" s="28">
        <f>'MF-STEEL(KG)'!U87*O$1*B$1+(D$1+F$1)+'MACHINE RATE'!U23*O$1</f>
        <v>3134.4348</v>
      </c>
      <c r="X88" s="45">
        <f>B88*'Steel Calculations'!B5</f>
        <v>0</v>
      </c>
      <c r="Y88" s="45">
        <f>C88*'Steel Calculations'!C5</f>
        <v>0</v>
      </c>
      <c r="Z88" s="45">
        <f>D88*'Steel Calculations'!D5</f>
        <v>0</v>
      </c>
      <c r="AA88" s="45">
        <f>E88*'Steel Calculations'!E5</f>
        <v>0</v>
      </c>
      <c r="AB88" s="45">
        <f>F88*'Steel Calculations'!F5</f>
        <v>0</v>
      </c>
      <c r="AC88" s="45">
        <f>G88*'Steel Calculations'!G5</f>
        <v>0</v>
      </c>
      <c r="AD88" s="45">
        <f>H88*'Steel Calculations'!H5</f>
        <v>0</v>
      </c>
      <c r="AE88" s="45">
        <f>I88*'Steel Calculations'!I5</f>
        <v>4915.5806400000001</v>
      </c>
      <c r="AF88" s="45">
        <f>J88*'Steel Calculations'!J5</f>
        <v>2649.1321599999997</v>
      </c>
      <c r="AG88" s="45">
        <f>K88*'Steel Calculations'!K5</f>
        <v>0</v>
      </c>
      <c r="AH88" s="45">
        <f>L88*'Steel Calculations'!L5</f>
        <v>0</v>
      </c>
      <c r="AI88" s="45">
        <f>M88*'Steel Calculations'!M5</f>
        <v>0</v>
      </c>
      <c r="AJ88" s="45">
        <f>N88*'Steel Calculations'!N5</f>
        <v>0</v>
      </c>
      <c r="AK88" s="45">
        <f>O88*'Steel Calculations'!O5</f>
        <v>0</v>
      </c>
      <c r="AL88" s="45">
        <f>P88*'Steel Calculations'!P5</f>
        <v>0</v>
      </c>
      <c r="AM88" s="45">
        <f>Q88*'Steel Calculations'!Q5</f>
        <v>0</v>
      </c>
      <c r="AN88" s="45">
        <f>R88*'Steel Calculations'!R5</f>
        <v>0</v>
      </c>
      <c r="AO88" s="45">
        <f>S88*'Steel Calculations'!S5</f>
        <v>0</v>
      </c>
      <c r="AP88" s="45">
        <f>T88*'Steel Calculations'!T5</f>
        <v>0</v>
      </c>
      <c r="AQ88" s="45">
        <f>U88*'Steel Calculations'!U5</f>
        <v>0</v>
      </c>
      <c r="AS88" s="45">
        <f>R88*'Steel Calculations'!$B$14</f>
        <v>0</v>
      </c>
      <c r="AT88" s="45">
        <f>S88*'Steel Calculations'!$C$14</f>
        <v>0</v>
      </c>
      <c r="AU88" s="45">
        <f>T88*'Steel Calculations'!$D$14</f>
        <v>0</v>
      </c>
      <c r="AV88" s="45">
        <f>U88*'Steel Calculations'!$E$14</f>
        <v>0</v>
      </c>
      <c r="AW88" s="45">
        <f>S88*'Steel Calculations'!$F$14</f>
        <v>0</v>
      </c>
      <c r="AX88" s="45">
        <f>T88*'Steel Calculations'!$G$14</f>
        <v>0</v>
      </c>
      <c r="AY88" s="45">
        <f>U88*'Steel Calculations'!$H$14</f>
        <v>0</v>
      </c>
    </row>
    <row r="89" spans="1:52" ht="13.5" thickBot="1">
      <c r="A89" s="25" t="s">
        <v>206</v>
      </c>
      <c r="B89" s="26">
        <f>'MF-STEEL(KG)'!B88*O$1*B$1+(D$1+F$1)+'MACHINE RATE'!B24*O$1</f>
        <v>1724.7174</v>
      </c>
      <c r="C89" s="27">
        <f>'MF-STEEL(KG)'!C88*O$1*B$1+(D$1+F$1)+'MACHINE RATE'!C24*O$1</f>
        <v>2351.1020799999997</v>
      </c>
      <c r="D89" s="27">
        <f>'MF-STEEL(KG)'!D88*O$1*B$1+(D$1+F$1)+'MACHINE RATE'!D24*O$1</f>
        <v>2503.5478400000002</v>
      </c>
      <c r="E89" s="27">
        <f>'MF-STEEL(KG)'!E88*O$1*B$1+(D$1+F$1)+'MACHINE RATE'!E24*O$1</f>
        <v>2679.8896799999998</v>
      </c>
      <c r="F89" s="28">
        <f>'MF-STEEL(KG)'!F88*O$1*B$1+(D$1+F$1)+'MACHINE RATE'!F24*O$1</f>
        <v>2848.2661600000001</v>
      </c>
      <c r="G89" s="26">
        <f>'MF-STEEL(KG)'!G88*O$1*B$1+(D$1+F$1)+'MACHINE RATE'!G24*O$1</f>
        <v>1789.5225499999999</v>
      </c>
      <c r="H89" s="27">
        <f>'MF-STEEL(KG)'!H88*O$1*B$1+(D$1+F$1)+'MACHINE RATE'!H24*O$1</f>
        <v>2447.7903200000001</v>
      </c>
      <c r="I89" s="27">
        <f>'MF-STEEL(KG)'!I88*O$1*B$1+(D$1+F$1)+'MACHINE RATE'!I24*O$1</f>
        <v>2605.2360799999997</v>
      </c>
      <c r="J89" s="27">
        <f>'MF-STEEL(KG)'!J88*O$1*B$1+(D$1+F$1)+'MACHINE RATE'!J24*O$1</f>
        <v>2796.5779199999997</v>
      </c>
      <c r="K89" s="28">
        <f>'MF-STEEL(KG)'!K88*O$1*B$1+(D$1+F$1)+'MACHINE RATE'!K24*O$1</f>
        <v>2995.8851199999999</v>
      </c>
      <c r="L89" s="29">
        <f>'MF-STEEL(KG)'!L88*O$1*B$1+(D$1+F$1)+'MACHINE RATE'!L24*O$1</f>
        <v>1919.1544999999996</v>
      </c>
      <c r="M89" s="27">
        <f>'MF-STEEL(KG)'!M88*O$1*B$1+(D$1+F$1)+'MACHINE RATE'!M24*O$1</f>
        <v>2623.2014399999998</v>
      </c>
      <c r="N89" s="27">
        <f>'MF-STEEL(KG)'!N88*O$1*B$1+(D$1+F$1)+'MACHINE RATE'!N24*O$1</f>
        <v>2775.6471999999999</v>
      </c>
      <c r="O89" s="27">
        <f>'MF-STEEL(KG)'!O88*O$1*B$1+(D$1+F$1)+'MACHINE RATE'!O24*O$1</f>
        <v>2959.9544000000001</v>
      </c>
      <c r="P89" s="30">
        <f>'MF-STEEL(KG)'!P88*O$1*B$1+(D$1+F$1)+'MACHINE RATE'!P24*O$1</f>
        <v>3144.2615999999998</v>
      </c>
      <c r="Q89" s="26">
        <f>'MF-STEEL(KG)'!O$1*B$1+(D$1+F$1)+'MACHINE RATE'!Q24*O$1</f>
        <v>635</v>
      </c>
      <c r="R89" s="27">
        <f>'MF-STEEL(KG)'!R88*O$1*B$1+(D$1+F$1)+'MACHINE RATE'!R24*O$1</f>
        <v>2754.8896799999998</v>
      </c>
      <c r="S89" s="27">
        <f>'MF-STEEL(KG)'!S88*O$1*B$1+(D$1+F$1)+'MACHINE RATE'!S24*O$1</f>
        <v>2907.3354400000003</v>
      </c>
      <c r="T89" s="27">
        <f>'MF-STEEL(KG)'!T88*O$1*B$1+(D$1+F$1)+'MACHINE RATE'!T24*O$1</f>
        <v>3086.6426400000005</v>
      </c>
      <c r="U89" s="28">
        <f>'MF-STEEL(KG)'!U88*O$1*B$1+(D$1+F$1)+'MACHINE RATE'!U24*O$1</f>
        <v>3281.8805600000001</v>
      </c>
      <c r="X89" s="45">
        <f>B89*'Steel Calculations'!B6</f>
        <v>0</v>
      </c>
      <c r="Y89" s="45">
        <f>C89*'Steel Calculations'!C6</f>
        <v>0</v>
      </c>
      <c r="Z89" s="45">
        <f>D89*'Steel Calculations'!D6</f>
        <v>0</v>
      </c>
      <c r="AA89" s="45">
        <f>E89*'Steel Calculations'!E6</f>
        <v>0</v>
      </c>
      <c r="AB89" s="45">
        <f>F89*'Steel Calculations'!F6</f>
        <v>0</v>
      </c>
      <c r="AC89" s="45">
        <f>G89*'Steel Calculations'!G6</f>
        <v>0</v>
      </c>
      <c r="AD89" s="45">
        <f>H89*'Steel Calculations'!H6</f>
        <v>0</v>
      </c>
      <c r="AE89" s="45">
        <f>I89*'Steel Calculations'!I6</f>
        <v>0</v>
      </c>
      <c r="AF89" s="45">
        <f>J89*'Steel Calculations'!J6</f>
        <v>0</v>
      </c>
      <c r="AG89" s="45">
        <f>K89*'Steel Calculations'!K6</f>
        <v>0</v>
      </c>
      <c r="AH89" s="45">
        <f>L89*'Steel Calculations'!L6</f>
        <v>0</v>
      </c>
      <c r="AI89" s="45">
        <f>M89*'Steel Calculations'!M6</f>
        <v>0</v>
      </c>
      <c r="AJ89" s="45">
        <f>N89*'Steel Calculations'!N6</f>
        <v>0</v>
      </c>
      <c r="AK89" s="45">
        <f>O89*'Steel Calculations'!O6</f>
        <v>0</v>
      </c>
      <c r="AL89" s="45">
        <f>P89*'Steel Calculations'!P6</f>
        <v>0</v>
      </c>
      <c r="AM89" s="45">
        <f>Q89*'Steel Calculations'!Q6</f>
        <v>0</v>
      </c>
      <c r="AN89" s="45">
        <f>R89*'Steel Calculations'!R6</f>
        <v>0</v>
      </c>
      <c r="AO89" s="45">
        <f>S89*'Steel Calculations'!S6</f>
        <v>0</v>
      </c>
      <c r="AP89" s="45">
        <f>T89*'Steel Calculations'!T6</f>
        <v>0</v>
      </c>
      <c r="AQ89" s="45">
        <f>U89*'Steel Calculations'!U6</f>
        <v>0</v>
      </c>
      <c r="AS89" s="45">
        <f>R89*'Steel Calculations'!$B$15</f>
        <v>0</v>
      </c>
      <c r="AT89" s="45">
        <f>S89*'Steel Calculations'!$C$15</f>
        <v>0</v>
      </c>
      <c r="AU89" s="45">
        <f>T89*'Steel Calculations'!$D$15</f>
        <v>0</v>
      </c>
      <c r="AV89" s="45">
        <f>U89*'Steel Calculations'!$E$15</f>
        <v>0</v>
      </c>
      <c r="AW89" s="45">
        <f>S89*'Steel Calculations'!$F$15</f>
        <v>0</v>
      </c>
      <c r="AX89" s="45">
        <f>T89*'Steel Calculations'!$G$15</f>
        <v>0</v>
      </c>
      <c r="AY89" s="45">
        <f>U89*'Steel Calculations'!$H$15</f>
        <v>0</v>
      </c>
    </row>
    <row r="90" spans="1:52" ht="13.5" thickBot="1">
      <c r="A90" s="25" t="s">
        <v>207</v>
      </c>
      <c r="B90" s="26">
        <f>'MF-STEEL(KG)'!B89*O$1*B$1+(D$1+F$1)+'MACHINE RATE'!B25*O$1</f>
        <v>1877.4734000000001</v>
      </c>
      <c r="C90" s="27">
        <f>'MF-STEEL(KG)'!C89*O$1*B$1+(D$1+F$1)+'MACHINE RATE'!C25*O$1</f>
        <v>2503.8580799999995</v>
      </c>
      <c r="D90" s="27">
        <f>'MF-STEEL(KG)'!D89*O$1*B$1+(D$1+F$1)+'MACHINE RATE'!D25*O$1</f>
        <v>2656.30384</v>
      </c>
      <c r="E90" s="27">
        <f>'MF-STEEL(KG)'!E89*O$1*B$1+(D$1+F$1)+'MACHINE RATE'!E25*O$1</f>
        <v>2832.6456799999996</v>
      </c>
      <c r="F90" s="28">
        <f>'MF-STEEL(KG)'!F89*O$1*B$1+(D$1+F$1)+'MACHINE RATE'!F25*O$1</f>
        <v>3001.02216</v>
      </c>
      <c r="G90" s="26">
        <f>'MF-STEEL(KG)'!G89*O$1*B$1+(D$1+F$1)+'MACHINE RATE'!G25*O$1</f>
        <v>1942.2785499999998</v>
      </c>
      <c r="H90" s="27">
        <f>'MF-STEEL(KG)'!H89*O$1*B$1+(D$1+F$1)+'MACHINE RATE'!H25*O$1</f>
        <v>2600.5463199999999</v>
      </c>
      <c r="I90" s="27">
        <f>'MF-STEEL(KG)'!I89*O$1*B$1+(D$1+F$1)+'MACHINE RATE'!I25*O$1</f>
        <v>2757.99208</v>
      </c>
      <c r="J90" s="27">
        <f>'MF-STEEL(KG)'!J89*O$1*B$1+(D$1+F$1)+'MACHINE RATE'!J25*O$1</f>
        <v>2949.3339199999996</v>
      </c>
      <c r="K90" s="28">
        <f>'MF-STEEL(KG)'!K89*O$1*B$1+(D$1+F$1)+'MACHINE RATE'!K25*O$1</f>
        <v>3148.6411199999998</v>
      </c>
      <c r="L90" s="29">
        <f>'MF-STEEL(KG)'!L89*O$1*B$1+(D$1+F$1)+'MACHINE RATE'!L25*O$1</f>
        <v>2071.9105</v>
      </c>
      <c r="M90" s="27">
        <f>'MF-STEEL(KG)'!M89*O$1*B$1+(D$1+F$1)+'MACHINE RATE'!M25*O$1</f>
        <v>2775.9574400000001</v>
      </c>
      <c r="N90" s="27">
        <f>'MF-STEEL(KG)'!N89*O$1*B$1+(D$1+F$1)+'MACHINE RATE'!N25*O$1</f>
        <v>2928.4032000000002</v>
      </c>
      <c r="O90" s="27">
        <f>'MF-STEEL(KG)'!O89*O$1*B$1+(D$1+F$1)+'MACHINE RATE'!O25*O$1</f>
        <v>3112.7103999999999</v>
      </c>
      <c r="P90" s="30">
        <f>'MF-STEEL(KG)'!P89*O$1*B$1+(D$1+F$1)+'MACHINE RATE'!P25*O$1</f>
        <v>3297.0175999999997</v>
      </c>
      <c r="Q90" s="26">
        <f>'MF-STEEL(KG)'!O$1*B$1+(D$1+F$1)+'MACHINE RATE'!Q25*O$1</f>
        <v>655</v>
      </c>
      <c r="R90" s="27">
        <f>'MF-STEEL(KG)'!R89*O$1*B$1+(D$1+F$1)+'MACHINE RATE'!R25*O$1</f>
        <v>2907.6456799999996</v>
      </c>
      <c r="S90" s="27">
        <f>'MF-STEEL(KG)'!S89*O$1*B$1+(D$1+F$1)+'MACHINE RATE'!S25*O$1</f>
        <v>3060.0914400000001</v>
      </c>
      <c r="T90" s="27">
        <f>'MF-STEEL(KG)'!T89*O$1*B$1+(D$1+F$1)+'MACHINE RATE'!T25*O$1</f>
        <v>3239.3986400000003</v>
      </c>
      <c r="U90" s="28">
        <f>'MF-STEEL(KG)'!U89*O$1*B$1+(D$1+F$1)+'MACHINE RATE'!U25*O$1</f>
        <v>3434.6365600000004</v>
      </c>
      <c r="X90" s="45">
        <f>B90*'Steel Calculations'!B7</f>
        <v>0</v>
      </c>
      <c r="Y90" s="45">
        <f>C90*'Steel Calculations'!C7</f>
        <v>0</v>
      </c>
      <c r="Z90" s="45">
        <f>D90*'Steel Calculations'!D7</f>
        <v>0</v>
      </c>
      <c r="AA90" s="45">
        <f>E90*'Steel Calculations'!E7</f>
        <v>0</v>
      </c>
      <c r="AB90" s="45">
        <f>F90*'Steel Calculations'!F7</f>
        <v>0</v>
      </c>
      <c r="AC90" s="45">
        <f>G90*'Steel Calculations'!G7</f>
        <v>0</v>
      </c>
      <c r="AD90" s="45">
        <f>H90*'Steel Calculations'!H7</f>
        <v>0</v>
      </c>
      <c r="AE90" s="45">
        <f>I90*'Steel Calculations'!I7</f>
        <v>0</v>
      </c>
      <c r="AF90" s="45">
        <f>J90*'Steel Calculations'!J7</f>
        <v>0</v>
      </c>
      <c r="AG90" s="45">
        <f>K90*'Steel Calculations'!K7</f>
        <v>0</v>
      </c>
      <c r="AH90" s="45">
        <f>L90*'Steel Calculations'!L7</f>
        <v>0</v>
      </c>
      <c r="AI90" s="45">
        <f>M90*'Steel Calculations'!M7</f>
        <v>0</v>
      </c>
      <c r="AJ90" s="45">
        <f>N90*'Steel Calculations'!N7</f>
        <v>0</v>
      </c>
      <c r="AK90" s="45">
        <f>O90*'Steel Calculations'!O7</f>
        <v>0</v>
      </c>
      <c r="AL90" s="45">
        <f>P90*'Steel Calculations'!P7</f>
        <v>0</v>
      </c>
      <c r="AM90" s="45">
        <f>Q90*'Steel Calculations'!Q7</f>
        <v>0</v>
      </c>
      <c r="AN90" s="45">
        <f>R90*'Steel Calculations'!R7</f>
        <v>0</v>
      </c>
      <c r="AO90" s="45">
        <f>S90*'Steel Calculations'!S7</f>
        <v>0</v>
      </c>
      <c r="AP90" s="45">
        <f>T90*'Steel Calculations'!T7</f>
        <v>0</v>
      </c>
      <c r="AQ90" s="45">
        <f>U90*'Steel Calculations'!U7</f>
        <v>0</v>
      </c>
      <c r="AS90" s="45">
        <f>R90*'Steel Calculations'!$B$16</f>
        <v>0</v>
      </c>
      <c r="AT90" s="45">
        <f>S90*'Steel Calculations'!$C$16</f>
        <v>0</v>
      </c>
      <c r="AU90" s="45">
        <f>T90*'Steel Calculations'!$D$16</f>
        <v>0</v>
      </c>
      <c r="AV90" s="45">
        <f>U90*'Steel Calculations'!$E$16</f>
        <v>0</v>
      </c>
      <c r="AW90" s="45">
        <f>S90*'Steel Calculations'!$F$16</f>
        <v>0</v>
      </c>
      <c r="AX90" s="45">
        <f>T90*'Steel Calculations'!$G$16</f>
        <v>0</v>
      </c>
      <c r="AY90" s="45">
        <f>U90*'Steel Calculations'!$H$16</f>
        <v>0</v>
      </c>
    </row>
    <row r="91" spans="1:52">
      <c r="A91" s="31"/>
      <c r="B91" s="26"/>
      <c r="C91" s="27"/>
      <c r="D91" s="27"/>
      <c r="E91" s="27"/>
      <c r="F91" s="28"/>
      <c r="G91" s="26"/>
      <c r="H91" s="27"/>
      <c r="I91" s="27"/>
      <c r="J91" s="27"/>
      <c r="K91" s="28"/>
      <c r="L91" s="29"/>
      <c r="M91" s="27"/>
      <c r="N91" s="27"/>
      <c r="O91" s="27"/>
      <c r="P91" s="30"/>
      <c r="Q91" s="26"/>
      <c r="R91" s="27"/>
      <c r="S91" s="27"/>
      <c r="T91" s="27"/>
      <c r="U91" s="28"/>
      <c r="AR91" s="45">
        <f>SUM(X86:AQ90)-M$1*(22*B$1+'MACHINE RATE'!V25)</f>
        <v>7000.8127999999997</v>
      </c>
      <c r="AZ91" s="45">
        <f>SUM(AS86:AY90)</f>
        <v>0</v>
      </c>
    </row>
    <row r="92" spans="1:52" ht="15.75" thickBot="1">
      <c r="A92" s="533" t="s">
        <v>245</v>
      </c>
      <c r="B92" s="534"/>
      <c r="C92" s="534"/>
      <c r="D92" s="534"/>
      <c r="E92" s="534"/>
      <c r="F92" s="534"/>
      <c r="G92" s="534"/>
      <c r="H92" s="534"/>
      <c r="I92" s="534"/>
      <c r="J92" s="534"/>
      <c r="K92" s="534"/>
      <c r="L92" s="534"/>
      <c r="M92" s="534"/>
      <c r="N92" s="534"/>
      <c r="O92" s="534"/>
      <c r="P92" s="534"/>
      <c r="Q92" s="534"/>
      <c r="R92" s="534"/>
      <c r="S92" s="534"/>
      <c r="T92" s="534"/>
      <c r="U92" s="534"/>
    </row>
    <row r="93" spans="1:52" ht="13.5" thickBot="1">
      <c r="A93" s="20" t="s">
        <v>0</v>
      </c>
      <c r="B93" s="529" t="s">
        <v>194</v>
      </c>
      <c r="C93" s="530"/>
      <c r="D93" s="530"/>
      <c r="E93" s="530"/>
      <c r="F93" s="531"/>
      <c r="G93" s="532" t="s">
        <v>195</v>
      </c>
      <c r="H93" s="530"/>
      <c r="I93" s="530"/>
      <c r="J93" s="530"/>
      <c r="K93" s="531"/>
      <c r="L93" s="532" t="s">
        <v>196</v>
      </c>
      <c r="M93" s="530"/>
      <c r="N93" s="530"/>
      <c r="O93" s="530"/>
      <c r="P93" s="531"/>
      <c r="Q93" s="532" t="s">
        <v>197</v>
      </c>
      <c r="R93" s="530"/>
      <c r="S93" s="530"/>
      <c r="T93" s="530"/>
      <c r="U93" s="531"/>
    </row>
    <row r="94" spans="1:52" ht="13.5" thickBot="1">
      <c r="A94" s="38"/>
      <c r="B94" s="26"/>
      <c r="C94" s="27"/>
      <c r="D94" s="27"/>
      <c r="E94" s="27"/>
      <c r="F94" s="28"/>
      <c r="G94" s="26"/>
      <c r="H94" s="27"/>
      <c r="I94" s="27"/>
      <c r="J94" s="27"/>
      <c r="K94" s="28"/>
      <c r="L94" s="29"/>
      <c r="M94" s="27"/>
      <c r="N94" s="27"/>
      <c r="O94" s="27"/>
      <c r="P94" s="30"/>
      <c r="Q94" s="26"/>
      <c r="R94" s="27"/>
      <c r="S94" s="27"/>
      <c r="T94" s="27"/>
      <c r="U94" s="28"/>
    </row>
    <row r="95" spans="1:52" ht="13.5" thickBot="1">
      <c r="A95" s="25" t="s">
        <v>203</v>
      </c>
      <c r="B95" s="26">
        <f>'MF-STEEL(KG)'!B94*O$1*B$1+(D$1+F$1)+'MACHINE RATE'!B30*O$1</f>
        <v>1649.2196799999999</v>
      </c>
      <c r="C95" s="27">
        <f>'MF-STEEL(KG)'!C94*O$1*B$1+(D$1+F$1)+'MACHINE RATE'!C30*O$1</f>
        <v>2212.1888639999997</v>
      </c>
      <c r="D95" s="27">
        <f>'MF-STEEL(KG)'!D94*O$1*B$1+(D$1+F$1)+'MACHINE RATE'!D30*O$1</f>
        <v>2408.7514879999999</v>
      </c>
      <c r="E95" s="27">
        <f>'MF-STEEL(KG)'!E94*O$1*B$1+(D$1+F$1)+'MACHINE RATE'!E30*O$1</f>
        <v>2605.3141119999996</v>
      </c>
      <c r="F95" s="28">
        <f>'MF-STEEL(KG)'!F94*O$1*B$1+(D$1+F$1)+'MACHINE RATE'!F30*O$1</f>
        <v>2851.8767359999997</v>
      </c>
      <c r="G95" s="26">
        <f>'MF-STEEL(KG)'!G94*O$1*B$1+(D$1+F$1)+'MACHINE RATE'!G30*O$1</f>
        <v>1783.5702949999998</v>
      </c>
      <c r="H95" s="27">
        <f>'MF-STEEL(KG)'!H94*O$1*B$1+(D$1+F$1)+'MACHINE RATE'!H30*O$1</f>
        <v>2367.149848</v>
      </c>
      <c r="I95" s="27">
        <f>'MF-STEEL(KG)'!I94*O$1*B$1+(D$1+F$1)+'MACHINE RATE'!I30*O$1</f>
        <v>2563.7124719999993</v>
      </c>
      <c r="J95" s="27">
        <f>'MF-STEEL(KG)'!J94*O$1*B$1+(D$1+F$1)+'MACHINE RATE'!J30*O$1</f>
        <v>2769.4352599999997</v>
      </c>
      <c r="K95" s="28">
        <f>'MF-STEEL(KG)'!K94*O$1*B$1+(D$1+F$1)+'MACHINE RATE'!K30*O$1</f>
        <v>2975.1580479999998</v>
      </c>
      <c r="L95" s="29">
        <f>'MF-STEEL(KG)'!L94*O$1*B$1+(D$1+F$1)+'MACHINE RATE'!L30*O$1</f>
        <v>1957.9966274999999</v>
      </c>
      <c r="M95" s="27">
        <f>'MF-STEEL(KG)'!M94*O$1*B$1+(D$1+F$1)+'MACHINE RATE'!M30*O$1</f>
        <v>2586.2319799999996</v>
      </c>
      <c r="N95" s="27">
        <f>'MF-STEEL(KG)'!N94*O$1*B$1+(D$1+F$1)+'MACHINE RATE'!N30*O$1</f>
        <v>2782.7946039999997</v>
      </c>
      <c r="O95" s="27">
        <f>'MF-STEEL(KG)'!O94*O$1*B$1+(D$1+F$1)+'MACHINE RATE'!O30*O$1</f>
        <v>2997.6775559999996</v>
      </c>
      <c r="P95" s="30">
        <f>'MF-STEEL(KG)'!P94*O$1*B$1+(D$1+F$1)+'MACHINE RATE'!P30*O$1</f>
        <v>3212.5605079999996</v>
      </c>
      <c r="Q95" s="26">
        <f>'MF-STEEL(KG)'!O$1*B$1+(D$1+F$1)+'MACHINE RATE'!Q30*O$1</f>
        <v>850</v>
      </c>
      <c r="R95" s="27">
        <f>'MF-STEEL(KG)'!R94*O$1*B$1+(D$1+F$1)+'MACHINE RATE'!R30*O$1</f>
        <v>2741.1929639999998</v>
      </c>
      <c r="S95" s="27">
        <f>'MF-STEEL(KG)'!S94*O$1*B$1+(D$1+F$1)+'MACHINE RATE'!S30*O$1</f>
        <v>2937.7555879999991</v>
      </c>
      <c r="T95" s="27">
        <f>'MF-STEEL(KG)'!T94*O$1*B$1+(D$1+F$1)+'MACHINE RATE'!T30*O$1</f>
        <v>3161.7987039999994</v>
      </c>
      <c r="U95" s="28">
        <f>'MF-STEEL(KG)'!U94*O$1*B$1+(D$1+F$1)+'MACHINE RATE'!U30*O$1</f>
        <v>3385.8418199999996</v>
      </c>
      <c r="X95" s="45">
        <f>B95*'Steel Calculations'!B3</f>
        <v>0</v>
      </c>
      <c r="Y95" s="45">
        <f>C95*'Steel Calculations'!C3</f>
        <v>0</v>
      </c>
      <c r="Z95" s="45">
        <f>D95*'Steel Calculations'!D3</f>
        <v>0</v>
      </c>
      <c r="AA95" s="45">
        <f>E95*'Steel Calculations'!E3</f>
        <v>0</v>
      </c>
      <c r="AB95" s="45">
        <f>F95*'Steel Calculations'!F3</f>
        <v>0</v>
      </c>
      <c r="AC95" s="45">
        <f>G95*'Steel Calculations'!G3</f>
        <v>0</v>
      </c>
      <c r="AD95" s="45">
        <f>H95*'Steel Calculations'!H3</f>
        <v>0</v>
      </c>
      <c r="AE95" s="45">
        <f>I95*'Steel Calculations'!I3</f>
        <v>0</v>
      </c>
      <c r="AF95" s="45">
        <f>J95*'Steel Calculations'!J3</f>
        <v>0</v>
      </c>
      <c r="AG95" s="45">
        <f>K95*'Steel Calculations'!K3</f>
        <v>0</v>
      </c>
      <c r="AH95" s="45">
        <f>L95*'Steel Calculations'!L3</f>
        <v>0</v>
      </c>
      <c r="AI95" s="45">
        <f>M95*'Steel Calculations'!M3</f>
        <v>0</v>
      </c>
      <c r="AJ95" s="45">
        <f>N95*'Steel Calculations'!N3</f>
        <v>0</v>
      </c>
      <c r="AK95" s="45">
        <f>O95*'Steel Calculations'!O3</f>
        <v>0</v>
      </c>
      <c r="AL95" s="45">
        <f>P95*'Steel Calculations'!P3</f>
        <v>0</v>
      </c>
      <c r="AM95" s="45">
        <f>Q95*'Steel Calculations'!Q3</f>
        <v>0</v>
      </c>
      <c r="AN95" s="45">
        <f>R95*'Steel Calculations'!R3</f>
        <v>0</v>
      </c>
      <c r="AO95" s="45">
        <f>S95*'Steel Calculations'!S3</f>
        <v>0</v>
      </c>
      <c r="AP95" s="45">
        <f>T95*'Steel Calculations'!T3</f>
        <v>0</v>
      </c>
      <c r="AQ95" s="45">
        <f>U95*'Steel Calculations'!U3</f>
        <v>0</v>
      </c>
    </row>
    <row r="96" spans="1:52" ht="13.5" thickBot="1">
      <c r="A96" s="25" t="s">
        <v>204</v>
      </c>
      <c r="B96" s="26">
        <f>'MF-STEEL(KG)'!B95*O$1*B$1+(D$1+F$1)+'MACHINE RATE'!B31*O$1</f>
        <v>1785.0962174999997</v>
      </c>
      <c r="C96" s="27">
        <f>'MF-STEEL(KG)'!C95*O$1*B$1+(D$1+F$1)+'MACHINE RATE'!C31*O$1</f>
        <v>2399.591324</v>
      </c>
      <c r="D96" s="27">
        <f>'MF-STEEL(KG)'!D95*O$1*B$1+(D$1+F$1)+'MACHINE RATE'!D31*O$1</f>
        <v>2596.1539479999992</v>
      </c>
      <c r="E96" s="27">
        <f>'MF-STEEL(KG)'!E95*O$1*B$1+(D$1+F$1)+'MACHINE RATE'!E31*O$1</f>
        <v>2811.0368999999996</v>
      </c>
      <c r="F96" s="28">
        <f>'MF-STEEL(KG)'!F95*O$1*B$1+(D$1+F$1)+'MACHINE RATE'!F31*O$1</f>
        <v>3066.7596879999996</v>
      </c>
      <c r="G96" s="26">
        <f>'MF-STEEL(KG)'!G95*O$1*B$1+(D$1+F$1)+'MACHINE RATE'!G31*O$1</f>
        <v>1942.3472425</v>
      </c>
      <c r="H96" s="27">
        <f>'MF-STEEL(KG)'!H95*O$1*B$1+(D$1+F$1)+'MACHINE RATE'!H31*O$1</f>
        <v>2591.1929639999998</v>
      </c>
      <c r="I96" s="27">
        <f>'MF-STEEL(KG)'!I95*O$1*B$1+(D$1+F$1)+'MACHINE RATE'!I31*O$1</f>
        <v>2787.7555879999991</v>
      </c>
      <c r="J96" s="27">
        <f>'MF-STEEL(KG)'!J95*O$1*B$1+(D$1+F$1)+'MACHINE RATE'!J31*O$1</f>
        <v>2984.3182119999997</v>
      </c>
      <c r="K96" s="28">
        <f>'MF-STEEL(KG)'!K95*O$1*B$1+(D$1+F$1)+'MACHINE RATE'!K31*O$1</f>
        <v>3199.2011639999992</v>
      </c>
      <c r="L96" s="29">
        <f>'MF-STEEL(KG)'!L95*O$1*B$1+(D$1+F$1)+'MACHINE RATE'!L31*O$1</f>
        <v>2116.7735750000002</v>
      </c>
      <c r="M96" s="27">
        <f>'MF-STEEL(KG)'!M95*O$1*B$1+(D$1+F$1)+'MACHINE RATE'!M31*O$1</f>
        <v>2810.2750959999994</v>
      </c>
      <c r="N96" s="27">
        <f>'MF-STEEL(KG)'!N95*O$1*B$1+(D$1+F$1)+'MACHINE RATE'!N31*O$1</f>
        <v>3006.83772</v>
      </c>
      <c r="O96" s="27">
        <f>'MF-STEEL(KG)'!O95*O$1*B$1+(D$1+F$1)+'MACHINE RATE'!O31*O$1</f>
        <v>3230.8808360000003</v>
      </c>
      <c r="P96" s="30">
        <f>'MF-STEEL(KG)'!P95*O$1*B$1+(D$1+F$1)+'MACHINE RATE'!P31*O$1</f>
        <v>3445.7637879999997</v>
      </c>
      <c r="Q96" s="26">
        <f>'MF-STEEL(KG)'!O$1*B$1+(D$1+F$1)+'MACHINE RATE'!Q31*O$1</f>
        <v>900</v>
      </c>
      <c r="R96" s="27">
        <f>'MF-STEEL(KG)'!R95*O$1*B$1+(D$1+F$1)+'MACHINE RATE'!R31*O$1</f>
        <v>3001.8767359999997</v>
      </c>
      <c r="S96" s="27">
        <f>'MF-STEEL(KG)'!S95*O$1*B$1+(D$1+F$1)+'MACHINE RATE'!S31*O$1</f>
        <v>3198.4393599999999</v>
      </c>
      <c r="T96" s="27">
        <f>'MF-STEEL(KG)'!T95*O$1*B$1+(D$1+F$1)+'MACHINE RATE'!T31*O$1</f>
        <v>3404.1621479999999</v>
      </c>
      <c r="U96" s="28">
        <f>'MF-STEEL(KG)'!U95*O$1*B$1+(D$1+F$1)+'MACHINE RATE'!U31*O$1</f>
        <v>3628.2052639999997</v>
      </c>
      <c r="X96" s="45">
        <f>B96*'Steel Calculations'!B4</f>
        <v>0</v>
      </c>
      <c r="Y96" s="45">
        <f>C96*'Steel Calculations'!C4</f>
        <v>0</v>
      </c>
      <c r="Z96" s="45">
        <f>D96*'Steel Calculations'!D4</f>
        <v>0</v>
      </c>
      <c r="AA96" s="45">
        <f>E96*'Steel Calculations'!E4</f>
        <v>0</v>
      </c>
      <c r="AB96" s="45">
        <f>F96*'Steel Calculations'!F4</f>
        <v>0</v>
      </c>
      <c r="AC96" s="45">
        <f>G96*'Steel Calculations'!G4</f>
        <v>0</v>
      </c>
      <c r="AD96" s="45">
        <f>H96*'Steel Calculations'!H4</f>
        <v>0</v>
      </c>
      <c r="AE96" s="45">
        <f>I96*'Steel Calculations'!I4</f>
        <v>0</v>
      </c>
      <c r="AF96" s="45">
        <f>J96*'Steel Calculations'!J4</f>
        <v>0</v>
      </c>
      <c r="AG96" s="45">
        <f>K96*'Steel Calculations'!K4</f>
        <v>0</v>
      </c>
      <c r="AH96" s="45">
        <f>L96*'Steel Calculations'!L4</f>
        <v>0</v>
      </c>
      <c r="AI96" s="45">
        <f>M96*'Steel Calculations'!M4</f>
        <v>0</v>
      </c>
      <c r="AJ96" s="45">
        <f>N96*'Steel Calculations'!N4</f>
        <v>0</v>
      </c>
      <c r="AK96" s="45">
        <f>O96*'Steel Calculations'!O4</f>
        <v>0</v>
      </c>
      <c r="AL96" s="45">
        <f>P96*'Steel Calculations'!P4</f>
        <v>0</v>
      </c>
      <c r="AM96" s="45">
        <f>Q96*'Steel Calculations'!Q4</f>
        <v>0</v>
      </c>
      <c r="AN96" s="45">
        <f>R96*'Steel Calculations'!R4</f>
        <v>0</v>
      </c>
      <c r="AO96" s="45">
        <f>S96*'Steel Calculations'!S4</f>
        <v>0</v>
      </c>
      <c r="AP96" s="45">
        <f>T96*'Steel Calculations'!T4</f>
        <v>0</v>
      </c>
      <c r="AQ96" s="45">
        <f>U96*'Steel Calculations'!U4</f>
        <v>0</v>
      </c>
    </row>
    <row r="97" spans="1:53" ht="13.5" thickBot="1">
      <c r="A97" s="25" t="s">
        <v>205</v>
      </c>
      <c r="B97" s="26">
        <f>'MF-STEEL(KG)'!B96*O$1*B$1+(D$1+F$1)+'MACHINE RATE'!B32*O$1</f>
        <v>1955.3233699999998</v>
      </c>
      <c r="C97" s="27">
        <f>'MF-STEEL(KG)'!C96*O$1*B$1+(D$1+F$1)+'MACHINE RATE'!C32*O$1</f>
        <v>2641.9547679999996</v>
      </c>
      <c r="D97" s="27">
        <f>'MF-STEEL(KG)'!D96*O$1*B$1+(D$1+F$1)+'MACHINE RATE'!D32*O$1</f>
        <v>2838.5173919999997</v>
      </c>
      <c r="E97" s="27">
        <f>'MF-STEEL(KG)'!E96*O$1*B$1+(D$1+F$1)+'MACHINE RATE'!E32*O$1</f>
        <v>3062.5605079999996</v>
      </c>
      <c r="F97" s="28">
        <f>'MF-STEEL(KG)'!F96*O$1*B$1+(D$1+F$1)+'MACHINE RATE'!F32*O$1</f>
        <v>3327.44346</v>
      </c>
      <c r="G97" s="26">
        <f>'MF-STEEL(KG)'!G96*O$1*B$1+(D$1+F$1)+'MACHINE RATE'!G32*O$1</f>
        <v>2106.8492925</v>
      </c>
      <c r="H97" s="27">
        <f>'MF-STEEL(KG)'!H96*O$1*B$1+(D$1+F$1)+'MACHINE RATE'!H32*O$1</f>
        <v>2824.3962439999996</v>
      </c>
      <c r="I97" s="27">
        <f>'MF-STEEL(KG)'!I96*O$1*B$1+(D$1+F$1)+'MACHINE RATE'!I32*O$1</f>
        <v>3020.9588679999997</v>
      </c>
      <c r="J97" s="27">
        <f>'MF-STEEL(KG)'!J96*O$1*B$1+(D$1+F$1)+'MACHINE RATE'!J32*O$1</f>
        <v>3245.0019839999995</v>
      </c>
      <c r="K97" s="28">
        <f>'MF-STEEL(KG)'!K96*O$1*B$1+(D$1+F$1)+'MACHINE RATE'!K32*O$1</f>
        <v>3478.2052639999997</v>
      </c>
      <c r="L97" s="29">
        <f>'MF-STEEL(KG)'!L96*O$1*B$1+(D$1+F$1)+'MACHINE RATE'!L32*O$1</f>
        <v>2304.176035</v>
      </c>
      <c r="M97" s="27">
        <f>'MF-STEEL(KG)'!M96*O$1*B$1+(D$1+F$1)+'MACHINE RATE'!M32*O$1</f>
        <v>3080.1190319999992</v>
      </c>
      <c r="N97" s="27">
        <f>'MF-STEEL(KG)'!N96*O$1*B$1+(D$1+F$1)+'MACHINE RATE'!N32*O$1</f>
        <v>3276.6816559999997</v>
      </c>
      <c r="O97" s="27">
        <f>'MF-STEEL(KG)'!O96*O$1*B$1+(D$1+F$1)+'MACHINE RATE'!O32*O$1</f>
        <v>3509.8849359999999</v>
      </c>
      <c r="P97" s="30">
        <f>'MF-STEEL(KG)'!P96*O$1*B$1+(D$1+F$1)+'MACHINE RATE'!P32*O$1</f>
        <v>3743.0882159999996</v>
      </c>
      <c r="Q97" s="26">
        <f>'MF-STEEL(KG)'!O$1*B$1+(D$1+F$1)+'MACHINE RATE'!Q32*O$1</f>
        <v>950</v>
      </c>
      <c r="R97" s="27">
        <f>'MF-STEEL(KG)'!R96*O$1*B$1+(D$1+F$1)+'MACHINE RATE'!R32*O$1</f>
        <v>3262.5605079999996</v>
      </c>
      <c r="S97" s="27">
        <f>'MF-STEEL(KG)'!S96*O$1*B$1+(D$1+F$1)+'MACHINE RATE'!S32*O$1</f>
        <v>3459.1231319999997</v>
      </c>
      <c r="T97" s="27">
        <f>'MF-STEEL(KG)'!T96*O$1*B$1+(D$1+F$1)+'MACHINE RATE'!T32*O$1</f>
        <v>3692.326411999999</v>
      </c>
      <c r="U97" s="28">
        <f>'MF-STEEL(KG)'!U96*O$1*B$1+(D$1+F$1)+'MACHINE RATE'!U32*O$1</f>
        <v>3943.8500199999994</v>
      </c>
      <c r="X97" s="45">
        <f>B97*'Steel Calculations'!B5</f>
        <v>0</v>
      </c>
      <c r="Y97" s="45">
        <f>C97*'Steel Calculations'!C5</f>
        <v>0</v>
      </c>
      <c r="Z97" s="45">
        <f>D97*'Steel Calculations'!D5</f>
        <v>0</v>
      </c>
      <c r="AA97" s="45">
        <f>E97*'Steel Calculations'!E5</f>
        <v>0</v>
      </c>
      <c r="AB97" s="45">
        <f>F97*'Steel Calculations'!F5</f>
        <v>0</v>
      </c>
      <c r="AC97" s="45">
        <f>G97*'Steel Calculations'!G5</f>
        <v>0</v>
      </c>
      <c r="AD97" s="45">
        <f>H97*'Steel Calculations'!H5</f>
        <v>0</v>
      </c>
      <c r="AE97" s="45">
        <f>I97*'Steel Calculations'!I5</f>
        <v>6041.9177359999994</v>
      </c>
      <c r="AF97" s="45">
        <f>J97*'Steel Calculations'!J5</f>
        <v>3245.0019839999995</v>
      </c>
      <c r="AG97" s="45">
        <f>K97*'Steel Calculations'!K5</f>
        <v>0</v>
      </c>
      <c r="AH97" s="45">
        <f>L97*'Steel Calculations'!L5</f>
        <v>0</v>
      </c>
      <c r="AI97" s="45">
        <f>M97*'Steel Calculations'!M5</f>
        <v>0</v>
      </c>
      <c r="AJ97" s="45">
        <f>N97*'Steel Calculations'!N5</f>
        <v>0</v>
      </c>
      <c r="AK97" s="45">
        <f>O97*'Steel Calculations'!O5</f>
        <v>0</v>
      </c>
      <c r="AL97" s="45">
        <f>P97*'Steel Calculations'!P5</f>
        <v>0</v>
      </c>
      <c r="AM97" s="45">
        <f>Q97*'Steel Calculations'!Q5</f>
        <v>0</v>
      </c>
      <c r="AN97" s="45">
        <f>R97*'Steel Calculations'!R5</f>
        <v>0</v>
      </c>
      <c r="AO97" s="45">
        <f>S97*'Steel Calculations'!S5</f>
        <v>0</v>
      </c>
      <c r="AP97" s="45">
        <f>T97*'Steel Calculations'!T5</f>
        <v>0</v>
      </c>
      <c r="AQ97" s="45">
        <f>U97*'Steel Calculations'!U5</f>
        <v>0</v>
      </c>
    </row>
    <row r="98" spans="1:53" ht="13.5" thickBot="1">
      <c r="A98" s="25" t="s">
        <v>206</v>
      </c>
      <c r="B98" s="26">
        <f>'MF-STEEL(KG)'!B97*O$1*B$1+(D$1+F$1)+'MACHINE RATE'!B33*O$1</f>
        <v>2096.9250099999999</v>
      </c>
      <c r="C98" s="27">
        <f>'MF-STEEL(KG)'!C97*O$1*B$1+(D$1+F$1)+'MACHINE RATE'!C33*O$1</f>
        <v>2838.5173919999997</v>
      </c>
      <c r="D98" s="27">
        <f>'MF-STEEL(KG)'!D97*O$1*B$1+(D$1+F$1)+'MACHINE RATE'!D33*O$1</f>
        <v>3035.0800159999999</v>
      </c>
      <c r="E98" s="27">
        <f>'MF-STEEL(KG)'!E97*O$1*B$1+(D$1+F$1)+'MACHINE RATE'!E33*O$1</f>
        <v>3259.1231319999997</v>
      </c>
      <c r="F98" s="28">
        <f>'MF-STEEL(KG)'!F97*O$1*B$1+(D$1+F$1)+'MACHINE RATE'!F33*O$1</f>
        <v>3524.0060839999996</v>
      </c>
      <c r="G98" s="26">
        <f>'MF-STEEL(KG)'!G97*O$1*B$1+(D$1+F$1)+'MACHINE RATE'!G33*O$1</f>
        <v>2248.4509324999999</v>
      </c>
      <c r="H98" s="27">
        <f>'MF-STEEL(KG)'!H97*O$1*B$1+(D$1+F$1)+'MACHINE RATE'!H33*O$1</f>
        <v>3020.9588679999997</v>
      </c>
      <c r="I98" s="27">
        <f>'MF-STEEL(KG)'!I97*O$1*B$1+(D$1+F$1)+'MACHINE RATE'!I33*O$1</f>
        <v>3217.5214919999994</v>
      </c>
      <c r="J98" s="27">
        <f>'MF-STEEL(KG)'!J97*O$1*B$1+(D$1+F$1)+'MACHINE RATE'!J33*O$1</f>
        <v>3441.5646079999997</v>
      </c>
      <c r="K98" s="28">
        <f>'MF-STEEL(KG)'!K97*O$1*B$1+(D$1+F$1)+'MACHINE RATE'!K33*O$1</f>
        <v>3674.7678879999994</v>
      </c>
      <c r="L98" s="29">
        <f>'MF-STEEL(KG)'!L97*O$1*B$1+(D$1+F$1)+'MACHINE RATE'!L33*O$1</f>
        <v>2445.7776749999998</v>
      </c>
      <c r="M98" s="27">
        <f>'MF-STEEL(KG)'!M97*O$1*B$1+(D$1+F$1)+'MACHINE RATE'!M33*O$1</f>
        <v>3276.6816559999997</v>
      </c>
      <c r="N98" s="27">
        <f>'MF-STEEL(KG)'!N97*O$1*B$1+(D$1+F$1)+'MACHINE RATE'!N33*O$1</f>
        <v>3473.2442799999994</v>
      </c>
      <c r="O98" s="27">
        <f>'MF-STEEL(KG)'!O97*O$1*B$1+(D$1+F$1)+'MACHINE RATE'!O33*O$1</f>
        <v>3706.4475600000001</v>
      </c>
      <c r="P98" s="30">
        <f>'MF-STEEL(KG)'!P97*O$1*B$1+(D$1+F$1)+'MACHINE RATE'!P33*O$1</f>
        <v>3939.6508399999998</v>
      </c>
      <c r="Q98" s="26">
        <f>'MF-STEEL(KG)'!O$1*B$1+(D$1+F$1)+'MACHINE RATE'!Q33*O$1</f>
        <v>1000</v>
      </c>
      <c r="R98" s="27">
        <f>'MF-STEEL(KG)'!R97*O$1*B$1+(D$1+F$1)+'MACHINE RATE'!R33*O$1</f>
        <v>3459.1231319999997</v>
      </c>
      <c r="S98" s="27">
        <f>'MF-STEEL(KG)'!S97*O$1*B$1+(D$1+F$1)+'MACHINE RATE'!S33*O$1</f>
        <v>3655.6857559999994</v>
      </c>
      <c r="T98" s="27">
        <f>'MF-STEEL(KG)'!T97*O$1*B$1+(D$1+F$1)+'MACHINE RATE'!T33*O$1</f>
        <v>3888.889036</v>
      </c>
      <c r="U98" s="28">
        <f>'MF-STEEL(KG)'!U97*O$1*B$1+(D$1+F$1)+'MACHINE RATE'!U33*O$1</f>
        <v>4140.412644</v>
      </c>
      <c r="X98" s="45">
        <f>B98*'Steel Calculations'!B6</f>
        <v>0</v>
      </c>
      <c r="Y98" s="45">
        <f>C98*'Steel Calculations'!C6</f>
        <v>0</v>
      </c>
      <c r="Z98" s="45">
        <f>D98*'Steel Calculations'!D6</f>
        <v>0</v>
      </c>
      <c r="AA98" s="45">
        <f>E98*'Steel Calculations'!E6</f>
        <v>0</v>
      </c>
      <c r="AB98" s="45">
        <f>F98*'Steel Calculations'!F6</f>
        <v>0</v>
      </c>
      <c r="AC98" s="45">
        <f>G98*'Steel Calculations'!G6</f>
        <v>0</v>
      </c>
      <c r="AD98" s="45">
        <f>H98*'Steel Calculations'!H6</f>
        <v>0</v>
      </c>
      <c r="AE98" s="45">
        <f>I98*'Steel Calculations'!I6</f>
        <v>0</v>
      </c>
      <c r="AF98" s="45">
        <f>J98*'Steel Calculations'!J6</f>
        <v>0</v>
      </c>
      <c r="AG98" s="45">
        <f>K98*'Steel Calculations'!K6</f>
        <v>0</v>
      </c>
      <c r="AH98" s="45">
        <f>L98*'Steel Calculations'!L6</f>
        <v>0</v>
      </c>
      <c r="AI98" s="45">
        <f>M98*'Steel Calculations'!M6</f>
        <v>0</v>
      </c>
      <c r="AJ98" s="45">
        <f>N98*'Steel Calculations'!N6</f>
        <v>0</v>
      </c>
      <c r="AK98" s="45">
        <f>O98*'Steel Calculations'!O6</f>
        <v>0</v>
      </c>
      <c r="AL98" s="45">
        <f>P98*'Steel Calculations'!P6</f>
        <v>0</v>
      </c>
      <c r="AM98" s="45">
        <f>Q98*'Steel Calculations'!Q6</f>
        <v>0</v>
      </c>
      <c r="AN98" s="45">
        <f>R98*'Steel Calculations'!R6</f>
        <v>0</v>
      </c>
      <c r="AO98" s="45">
        <f>S98*'Steel Calculations'!S6</f>
        <v>0</v>
      </c>
      <c r="AP98" s="45">
        <f>T98*'Steel Calculations'!T6</f>
        <v>0</v>
      </c>
      <c r="AQ98" s="45">
        <f>U98*'Steel Calculations'!U6</f>
        <v>0</v>
      </c>
      <c r="AX98" s="51"/>
      <c r="AY98" s="51"/>
      <c r="AZ98" s="51"/>
      <c r="BA98" s="52"/>
    </row>
    <row r="99" spans="1:53" ht="13.5" thickBot="1">
      <c r="A99" s="25" t="s">
        <v>207</v>
      </c>
      <c r="B99" s="26">
        <f>'MF-STEEL(KG)'!B98*O$1*B$1+(D$1+F$1)+'MACHINE RATE'!B34*O$1</f>
        <v>2299.5944099999997</v>
      </c>
      <c r="C99" s="27">
        <f>'MF-STEEL(KG)'!C98*O$1*B$1+(D$1+F$1)+'MACHINE RATE'!C34*O$1</f>
        <v>3041.1867919999995</v>
      </c>
      <c r="D99" s="27">
        <f>'MF-STEEL(KG)'!D98*O$1*B$1+(D$1+F$1)+'MACHINE RATE'!D34*O$1</f>
        <v>3237.7494160000001</v>
      </c>
      <c r="E99" s="27">
        <f>'MF-STEEL(KG)'!E98*O$1*B$1+(D$1+F$1)+'MACHINE RATE'!E34*O$1</f>
        <v>3461.792531999999</v>
      </c>
      <c r="F99" s="28">
        <f>'MF-STEEL(KG)'!F98*O$1*B$1+(D$1+F$1)+'MACHINE RATE'!F34*O$1</f>
        <v>3726.6754839999999</v>
      </c>
      <c r="G99" s="26">
        <f>'MF-STEEL(KG)'!G98*O$1*B$1+(D$1+F$1)+'MACHINE RATE'!G34*O$1</f>
        <v>2451.1203324999997</v>
      </c>
      <c r="H99" s="27">
        <f>'MF-STEEL(KG)'!H98*O$1*B$1+(D$1+F$1)+'MACHINE RATE'!H34*O$1</f>
        <v>3223.6282679999995</v>
      </c>
      <c r="I99" s="27">
        <f>'MF-STEEL(KG)'!I98*O$1*B$1+(D$1+F$1)+'MACHINE RATE'!I34*O$1</f>
        <v>3420.1908919999996</v>
      </c>
      <c r="J99" s="27">
        <f>'MF-STEEL(KG)'!J98*O$1*B$1+(D$1+F$1)+'MACHINE RATE'!J34*O$1</f>
        <v>3644.234007999999</v>
      </c>
      <c r="K99" s="28">
        <f>'MF-STEEL(KG)'!K98*O$1*B$1+(D$1+F$1)+'MACHINE RATE'!K34*O$1</f>
        <v>3877.4372879999996</v>
      </c>
      <c r="L99" s="29">
        <f>'MF-STEEL(KG)'!L98*O$1*B$1+(D$1+F$1)+'MACHINE RATE'!L34*O$1</f>
        <v>2648.447075</v>
      </c>
      <c r="M99" s="27">
        <f>'MF-STEEL(KG)'!M98*O$1*B$1+(D$1+F$1)+'MACHINE RATE'!M34*O$1</f>
        <v>3479.3510559999995</v>
      </c>
      <c r="N99" s="27">
        <f>'MF-STEEL(KG)'!N98*O$1*B$1+(D$1+F$1)+'MACHINE RATE'!N34*O$1</f>
        <v>3675.9136799999997</v>
      </c>
      <c r="O99" s="27">
        <f>'MF-STEEL(KG)'!O98*O$1*B$1+(D$1+F$1)+'MACHINE RATE'!O34*O$1</f>
        <v>3909.1169599999998</v>
      </c>
      <c r="P99" s="30">
        <f>'MF-STEEL(KG)'!P98*O$1*B$1+(D$1+F$1)+'MACHINE RATE'!P34*O$1</f>
        <v>4142.3202399999991</v>
      </c>
      <c r="Q99" s="26">
        <f>'MF-STEEL(KG)'!O$1*B$1+(D$1+F$1)+'MACHINE RATE'!Q34*O$1</f>
        <v>1050</v>
      </c>
      <c r="R99" s="27">
        <f>'MF-STEEL(KG)'!R98*O$1*B$1+(D$1+F$1)+'MACHINE RATE'!R34*O$1</f>
        <v>3661.792531999999</v>
      </c>
      <c r="S99" s="27">
        <f>'MF-STEEL(KG)'!S98*O$1*B$1+(D$1+F$1)+'MACHINE RATE'!S34*O$1</f>
        <v>3858.3551560000001</v>
      </c>
      <c r="T99" s="27">
        <f>'MF-STEEL(KG)'!T98*O$1*B$1+(D$1+F$1)+'MACHINE RATE'!T34*O$1</f>
        <v>4091.5584359999998</v>
      </c>
      <c r="U99" s="28">
        <f>'MF-STEEL(KG)'!U98*O$1*B$1+(D$1+F$1)+'MACHINE RATE'!U34*O$1</f>
        <v>4343.0820439999998</v>
      </c>
      <c r="X99" s="45">
        <f>B99*'Steel Calculations'!B7</f>
        <v>0</v>
      </c>
      <c r="Y99" s="45">
        <f>C99*'Steel Calculations'!C7</f>
        <v>0</v>
      </c>
      <c r="Z99" s="45">
        <f>D99*'Steel Calculations'!D7</f>
        <v>0</v>
      </c>
      <c r="AA99" s="45">
        <f>E99*'Steel Calculations'!E7</f>
        <v>0</v>
      </c>
      <c r="AB99" s="45">
        <f>F99*'Steel Calculations'!F7</f>
        <v>0</v>
      </c>
      <c r="AC99" s="45">
        <f>G99*'Steel Calculations'!G7</f>
        <v>0</v>
      </c>
      <c r="AD99" s="45">
        <f>H99*'Steel Calculations'!H7</f>
        <v>0</v>
      </c>
      <c r="AE99" s="45">
        <f>I99*'Steel Calculations'!I7</f>
        <v>0</v>
      </c>
      <c r="AF99" s="45">
        <f>J99*'Steel Calculations'!J7</f>
        <v>0</v>
      </c>
      <c r="AG99" s="45">
        <f>K99*'Steel Calculations'!K7</f>
        <v>0</v>
      </c>
      <c r="AH99" s="45">
        <f>L99*'Steel Calculations'!L7</f>
        <v>0</v>
      </c>
      <c r="AI99" s="45">
        <f>M99*'Steel Calculations'!M7</f>
        <v>0</v>
      </c>
      <c r="AJ99" s="45">
        <f>N99*'Steel Calculations'!N7</f>
        <v>0</v>
      </c>
      <c r="AK99" s="45">
        <f>O99*'Steel Calculations'!O7</f>
        <v>0</v>
      </c>
      <c r="AL99" s="45">
        <f>P99*'Steel Calculations'!P7</f>
        <v>0</v>
      </c>
      <c r="AM99" s="45">
        <f>Q99*'Steel Calculations'!Q7</f>
        <v>0</v>
      </c>
      <c r="AN99" s="45">
        <f>R99*'Steel Calculations'!R7</f>
        <v>0</v>
      </c>
      <c r="AO99" s="45">
        <f>S99*'Steel Calculations'!S7</f>
        <v>0</v>
      </c>
      <c r="AP99" s="45">
        <f>T99*'Steel Calculations'!T7</f>
        <v>0</v>
      </c>
      <c r="AQ99" s="45">
        <f>U99*'Steel Calculations'!U7</f>
        <v>0</v>
      </c>
      <c r="AX99" s="51"/>
      <c r="AY99" s="51"/>
      <c r="AZ99" s="51"/>
      <c r="BA99" s="52"/>
    </row>
    <row r="100" spans="1:53">
      <c r="AR100" s="45">
        <f>SUM(X95:AQ99)-M$1*(22*B$1+'MACHINE RATE'!V34)</f>
        <v>8600.3197199999977</v>
      </c>
      <c r="AX100" s="51"/>
      <c r="AY100" s="51"/>
      <c r="AZ100" s="51"/>
      <c r="BA100" s="52"/>
    </row>
    <row r="101" spans="1:53" ht="15.75" customHeight="1" thickBot="1">
      <c r="A101" s="533" t="s">
        <v>246</v>
      </c>
      <c r="B101" s="534"/>
      <c r="C101" s="534"/>
      <c r="D101" s="534"/>
      <c r="E101" s="534"/>
      <c r="F101" s="534"/>
      <c r="G101" s="534"/>
      <c r="H101" s="534"/>
      <c r="I101" s="534"/>
      <c r="J101" s="534"/>
      <c r="K101" s="534"/>
      <c r="L101" s="534"/>
      <c r="M101" s="534"/>
      <c r="N101" s="534"/>
      <c r="O101" s="534"/>
      <c r="P101" s="534"/>
      <c r="Q101" s="534"/>
      <c r="R101" s="534"/>
      <c r="S101" s="534"/>
      <c r="T101" s="534"/>
      <c r="U101" s="534"/>
      <c r="AX101" s="51"/>
      <c r="AY101" s="51"/>
      <c r="AZ101" s="51"/>
      <c r="BA101" s="52"/>
    </row>
    <row r="102" spans="1:53" ht="13.5" thickBot="1">
      <c r="A102" s="20" t="s">
        <v>0</v>
      </c>
      <c r="B102" s="529" t="s">
        <v>194</v>
      </c>
      <c r="C102" s="530"/>
      <c r="D102" s="530"/>
      <c r="E102" s="530"/>
      <c r="F102" s="531"/>
      <c r="G102" s="532" t="s">
        <v>195</v>
      </c>
      <c r="H102" s="530"/>
      <c r="I102" s="530"/>
      <c r="J102" s="530"/>
      <c r="K102" s="531"/>
      <c r="L102" s="532" t="s">
        <v>196</v>
      </c>
      <c r="M102" s="530"/>
      <c r="N102" s="530"/>
      <c r="O102" s="530"/>
      <c r="P102" s="531"/>
      <c r="Q102" s="532" t="s">
        <v>197</v>
      </c>
      <c r="R102" s="530"/>
      <c r="S102" s="530"/>
      <c r="T102" s="530"/>
      <c r="U102" s="531"/>
      <c r="AX102" s="51"/>
      <c r="AY102" s="51"/>
      <c r="AZ102" s="51"/>
      <c r="BA102" s="52"/>
    </row>
    <row r="103" spans="1:53" ht="13.5" thickBot="1">
      <c r="A103" s="21"/>
      <c r="B103" s="22" t="s">
        <v>198</v>
      </c>
      <c r="C103" s="22" t="s">
        <v>199</v>
      </c>
      <c r="D103" s="22" t="s">
        <v>200</v>
      </c>
      <c r="E103" s="22" t="s">
        <v>201</v>
      </c>
      <c r="F103" s="23" t="s">
        <v>202</v>
      </c>
      <c r="G103" s="22" t="s">
        <v>198</v>
      </c>
      <c r="H103" s="22" t="s">
        <v>199</v>
      </c>
      <c r="I103" s="22" t="s">
        <v>200</v>
      </c>
      <c r="J103" s="22" t="s">
        <v>201</v>
      </c>
      <c r="K103" s="22" t="s">
        <v>202</v>
      </c>
      <c r="L103" s="24" t="s">
        <v>198</v>
      </c>
      <c r="M103" s="22" t="s">
        <v>199</v>
      </c>
      <c r="N103" s="22" t="s">
        <v>200</v>
      </c>
      <c r="O103" s="22" t="s">
        <v>201</v>
      </c>
      <c r="P103" s="22" t="s">
        <v>202</v>
      </c>
      <c r="Q103" s="22" t="s">
        <v>198</v>
      </c>
      <c r="R103" s="22" t="s">
        <v>199</v>
      </c>
      <c r="S103" s="22" t="s">
        <v>200</v>
      </c>
      <c r="T103" s="22" t="s">
        <v>201</v>
      </c>
      <c r="U103" s="22" t="s">
        <v>202</v>
      </c>
      <c r="AX103" s="51"/>
      <c r="AY103" s="51"/>
      <c r="AZ103" s="51"/>
      <c r="BA103" s="52"/>
    </row>
    <row r="104" spans="1:53" ht="13.5" thickBot="1">
      <c r="A104" s="25" t="s">
        <v>203</v>
      </c>
      <c r="B104" s="26">
        <f>'MF-STEEL(KG)'!B103*O$1*H$1+(J$1+F$1)+'MACHINE RATE'!B39*O$1</f>
        <v>7182</v>
      </c>
      <c r="C104" s="27">
        <f>'MF-STEEL(KG)'!C103*O$1*H$1+(J$1+F$1)+'MACHINE RATE'!C39*O$1</f>
        <v>9793.5999999999985</v>
      </c>
      <c r="D104" s="27">
        <f>'MF-STEEL(KG)'!D103*O$1*H$1+(J$1+F$1)+'MACHINE RATE'!D39*O$1</f>
        <v>10611.199999999999</v>
      </c>
      <c r="E104" s="27">
        <f>'MF-STEEL(KG)'!E103*O$1*H$1+(J$1+F$1)+'MACHINE RATE'!E39*O$1</f>
        <v>11428.8</v>
      </c>
      <c r="F104" s="28">
        <f>'MF-STEEL(KG)'!F103*O$1*H$1+(J$1+F$1)+'MACHINE RATE'!F39*O$1</f>
        <v>12246.4</v>
      </c>
      <c r="G104" s="26">
        <f>'MF-STEEL(KG)'!G103*O$1*H$1+(J$1+F$1)+'MACHINE RATE'!G39*O$1</f>
        <v>7600.1874999999991</v>
      </c>
      <c r="H104" s="27">
        <f>'MF-STEEL(KG)'!H103*O$1*H$1+(J$1+F$1)+'MACHINE RATE'!H39*O$1</f>
        <v>10312.700000000001</v>
      </c>
      <c r="I104" s="27">
        <f>'MF-STEEL(KG)'!I103*O$1*H$1+(J$1+F$1)+'MACHINE RATE'!I39*O$1</f>
        <v>11130.299999999997</v>
      </c>
      <c r="J104" s="27">
        <f>'MF-STEEL(KG)'!J103*O$1*H$1+(J$1+F$1)+'MACHINE RATE'!J39*O$1</f>
        <v>11992.75</v>
      </c>
      <c r="K104" s="28">
        <f>'MF-STEEL(KG)'!K103*O$1*H$1+(J$1+F$1)+'MACHINE RATE'!K39*O$1</f>
        <v>12855.199999999999</v>
      </c>
      <c r="L104" s="29">
        <f>'MF-STEEL(KG)'!L103*O$1*H$1+(J$1+F$1)+'MACHINE RATE'!L39*O$1</f>
        <v>8164.5937499999991</v>
      </c>
      <c r="M104" s="27">
        <f>'MF-STEEL(KG)'!M103*O$1*H$1+(J$1+F$1)+'MACHINE RATE'!M39*O$1</f>
        <v>11095.75</v>
      </c>
      <c r="N104" s="27">
        <f>'MF-STEEL(KG)'!N103*O$1*H$1+(J$1+F$1)+'MACHINE RATE'!N39*O$1</f>
        <v>11913.349999999999</v>
      </c>
      <c r="O104" s="27">
        <f>'MF-STEEL(KG)'!O103*O$1*H$1+(J$1+F$1)+'MACHINE RATE'!O39*O$1</f>
        <v>12820.65</v>
      </c>
      <c r="P104" s="30">
        <f>'MF-STEEL(KG)'!P103*O$1*H$1+(J$1+F$1)+'MACHINE RATE'!P39*O$1</f>
        <v>13727.949999999999</v>
      </c>
      <c r="Q104" s="26">
        <f>'MF-STEEL(KG)'!O$1*H$1+(J$1+F$1)+'MACHINE RATE'!Q39*O$1</f>
        <v>2450</v>
      </c>
      <c r="R104" s="27">
        <f>'MF-STEEL(KG)'!R103*O$1*H$1+(J$1+F$1)+'MACHINE RATE'!R39*O$1</f>
        <v>11564.849999999999</v>
      </c>
      <c r="S104" s="27">
        <f>'MF-STEEL(KG)'!S103*O$1*H$1+(J$1+F$1)+'MACHINE RATE'!S39*O$1</f>
        <v>12382.449999999997</v>
      </c>
      <c r="T104" s="27">
        <f>'MF-STEEL(KG)'!T103*O$1*H$1+(J$1+F$1)+'MACHINE RATE'!T39*O$1</f>
        <v>13334.599999999999</v>
      </c>
      <c r="U104" s="28">
        <f>'MF-STEEL(KG)'!U103*O$1*H$1+(J$1+F$1)+'MACHINE RATE'!U39*O$1</f>
        <v>14286.75</v>
      </c>
      <c r="X104" s="45">
        <f>B104*'Steel Calculations'!B3</f>
        <v>0</v>
      </c>
      <c r="Y104" s="45">
        <f>C104*'Steel Calculations'!C3</f>
        <v>0</v>
      </c>
      <c r="Z104" s="45">
        <f>D104*'Steel Calculations'!D3</f>
        <v>0</v>
      </c>
      <c r="AA104" s="45">
        <f>E104*'Steel Calculations'!E3</f>
        <v>0</v>
      </c>
      <c r="AB104" s="45">
        <f>F104*'Steel Calculations'!F3</f>
        <v>0</v>
      </c>
      <c r="AC104" s="45">
        <f>G104*'Steel Calculations'!G3</f>
        <v>0</v>
      </c>
      <c r="AD104" s="45">
        <f>H104*'Steel Calculations'!H3</f>
        <v>0</v>
      </c>
      <c r="AE104" s="45">
        <f>I104*'Steel Calculations'!I3</f>
        <v>0</v>
      </c>
      <c r="AF104" s="45">
        <f>J104*'Steel Calculations'!J3</f>
        <v>0</v>
      </c>
      <c r="AG104" s="45">
        <f>K104*'Steel Calculations'!K3</f>
        <v>0</v>
      </c>
      <c r="AH104" s="45">
        <f>L104*'Steel Calculations'!L3</f>
        <v>0</v>
      </c>
      <c r="AI104" s="45">
        <f>M104*'Steel Calculations'!M3</f>
        <v>0</v>
      </c>
      <c r="AJ104" s="45">
        <f>N104*'Steel Calculations'!N3</f>
        <v>0</v>
      </c>
      <c r="AK104" s="45">
        <f>O104*'Steel Calculations'!O3</f>
        <v>0</v>
      </c>
      <c r="AL104" s="45">
        <f>P104*'Steel Calculations'!P3</f>
        <v>0</v>
      </c>
      <c r="AM104" s="45">
        <f>Q104*'Steel Calculations'!Q3</f>
        <v>0</v>
      </c>
      <c r="AN104" s="45">
        <f>R104*'Steel Calculations'!R3</f>
        <v>0</v>
      </c>
      <c r="AO104" s="45">
        <f>S104*'Steel Calculations'!S3</f>
        <v>0</v>
      </c>
      <c r="AP104" s="45">
        <f>T104*'Steel Calculations'!T3</f>
        <v>0</v>
      </c>
      <c r="AQ104" s="45">
        <f>U104*'Steel Calculations'!U3</f>
        <v>0</v>
      </c>
      <c r="AX104" s="51"/>
      <c r="AY104" s="51"/>
      <c r="AZ104" s="51"/>
      <c r="BA104" s="52"/>
    </row>
    <row r="105" spans="1:53" ht="13.5" thickBot="1">
      <c r="A105" s="25" t="s">
        <v>204</v>
      </c>
      <c r="B105" s="26">
        <f>'MF-STEEL(KG)'!B104*O$1*H$1+(J$1+F$1)+'MACHINE RATE'!B40*O$1</f>
        <v>7702.46875</v>
      </c>
      <c r="C105" s="27">
        <f>'MF-STEEL(KG)'!C104*O$1*H$1+(J$1+F$1)+'MACHINE RATE'!C40*O$1</f>
        <v>10566.35</v>
      </c>
      <c r="D105" s="27">
        <f>'MF-STEEL(KG)'!D104*O$1*H$1+(J$1+F$1)+'MACHINE RATE'!D40*O$1</f>
        <v>11383.949999999999</v>
      </c>
      <c r="E105" s="27">
        <f>'MF-STEEL(KG)'!E104*O$1*H$1+(J$1+F$1)+'MACHINE RATE'!E40*O$1</f>
        <v>12291.25</v>
      </c>
      <c r="F105" s="28">
        <f>'MF-STEEL(KG)'!F104*O$1*H$1+(J$1+F$1)+'MACHINE RATE'!F40*O$1</f>
        <v>13153.699999999997</v>
      </c>
      <c r="G105" s="26">
        <f>'MF-STEEL(KG)'!G104*O$1*H$1+(J$1+F$1)+'MACHINE RATE'!G40*O$1</f>
        <v>8232.78125</v>
      </c>
      <c r="H105" s="27">
        <f>'MF-STEEL(KG)'!H104*O$1*H$1+(J$1+F$1)+'MACHINE RATE'!H40*O$1</f>
        <v>11264.849999999999</v>
      </c>
      <c r="I105" s="27">
        <f>'MF-STEEL(KG)'!I104*O$1*H$1+(J$1+F$1)+'MACHINE RATE'!I40*O$1</f>
        <v>12082.449999999997</v>
      </c>
      <c r="J105" s="27">
        <f>'MF-STEEL(KG)'!J104*O$1*H$1+(J$1+F$1)+'MACHINE RATE'!J40*O$1</f>
        <v>12900.05</v>
      </c>
      <c r="K105" s="28">
        <f>'MF-STEEL(KG)'!K104*O$1*H$1+(J$1+F$1)+'MACHINE RATE'!K40*O$1</f>
        <v>13807.349999999999</v>
      </c>
      <c r="L105" s="29">
        <f>'MF-STEEL(KG)'!L104*O$1*H$1+(J$1+F$1)+'MACHINE RATE'!L40*O$1</f>
        <v>8797.1875</v>
      </c>
      <c r="M105" s="27">
        <f>'MF-STEEL(KG)'!M104*O$1*H$1+(J$1+F$1)+'MACHINE RATE'!M40*O$1</f>
        <v>12047.9</v>
      </c>
      <c r="N105" s="27">
        <f>'MF-STEEL(KG)'!N104*O$1*H$1+(J$1+F$1)+'MACHINE RATE'!N40*O$1</f>
        <v>12865.5</v>
      </c>
      <c r="O105" s="27">
        <f>'MF-STEEL(KG)'!O104*O$1*H$1+(J$1+F$1)+'MACHINE RATE'!O40*O$1</f>
        <v>13817.65</v>
      </c>
      <c r="P105" s="30">
        <f>'MF-STEEL(KG)'!P104*O$1*H$1+(J$1+F$1)+'MACHINE RATE'!P40*O$1</f>
        <v>14724.949999999999</v>
      </c>
      <c r="Q105" s="26">
        <f>'MF-STEEL(KG)'!O$1*H$1+(J$1+F$1)+'MACHINE RATE'!Q40*O$1</f>
        <v>2550</v>
      </c>
      <c r="R105" s="27">
        <f>'MF-STEEL(KG)'!R104*O$1*H$1+(J$1+F$1)+'MACHINE RATE'!R40*O$1</f>
        <v>12696.4</v>
      </c>
      <c r="S105" s="27">
        <f>'MF-STEEL(KG)'!S104*O$1*H$1+(J$1+F$1)+'MACHINE RATE'!S40*O$1</f>
        <v>13514</v>
      </c>
      <c r="T105" s="27">
        <f>'MF-STEEL(KG)'!T104*O$1*H$1+(J$1+F$1)+'MACHINE RATE'!T40*O$1</f>
        <v>14376.45</v>
      </c>
      <c r="U105" s="28">
        <f>'MF-STEEL(KG)'!U104*O$1*H$1+(J$1+F$1)+'MACHINE RATE'!U40*O$1</f>
        <v>15328.599999999999</v>
      </c>
      <c r="X105" s="45">
        <f>B105*'Steel Calculations'!B4</f>
        <v>0</v>
      </c>
      <c r="Y105" s="45">
        <f>C105*'Steel Calculations'!C4</f>
        <v>0</v>
      </c>
      <c r="Z105" s="45">
        <f>D105*'Steel Calculations'!D4</f>
        <v>0</v>
      </c>
      <c r="AA105" s="45">
        <f>E105*'Steel Calculations'!E4</f>
        <v>0</v>
      </c>
      <c r="AB105" s="45">
        <f>F105*'Steel Calculations'!F4</f>
        <v>0</v>
      </c>
      <c r="AC105" s="45">
        <f>G105*'Steel Calculations'!G4</f>
        <v>0</v>
      </c>
      <c r="AD105" s="45">
        <f>H105*'Steel Calculations'!H4</f>
        <v>0</v>
      </c>
      <c r="AE105" s="45">
        <f>I105*'Steel Calculations'!I4</f>
        <v>0</v>
      </c>
      <c r="AF105" s="45">
        <f>J105*'Steel Calculations'!J4</f>
        <v>0</v>
      </c>
      <c r="AG105" s="45">
        <f>K105*'Steel Calculations'!K4</f>
        <v>0</v>
      </c>
      <c r="AH105" s="45">
        <f>L105*'Steel Calculations'!L4</f>
        <v>0</v>
      </c>
      <c r="AI105" s="45">
        <f>M105*'Steel Calculations'!M4</f>
        <v>0</v>
      </c>
      <c r="AJ105" s="45">
        <f>N105*'Steel Calculations'!N4</f>
        <v>0</v>
      </c>
      <c r="AK105" s="45">
        <f>O105*'Steel Calculations'!O4</f>
        <v>0</v>
      </c>
      <c r="AL105" s="45">
        <f>P105*'Steel Calculations'!P4</f>
        <v>0</v>
      </c>
      <c r="AM105" s="45">
        <f>Q105*'Steel Calculations'!Q4</f>
        <v>0</v>
      </c>
      <c r="AN105" s="45">
        <f>R105*'Steel Calculations'!R4</f>
        <v>0</v>
      </c>
      <c r="AO105" s="45">
        <f>S105*'Steel Calculations'!S4</f>
        <v>0</v>
      </c>
      <c r="AP105" s="45">
        <f>T105*'Steel Calculations'!T4</f>
        <v>0</v>
      </c>
      <c r="AQ105" s="45">
        <f>U105*'Steel Calculations'!U4</f>
        <v>0</v>
      </c>
      <c r="AX105" s="51"/>
      <c r="AY105" s="51"/>
      <c r="AZ105" s="51"/>
      <c r="BA105" s="52"/>
    </row>
    <row r="106" spans="1:53" ht="13.5" thickBot="1">
      <c r="A106" s="25" t="s">
        <v>205</v>
      </c>
      <c r="B106" s="26">
        <f>'MF-STEEL(KG)'!B105*O$1*H$1+(J$1+F$1)+'MACHINE RATE'!B41*O$1</f>
        <v>8391.125</v>
      </c>
      <c r="C106" s="27">
        <f>'MF-STEEL(KG)'!C105*O$1*H$1+(J$1+F$1)+'MACHINE RATE'!C41*O$1</f>
        <v>11608.199999999999</v>
      </c>
      <c r="D106" s="27">
        <f>'MF-STEEL(KG)'!D105*O$1*H$1+(J$1+F$1)+'MACHINE RATE'!D41*O$1</f>
        <v>12425.8</v>
      </c>
      <c r="E106" s="27">
        <f>'MF-STEEL(KG)'!E105*O$1*H$1+(J$1+F$1)+'MACHINE RATE'!E41*O$1</f>
        <v>13377.95</v>
      </c>
      <c r="F106" s="28">
        <f>'MF-STEEL(KG)'!F105*O$1*H$1+(J$1+F$1)+'MACHINE RATE'!F41*O$1</f>
        <v>14285.25</v>
      </c>
      <c r="G106" s="26">
        <f>'MF-STEEL(KG)'!G105*O$1*H$1+(J$1+F$1)+'MACHINE RATE'!G41*O$1</f>
        <v>8893.40625</v>
      </c>
      <c r="H106" s="27">
        <f>'MF-STEEL(KG)'!H105*O$1*H$1+(J$1+F$1)+'MACHINE RATE'!H41*O$1</f>
        <v>12261.85</v>
      </c>
      <c r="I106" s="27">
        <f>'MF-STEEL(KG)'!I105*O$1*H$1+(J$1+F$1)+'MACHINE RATE'!I41*O$1</f>
        <v>13079.449999999999</v>
      </c>
      <c r="J106" s="27">
        <f>'MF-STEEL(KG)'!J105*O$1*H$1+(J$1+F$1)+'MACHINE RATE'!J41*O$1</f>
        <v>14031.599999999999</v>
      </c>
      <c r="K106" s="28">
        <f>'MF-STEEL(KG)'!K105*O$1*H$1+(J$1+F$1)+'MACHINE RATE'!K41*O$1</f>
        <v>15028.599999999999</v>
      </c>
      <c r="L106" s="29">
        <f>'MF-STEEL(KG)'!L105*O$1*H$1+(J$1+F$1)+'MACHINE RATE'!L41*O$1</f>
        <v>9569.9375</v>
      </c>
      <c r="M106" s="27">
        <f>'MF-STEEL(KG)'!M105*O$1*H$1+(J$1+F$1)+'MACHINE RATE'!M41*O$1</f>
        <v>13224.299999999997</v>
      </c>
      <c r="N106" s="27">
        <f>'MF-STEEL(KG)'!N105*O$1*H$1+(J$1+F$1)+'MACHINE RATE'!N41*O$1</f>
        <v>14041.9</v>
      </c>
      <c r="O106" s="27">
        <f>'MF-STEEL(KG)'!O105*O$1*H$1+(J$1+F$1)+'MACHINE RATE'!O41*O$1</f>
        <v>15038.900000000001</v>
      </c>
      <c r="P106" s="30">
        <f>'MF-STEEL(KG)'!P105*O$1*H$1+(J$1+F$1)+'MACHINE RATE'!P41*O$1</f>
        <v>16035.900000000001</v>
      </c>
      <c r="Q106" s="26">
        <f>'MF-STEEL(KG)'!O$1*H$1+(J$1+F$1)+'MACHINE RATE'!Q41*O$1</f>
        <v>2650</v>
      </c>
      <c r="R106" s="27">
        <f>'MF-STEEL(KG)'!R105*O$1*H$1+(J$1+F$1)+'MACHINE RATE'!R41*O$1</f>
        <v>13827.949999999999</v>
      </c>
      <c r="S106" s="27">
        <f>'MF-STEEL(KG)'!S105*O$1*H$1+(J$1+F$1)+'MACHINE RATE'!S41*O$1</f>
        <v>14645.55</v>
      </c>
      <c r="T106" s="27">
        <f>'MF-STEEL(KG)'!T105*O$1*H$1+(J$1+F$1)+'MACHINE RATE'!T41*O$1</f>
        <v>15642.549999999997</v>
      </c>
      <c r="U106" s="28">
        <f>'MF-STEEL(KG)'!U105*O$1*H$1+(J$1+F$1)+'MACHINE RATE'!U41*O$1</f>
        <v>16729.25</v>
      </c>
      <c r="X106" s="45">
        <f>B106*'Steel Calculations'!B5</f>
        <v>0</v>
      </c>
      <c r="Y106" s="45">
        <f>C106*'Steel Calculations'!C5</f>
        <v>0</v>
      </c>
      <c r="Z106" s="45">
        <f>D106*'Steel Calculations'!D5</f>
        <v>0</v>
      </c>
      <c r="AA106" s="45">
        <f>E106*'Steel Calculations'!E5</f>
        <v>0</v>
      </c>
      <c r="AB106" s="45">
        <f>F106*'Steel Calculations'!F5</f>
        <v>0</v>
      </c>
      <c r="AC106" s="45">
        <f>G106*'Steel Calculations'!G5</f>
        <v>0</v>
      </c>
      <c r="AD106" s="45">
        <f>H106*'Steel Calculations'!H5</f>
        <v>0</v>
      </c>
      <c r="AE106" s="45">
        <f>I106*'Steel Calculations'!I5</f>
        <v>26158.899999999998</v>
      </c>
      <c r="AF106" s="45">
        <f>J106*'Steel Calculations'!J5</f>
        <v>14031.599999999999</v>
      </c>
      <c r="AG106" s="45">
        <f>K106*'Steel Calculations'!K5</f>
        <v>0</v>
      </c>
      <c r="AH106" s="45">
        <f>L106*'Steel Calculations'!L5</f>
        <v>0</v>
      </c>
      <c r="AI106" s="45">
        <f>M106*'Steel Calculations'!M5</f>
        <v>0</v>
      </c>
      <c r="AJ106" s="45">
        <f>N106*'Steel Calculations'!N5</f>
        <v>0</v>
      </c>
      <c r="AK106" s="45">
        <f>O106*'Steel Calculations'!O5</f>
        <v>0</v>
      </c>
      <c r="AL106" s="45">
        <f>P106*'Steel Calculations'!P5</f>
        <v>0</v>
      </c>
      <c r="AM106" s="45">
        <f>Q106*'Steel Calculations'!Q5</f>
        <v>0</v>
      </c>
      <c r="AN106" s="45">
        <f>R106*'Steel Calculations'!R5</f>
        <v>0</v>
      </c>
      <c r="AO106" s="45">
        <f>S106*'Steel Calculations'!S5</f>
        <v>0</v>
      </c>
      <c r="AP106" s="45">
        <f>T106*'Steel Calculations'!T5</f>
        <v>0</v>
      </c>
      <c r="AQ106" s="45">
        <f>U106*'Steel Calculations'!U5</f>
        <v>0</v>
      </c>
      <c r="AX106" s="51"/>
      <c r="AY106" s="51"/>
      <c r="AZ106" s="51"/>
      <c r="BA106" s="52"/>
    </row>
    <row r="107" spans="1:53" ht="13.5" thickBot="1">
      <c r="A107" s="25" t="s">
        <v>206</v>
      </c>
      <c r="B107" s="26">
        <f>'MF-STEEL(KG)'!B106*O$1*H$1+(J$1+F$1)+'MACHINE RATE'!B42*O$1</f>
        <v>8939.625</v>
      </c>
      <c r="C107" s="27">
        <f>'MF-STEEL(KG)'!C106*O$1*H$1+(J$1+F$1)+'MACHINE RATE'!C42*O$1</f>
        <v>12425.8</v>
      </c>
      <c r="D107" s="27">
        <f>'MF-STEEL(KG)'!D106*O$1*H$1+(J$1+F$1)+'MACHINE RATE'!D42*O$1</f>
        <v>13243.4</v>
      </c>
      <c r="E107" s="27">
        <f>'MF-STEEL(KG)'!E106*O$1*H$1+(J$1+F$1)+'MACHINE RATE'!E42*O$1</f>
        <v>14195.55</v>
      </c>
      <c r="F107" s="28">
        <f>'MF-STEEL(KG)'!F106*O$1*H$1+(J$1+F$1)+'MACHINE RATE'!F42*O$1</f>
        <v>15102.849999999999</v>
      </c>
      <c r="G107" s="26">
        <f>'MF-STEEL(KG)'!G106*O$1*H$1+(J$1+F$1)+'MACHINE RATE'!G42*O$1</f>
        <v>9441.90625</v>
      </c>
      <c r="H107" s="27">
        <f>'MF-STEEL(KG)'!H106*O$1*H$1+(J$1+F$1)+'MACHINE RATE'!H42*O$1</f>
        <v>13079.449999999999</v>
      </c>
      <c r="I107" s="27">
        <f>'MF-STEEL(KG)'!I106*O$1*H$1+(J$1+F$1)+'MACHINE RATE'!I42*O$1</f>
        <v>13897.05</v>
      </c>
      <c r="J107" s="27">
        <f>'MF-STEEL(KG)'!J106*O$1*H$1+(J$1+F$1)+'MACHINE RATE'!J42*O$1</f>
        <v>14849.199999999999</v>
      </c>
      <c r="K107" s="28">
        <f>'MF-STEEL(KG)'!K106*O$1*H$1+(J$1+F$1)+'MACHINE RATE'!K42*O$1</f>
        <v>15846.199999999999</v>
      </c>
      <c r="L107" s="29">
        <f>'MF-STEEL(KG)'!L106*O$1*H$1+(J$1+F$1)+'MACHINE RATE'!L42*O$1</f>
        <v>10118.4375</v>
      </c>
      <c r="M107" s="27">
        <f>'MF-STEEL(KG)'!M106*O$1*H$1+(J$1+F$1)+'MACHINE RATE'!M42*O$1</f>
        <v>14041.9</v>
      </c>
      <c r="N107" s="27">
        <f>'MF-STEEL(KG)'!N106*O$1*H$1+(J$1+F$1)+'MACHINE RATE'!N42*O$1</f>
        <v>14859.5</v>
      </c>
      <c r="O107" s="27">
        <f>'MF-STEEL(KG)'!O106*O$1*H$1+(J$1+F$1)+'MACHINE RATE'!O42*O$1</f>
        <v>15856.5</v>
      </c>
      <c r="P107" s="30">
        <f>'MF-STEEL(KG)'!P106*O$1*H$1+(J$1+F$1)+'MACHINE RATE'!P42*O$1</f>
        <v>16853.5</v>
      </c>
      <c r="Q107" s="26">
        <f>'MF-STEEL(KG)'!O$1*H$1+(J$1+F$1)+'MACHINE RATE'!Q42*O$1</f>
        <v>2750</v>
      </c>
      <c r="R107" s="27">
        <f>'MF-STEEL(KG)'!R106*O$1*H$1+(J$1+F$1)+'MACHINE RATE'!R42*O$1</f>
        <v>14645.55</v>
      </c>
      <c r="S107" s="27">
        <f>'MF-STEEL(KG)'!S106*O$1*H$1+(J$1+F$1)+'MACHINE RATE'!S42*O$1</f>
        <v>15463.15</v>
      </c>
      <c r="T107" s="27">
        <f>'MF-STEEL(KG)'!T106*O$1*H$1+(J$1+F$1)+'MACHINE RATE'!T42*O$1</f>
        <v>16460.150000000001</v>
      </c>
      <c r="U107" s="28">
        <f>'MF-STEEL(KG)'!U106*O$1*H$1+(J$1+F$1)+'MACHINE RATE'!U42*O$1</f>
        <v>17546.849999999999</v>
      </c>
      <c r="X107" s="45">
        <f>B107*'Steel Calculations'!B6</f>
        <v>0</v>
      </c>
      <c r="Y107" s="45">
        <f>C107*'Steel Calculations'!C6</f>
        <v>0</v>
      </c>
      <c r="Z107" s="45">
        <f>D107*'Steel Calculations'!D6</f>
        <v>0</v>
      </c>
      <c r="AA107" s="45">
        <f>E107*'Steel Calculations'!E6</f>
        <v>0</v>
      </c>
      <c r="AB107" s="45">
        <f>F107*'Steel Calculations'!F6</f>
        <v>0</v>
      </c>
      <c r="AC107" s="45">
        <f>G107*'Steel Calculations'!G6</f>
        <v>0</v>
      </c>
      <c r="AD107" s="45">
        <f>H107*'Steel Calculations'!H6</f>
        <v>0</v>
      </c>
      <c r="AE107" s="45">
        <f>I107*'Steel Calculations'!I6</f>
        <v>0</v>
      </c>
      <c r="AF107" s="45">
        <f>J107*'Steel Calculations'!J6</f>
        <v>0</v>
      </c>
      <c r="AG107" s="45">
        <f>K107*'Steel Calculations'!K6</f>
        <v>0</v>
      </c>
      <c r="AH107" s="45">
        <f>L107*'Steel Calculations'!L6</f>
        <v>0</v>
      </c>
      <c r="AI107" s="45">
        <f>M107*'Steel Calculations'!M6</f>
        <v>0</v>
      </c>
      <c r="AJ107" s="45">
        <f>N107*'Steel Calculations'!N6</f>
        <v>0</v>
      </c>
      <c r="AK107" s="45">
        <f>O107*'Steel Calculations'!O6</f>
        <v>0</v>
      </c>
      <c r="AL107" s="45">
        <f>P107*'Steel Calculations'!P6</f>
        <v>0</v>
      </c>
      <c r="AM107" s="45">
        <f>Q107*'Steel Calculations'!Q6</f>
        <v>0</v>
      </c>
      <c r="AN107" s="45">
        <f>R107*'Steel Calculations'!R6</f>
        <v>0</v>
      </c>
      <c r="AO107" s="45">
        <f>S107*'Steel Calculations'!S6</f>
        <v>0</v>
      </c>
      <c r="AP107" s="45">
        <f>T107*'Steel Calculations'!T6</f>
        <v>0</v>
      </c>
      <c r="AQ107" s="45">
        <f>U107*'Steel Calculations'!U6</f>
        <v>0</v>
      </c>
      <c r="AX107" s="51"/>
      <c r="AY107" s="51"/>
      <c r="AZ107" s="51"/>
      <c r="BA107" s="52"/>
    </row>
    <row r="108" spans="1:53" ht="13.5" thickBot="1">
      <c r="A108" s="25" t="s">
        <v>207</v>
      </c>
      <c r="B108" s="26">
        <f>'MF-STEEL(KG)'!B107*O$1*H$1+(J$1+F$1)+'MACHINE RATE'!B43*O$1</f>
        <v>9664.625</v>
      </c>
      <c r="C108" s="27">
        <f>'MF-STEEL(KG)'!C107*O$1*H$1+(J$1+F$1)+'MACHINE RATE'!C43*O$1</f>
        <v>13150.8</v>
      </c>
      <c r="D108" s="27">
        <f>'MF-STEEL(KG)'!D107*O$1*H$1+(J$1+F$1)+'MACHINE RATE'!D43*O$1</f>
        <v>13968.4</v>
      </c>
      <c r="E108" s="27">
        <f>'MF-STEEL(KG)'!E107*O$1*H$1+(J$1+F$1)+'MACHINE RATE'!E43*O$1</f>
        <v>14920.55</v>
      </c>
      <c r="F108" s="28">
        <f>'MF-STEEL(KG)'!F107*O$1*H$1+(J$1+F$1)+'MACHINE RATE'!F43*O$1</f>
        <v>15827.85</v>
      </c>
      <c r="G108" s="26">
        <f>'MF-STEEL(KG)'!G107*O$1*H$1+(J$1+F$1)+'MACHINE RATE'!G43*O$1</f>
        <v>10166.90625</v>
      </c>
      <c r="H108" s="27">
        <f>'MF-STEEL(KG)'!H107*O$1*H$1+(J$1+F$1)+'MACHINE RATE'!H43*O$1</f>
        <v>13804.449999999999</v>
      </c>
      <c r="I108" s="27">
        <f>'MF-STEEL(KG)'!I107*O$1*H$1+(J$1+F$1)+'MACHINE RATE'!I43*O$1</f>
        <v>14622.05</v>
      </c>
      <c r="J108" s="27">
        <f>'MF-STEEL(KG)'!J107*O$1*H$1+(J$1+F$1)+'MACHINE RATE'!J43*O$1</f>
        <v>15574.199999999999</v>
      </c>
      <c r="K108" s="28">
        <f>'MF-STEEL(KG)'!K107*O$1*H$1+(J$1+F$1)+'MACHINE RATE'!K43*O$1</f>
        <v>16571.199999999997</v>
      </c>
      <c r="L108" s="29">
        <f>'MF-STEEL(KG)'!L107*O$1*H$1+(J$1+F$1)+'MACHINE RATE'!L43*O$1</f>
        <v>10843.437499999998</v>
      </c>
      <c r="M108" s="27">
        <f>'MF-STEEL(KG)'!M107*O$1*H$1+(J$1+F$1)+'MACHINE RATE'!M43*O$1</f>
        <v>14766.9</v>
      </c>
      <c r="N108" s="27">
        <f>'MF-STEEL(KG)'!N107*O$1*H$1+(J$1+F$1)+'MACHINE RATE'!N43*O$1</f>
        <v>15584.5</v>
      </c>
      <c r="O108" s="27">
        <f>'MF-STEEL(KG)'!O107*O$1*H$1+(J$1+F$1)+'MACHINE RATE'!O43*O$1</f>
        <v>16581.5</v>
      </c>
      <c r="P108" s="30">
        <f>'MF-STEEL(KG)'!P107*O$1*H$1+(J$1+F$1)+'MACHINE RATE'!P43*O$1</f>
        <v>17578.5</v>
      </c>
      <c r="Q108" s="26">
        <f>'MF-STEEL(KG)'!O$1*H$1+(J$1+F$1)+'MACHINE RATE'!Q43*O$1</f>
        <v>2850</v>
      </c>
      <c r="R108" s="27">
        <f>'MF-STEEL(KG)'!R107*O$1*H$1+(J$1+F$1)+'MACHINE RATE'!R43*O$1</f>
        <v>15370.55</v>
      </c>
      <c r="S108" s="27">
        <f>'MF-STEEL(KG)'!S107*O$1*H$1+(J$1+F$1)+'MACHINE RATE'!S43*O$1</f>
        <v>16188.150000000001</v>
      </c>
      <c r="T108" s="27">
        <f>'MF-STEEL(KG)'!T107*O$1*H$1+(J$1+F$1)+'MACHINE RATE'!T43*O$1</f>
        <v>17185.150000000001</v>
      </c>
      <c r="U108" s="28">
        <f>'MF-STEEL(KG)'!U107*O$1*H$1+(J$1+F$1)+'MACHINE RATE'!U43*O$1</f>
        <v>18271.849999999999</v>
      </c>
      <c r="X108" s="45">
        <f>B107*'Steel Calculations'!B7</f>
        <v>0</v>
      </c>
      <c r="Y108" s="45">
        <f>C107*'Steel Calculations'!C7</f>
        <v>0</v>
      </c>
      <c r="Z108" s="45">
        <f>D107*'Steel Calculations'!D7</f>
        <v>0</v>
      </c>
      <c r="AA108" s="45">
        <f>E107*'Steel Calculations'!E7</f>
        <v>0</v>
      </c>
      <c r="AB108" s="45">
        <f>F107*'Steel Calculations'!F7</f>
        <v>0</v>
      </c>
      <c r="AC108" s="45">
        <f>G107*'Steel Calculations'!G7</f>
        <v>0</v>
      </c>
      <c r="AD108" s="45">
        <f>H107*'Steel Calculations'!H7</f>
        <v>0</v>
      </c>
      <c r="AE108" s="45">
        <f>I107*'Steel Calculations'!I7</f>
        <v>0</v>
      </c>
      <c r="AF108" s="45">
        <f>J107*'Steel Calculations'!J7</f>
        <v>0</v>
      </c>
      <c r="AG108" s="45">
        <f>K107*'Steel Calculations'!K7</f>
        <v>0</v>
      </c>
      <c r="AH108" s="45">
        <f>L107*'Steel Calculations'!L7</f>
        <v>0</v>
      </c>
      <c r="AI108" s="45">
        <f>M107*'Steel Calculations'!M7</f>
        <v>0</v>
      </c>
      <c r="AJ108" s="45">
        <f>N107*'Steel Calculations'!N7</f>
        <v>0</v>
      </c>
      <c r="AK108" s="45">
        <f>O107*'Steel Calculations'!O7</f>
        <v>0</v>
      </c>
      <c r="AL108" s="45">
        <f>P107*'Steel Calculations'!P7</f>
        <v>0</v>
      </c>
      <c r="AM108" s="45">
        <f>Q107*'Steel Calculations'!Q7</f>
        <v>0</v>
      </c>
      <c r="AN108" s="45">
        <f>R107*'Steel Calculations'!R7</f>
        <v>0</v>
      </c>
      <c r="AO108" s="45">
        <f>S107*'Steel Calculations'!S7</f>
        <v>0</v>
      </c>
      <c r="AP108" s="45">
        <f>T107*'Steel Calculations'!T7</f>
        <v>0</v>
      </c>
      <c r="AQ108" s="45">
        <f>U107*'Steel Calculations'!U7</f>
        <v>0</v>
      </c>
      <c r="AX108" s="51"/>
      <c r="AY108" s="51"/>
      <c r="AZ108" s="51"/>
      <c r="BA108" s="52"/>
    </row>
    <row r="109" spans="1:53" ht="14.25" customHeight="1">
      <c r="AR109" s="45">
        <f>SUM(X104:AQ108)-M$1*(25*H$1+'MACHINE RATE'!V43)</f>
        <v>36675.5</v>
      </c>
      <c r="AX109" s="51"/>
      <c r="AY109" s="51"/>
      <c r="AZ109" s="51"/>
      <c r="BA109" s="52"/>
    </row>
    <row r="110" spans="1:53">
      <c r="AX110" s="51"/>
      <c r="AY110" s="51"/>
      <c r="AZ110" s="51"/>
      <c r="BA110" s="52"/>
    </row>
    <row r="111" spans="1:53">
      <c r="AX111" s="51"/>
      <c r="AY111" s="51"/>
      <c r="AZ111" s="51"/>
      <c r="BA111" s="52"/>
    </row>
  </sheetData>
  <mergeCells count="70">
    <mergeCell ref="AS1:AY1"/>
    <mergeCell ref="A2:U2"/>
    <mergeCell ref="Y2:AQ2"/>
    <mergeCell ref="AS2:AV2"/>
    <mergeCell ref="AW2:AY2"/>
    <mergeCell ref="AH3:AL3"/>
    <mergeCell ref="AM3:AQ3"/>
    <mergeCell ref="AS3:AV3"/>
    <mergeCell ref="AW3:AY3"/>
    <mergeCell ref="A11:U11"/>
    <mergeCell ref="B3:F3"/>
    <mergeCell ref="G3:K3"/>
    <mergeCell ref="L3:P3"/>
    <mergeCell ref="Q3:U3"/>
    <mergeCell ref="X3:AB3"/>
    <mergeCell ref="B21:F21"/>
    <mergeCell ref="G21:K21"/>
    <mergeCell ref="L21:P21"/>
    <mergeCell ref="Q21:U21"/>
    <mergeCell ref="AC3:AG3"/>
    <mergeCell ref="B12:F12"/>
    <mergeCell ref="G12:K12"/>
    <mergeCell ref="L12:P12"/>
    <mergeCell ref="Q12:U12"/>
    <mergeCell ref="A20:U20"/>
    <mergeCell ref="B48:F48"/>
    <mergeCell ref="G48:K48"/>
    <mergeCell ref="L48:P48"/>
    <mergeCell ref="Q48:U48"/>
    <mergeCell ref="A29:U29"/>
    <mergeCell ref="B30:F30"/>
    <mergeCell ref="G30:K30"/>
    <mergeCell ref="L30:P30"/>
    <mergeCell ref="Q30:U30"/>
    <mergeCell ref="A38:U38"/>
    <mergeCell ref="B39:F39"/>
    <mergeCell ref="G39:K39"/>
    <mergeCell ref="L39:P39"/>
    <mergeCell ref="Q39:U39"/>
    <mergeCell ref="A47:U47"/>
    <mergeCell ref="B75:F75"/>
    <mergeCell ref="G75:K75"/>
    <mergeCell ref="L75:P75"/>
    <mergeCell ref="Q75:U75"/>
    <mergeCell ref="A56:U56"/>
    <mergeCell ref="B57:F57"/>
    <mergeCell ref="G57:K57"/>
    <mergeCell ref="L57:P57"/>
    <mergeCell ref="Q57:U57"/>
    <mergeCell ref="A65:U65"/>
    <mergeCell ref="B66:F66"/>
    <mergeCell ref="G66:K66"/>
    <mergeCell ref="L66:P66"/>
    <mergeCell ref="Q66:U66"/>
    <mergeCell ref="A74:U74"/>
    <mergeCell ref="B102:F102"/>
    <mergeCell ref="G102:K102"/>
    <mergeCell ref="L102:P102"/>
    <mergeCell ref="Q102:U102"/>
    <mergeCell ref="A83:U83"/>
    <mergeCell ref="B84:F84"/>
    <mergeCell ref="G84:K84"/>
    <mergeCell ref="L84:P84"/>
    <mergeCell ref="Q84:U84"/>
    <mergeCell ref="A92:U92"/>
    <mergeCell ref="B93:F93"/>
    <mergeCell ref="G93:K93"/>
    <mergeCell ref="L93:P93"/>
    <mergeCell ref="Q93:U93"/>
    <mergeCell ref="A101:U101"/>
  </mergeCells>
  <pageMargins left="0.7" right="0.7" top="0.75" bottom="0.75" header="0.3" footer="0.3"/>
  <pageSetup scale="40" orientation="portrait" r:id="rId1"/>
  <rowBreaks count="3" manualBreakCount="3">
    <brk id="28" max="16383" man="1"/>
    <brk id="64" max="16383" man="1"/>
    <brk id="100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8"/>
  <sheetViews>
    <sheetView zoomScale="70" zoomScaleNormal="70" workbookViewId="0">
      <selection activeCell="A15" sqref="A15"/>
    </sheetView>
  </sheetViews>
  <sheetFormatPr defaultRowHeight="12.75"/>
  <cols>
    <col min="1" max="1" width="14.140625" style="197" customWidth="1"/>
    <col min="2" max="2" width="8.7109375" style="197" bestFit="1" customWidth="1"/>
    <col min="3" max="3" width="10.85546875" style="197" bestFit="1" customWidth="1"/>
    <col min="4" max="4" width="10.5703125" style="197" customWidth="1"/>
    <col min="5" max="5" width="11.28515625" style="197" customWidth="1"/>
    <col min="6" max="6" width="10" style="197" bestFit="1" customWidth="1"/>
    <col min="7" max="7" width="10.42578125" style="197" customWidth="1"/>
    <col min="8" max="8" width="10.140625" style="197" customWidth="1"/>
    <col min="9" max="9" width="8.7109375" style="197" bestFit="1" customWidth="1"/>
    <col min="10" max="11" width="10" style="197" bestFit="1" customWidth="1"/>
    <col min="12" max="14" width="8.7109375" style="197" bestFit="1" customWidth="1"/>
    <col min="15" max="16" width="10" style="197" bestFit="1" customWidth="1"/>
    <col min="17" max="19" width="8.7109375" style="197" bestFit="1" customWidth="1"/>
    <col min="20" max="21" width="10" style="197" bestFit="1" customWidth="1"/>
    <col min="22" max="22" width="9.85546875" style="197" customWidth="1"/>
    <col min="23" max="23" width="9.5703125" style="197" customWidth="1"/>
    <col min="24" max="24" width="32.28515625" style="197" bestFit="1" customWidth="1"/>
    <col min="25" max="25" width="2.5703125" style="197" bestFit="1" customWidth="1"/>
    <col min="26" max="26" width="32.28515625" style="197" bestFit="1" customWidth="1"/>
    <col min="27" max="27" width="26" style="197" bestFit="1" customWidth="1"/>
    <col min="28" max="28" width="22.85546875" style="197" customWidth="1"/>
    <col min="29" max="32" width="9.140625" style="197"/>
    <col min="33" max="33" width="31.42578125" style="197" bestFit="1" customWidth="1"/>
    <col min="34" max="34" width="14.5703125" style="197" customWidth="1"/>
    <col min="35" max="255" width="9.140625" style="197"/>
    <col min="256" max="256" width="14.140625" style="197" customWidth="1"/>
    <col min="257" max="257" width="8.7109375" style="197" bestFit="1" customWidth="1"/>
    <col min="258" max="258" width="10.85546875" style="197" bestFit="1" customWidth="1"/>
    <col min="259" max="259" width="10.5703125" style="197" customWidth="1"/>
    <col min="260" max="260" width="11.28515625" style="197" customWidth="1"/>
    <col min="261" max="261" width="10" style="197" bestFit="1" customWidth="1"/>
    <col min="262" max="262" width="10.42578125" style="197" customWidth="1"/>
    <col min="263" max="263" width="10.140625" style="197" customWidth="1"/>
    <col min="264" max="264" width="8.7109375" style="197" bestFit="1" customWidth="1"/>
    <col min="265" max="266" width="10" style="197" bestFit="1" customWidth="1"/>
    <col min="267" max="269" width="8.7109375" style="197" bestFit="1" customWidth="1"/>
    <col min="270" max="271" width="10" style="197" bestFit="1" customWidth="1"/>
    <col min="272" max="274" width="8.7109375" style="197" bestFit="1" customWidth="1"/>
    <col min="275" max="276" width="10" style="197" bestFit="1" customWidth="1"/>
    <col min="277" max="277" width="9.85546875" style="197" customWidth="1"/>
    <col min="278" max="278" width="9.5703125" style="197" customWidth="1"/>
    <col min="279" max="279" width="32.28515625" style="197" bestFit="1" customWidth="1"/>
    <col min="280" max="280" width="2.5703125" style="197" bestFit="1" customWidth="1"/>
    <col min="281" max="281" width="32.28515625" style="197" bestFit="1" customWidth="1"/>
    <col min="282" max="282" width="26" style="197" bestFit="1" customWidth="1"/>
    <col min="283" max="288" width="9.140625" style="197"/>
    <col min="289" max="289" width="31.42578125" style="197" bestFit="1" customWidth="1"/>
    <col min="290" max="290" width="10.85546875" style="197" bestFit="1" customWidth="1"/>
    <col min="291" max="511" width="9.140625" style="197"/>
    <col min="512" max="512" width="14.140625" style="197" customWidth="1"/>
    <col min="513" max="513" width="8.7109375" style="197" bestFit="1" customWidth="1"/>
    <col min="514" max="514" width="10.85546875" style="197" bestFit="1" customWidth="1"/>
    <col min="515" max="515" width="10.5703125" style="197" customWidth="1"/>
    <col min="516" max="516" width="11.28515625" style="197" customWidth="1"/>
    <col min="517" max="517" width="10" style="197" bestFit="1" customWidth="1"/>
    <col min="518" max="518" width="10.42578125" style="197" customWidth="1"/>
    <col min="519" max="519" width="10.140625" style="197" customWidth="1"/>
    <col min="520" max="520" width="8.7109375" style="197" bestFit="1" customWidth="1"/>
    <col min="521" max="522" width="10" style="197" bestFit="1" customWidth="1"/>
    <col min="523" max="525" width="8.7109375" style="197" bestFit="1" customWidth="1"/>
    <col min="526" max="527" width="10" style="197" bestFit="1" customWidth="1"/>
    <col min="528" max="530" width="8.7109375" style="197" bestFit="1" customWidth="1"/>
    <col min="531" max="532" width="10" style="197" bestFit="1" customWidth="1"/>
    <col min="533" max="533" width="9.85546875" style="197" customWidth="1"/>
    <col min="534" max="534" width="9.5703125" style="197" customWidth="1"/>
    <col min="535" max="535" width="32.28515625" style="197" bestFit="1" customWidth="1"/>
    <col min="536" max="536" width="2.5703125" style="197" bestFit="1" customWidth="1"/>
    <col min="537" max="537" width="32.28515625" style="197" bestFit="1" customWidth="1"/>
    <col min="538" max="538" width="26" style="197" bestFit="1" customWidth="1"/>
    <col min="539" max="544" width="9.140625" style="197"/>
    <col min="545" max="545" width="31.42578125" style="197" bestFit="1" customWidth="1"/>
    <col min="546" max="546" width="10.85546875" style="197" bestFit="1" customWidth="1"/>
    <col min="547" max="767" width="9.140625" style="197"/>
    <col min="768" max="768" width="14.140625" style="197" customWidth="1"/>
    <col min="769" max="769" width="8.7109375" style="197" bestFit="1" customWidth="1"/>
    <col min="770" max="770" width="10.85546875" style="197" bestFit="1" customWidth="1"/>
    <col min="771" max="771" width="10.5703125" style="197" customWidth="1"/>
    <col min="772" max="772" width="11.28515625" style="197" customWidth="1"/>
    <col min="773" max="773" width="10" style="197" bestFit="1" customWidth="1"/>
    <col min="774" max="774" width="10.42578125" style="197" customWidth="1"/>
    <col min="775" max="775" width="10.140625" style="197" customWidth="1"/>
    <col min="776" max="776" width="8.7109375" style="197" bestFit="1" customWidth="1"/>
    <col min="777" max="778" width="10" style="197" bestFit="1" customWidth="1"/>
    <col min="779" max="781" width="8.7109375" style="197" bestFit="1" customWidth="1"/>
    <col min="782" max="783" width="10" style="197" bestFit="1" customWidth="1"/>
    <col min="784" max="786" width="8.7109375" style="197" bestFit="1" customWidth="1"/>
    <col min="787" max="788" width="10" style="197" bestFit="1" customWidth="1"/>
    <col min="789" max="789" width="9.85546875" style="197" customWidth="1"/>
    <col min="790" max="790" width="9.5703125" style="197" customWidth="1"/>
    <col min="791" max="791" width="32.28515625" style="197" bestFit="1" customWidth="1"/>
    <col min="792" max="792" width="2.5703125" style="197" bestFit="1" customWidth="1"/>
    <col min="793" max="793" width="32.28515625" style="197" bestFit="1" customWidth="1"/>
    <col min="794" max="794" width="26" style="197" bestFit="1" customWidth="1"/>
    <col min="795" max="800" width="9.140625" style="197"/>
    <col min="801" max="801" width="31.42578125" style="197" bestFit="1" customWidth="1"/>
    <col min="802" max="802" width="10.85546875" style="197" bestFit="1" customWidth="1"/>
    <col min="803" max="1023" width="9.140625" style="197"/>
    <col min="1024" max="1024" width="14.140625" style="197" customWidth="1"/>
    <col min="1025" max="1025" width="8.7109375" style="197" bestFit="1" customWidth="1"/>
    <col min="1026" max="1026" width="10.85546875" style="197" bestFit="1" customWidth="1"/>
    <col min="1027" max="1027" width="10.5703125" style="197" customWidth="1"/>
    <col min="1028" max="1028" width="11.28515625" style="197" customWidth="1"/>
    <col min="1029" max="1029" width="10" style="197" bestFit="1" customWidth="1"/>
    <col min="1030" max="1030" width="10.42578125" style="197" customWidth="1"/>
    <col min="1031" max="1031" width="10.140625" style="197" customWidth="1"/>
    <col min="1032" max="1032" width="8.7109375" style="197" bestFit="1" customWidth="1"/>
    <col min="1033" max="1034" width="10" style="197" bestFit="1" customWidth="1"/>
    <col min="1035" max="1037" width="8.7109375" style="197" bestFit="1" customWidth="1"/>
    <col min="1038" max="1039" width="10" style="197" bestFit="1" customWidth="1"/>
    <col min="1040" max="1042" width="8.7109375" style="197" bestFit="1" customWidth="1"/>
    <col min="1043" max="1044" width="10" style="197" bestFit="1" customWidth="1"/>
    <col min="1045" max="1045" width="9.85546875" style="197" customWidth="1"/>
    <col min="1046" max="1046" width="9.5703125" style="197" customWidth="1"/>
    <col min="1047" max="1047" width="32.28515625" style="197" bestFit="1" customWidth="1"/>
    <col min="1048" max="1048" width="2.5703125" style="197" bestFit="1" customWidth="1"/>
    <col min="1049" max="1049" width="32.28515625" style="197" bestFit="1" customWidth="1"/>
    <col min="1050" max="1050" width="26" style="197" bestFit="1" customWidth="1"/>
    <col min="1051" max="1056" width="9.140625" style="197"/>
    <col min="1057" max="1057" width="31.42578125" style="197" bestFit="1" customWidth="1"/>
    <col min="1058" max="1058" width="10.85546875" style="197" bestFit="1" customWidth="1"/>
    <col min="1059" max="1279" width="9.140625" style="197"/>
    <col min="1280" max="1280" width="14.140625" style="197" customWidth="1"/>
    <col min="1281" max="1281" width="8.7109375" style="197" bestFit="1" customWidth="1"/>
    <col min="1282" max="1282" width="10.85546875" style="197" bestFit="1" customWidth="1"/>
    <col min="1283" max="1283" width="10.5703125" style="197" customWidth="1"/>
    <col min="1284" max="1284" width="11.28515625" style="197" customWidth="1"/>
    <col min="1285" max="1285" width="10" style="197" bestFit="1" customWidth="1"/>
    <col min="1286" max="1286" width="10.42578125" style="197" customWidth="1"/>
    <col min="1287" max="1287" width="10.140625" style="197" customWidth="1"/>
    <col min="1288" max="1288" width="8.7109375" style="197" bestFit="1" customWidth="1"/>
    <col min="1289" max="1290" width="10" style="197" bestFit="1" customWidth="1"/>
    <col min="1291" max="1293" width="8.7109375" style="197" bestFit="1" customWidth="1"/>
    <col min="1294" max="1295" width="10" style="197" bestFit="1" customWidth="1"/>
    <col min="1296" max="1298" width="8.7109375" style="197" bestFit="1" customWidth="1"/>
    <col min="1299" max="1300" width="10" style="197" bestFit="1" customWidth="1"/>
    <col min="1301" max="1301" width="9.85546875" style="197" customWidth="1"/>
    <col min="1302" max="1302" width="9.5703125" style="197" customWidth="1"/>
    <col min="1303" max="1303" width="32.28515625" style="197" bestFit="1" customWidth="1"/>
    <col min="1304" max="1304" width="2.5703125" style="197" bestFit="1" customWidth="1"/>
    <col min="1305" max="1305" width="32.28515625" style="197" bestFit="1" customWidth="1"/>
    <col min="1306" max="1306" width="26" style="197" bestFit="1" customWidth="1"/>
    <col min="1307" max="1312" width="9.140625" style="197"/>
    <col min="1313" max="1313" width="31.42578125" style="197" bestFit="1" customWidth="1"/>
    <col min="1314" max="1314" width="10.85546875" style="197" bestFit="1" customWidth="1"/>
    <col min="1315" max="1535" width="9.140625" style="197"/>
    <col min="1536" max="1536" width="14.140625" style="197" customWidth="1"/>
    <col min="1537" max="1537" width="8.7109375" style="197" bestFit="1" customWidth="1"/>
    <col min="1538" max="1538" width="10.85546875" style="197" bestFit="1" customWidth="1"/>
    <col min="1539" max="1539" width="10.5703125" style="197" customWidth="1"/>
    <col min="1540" max="1540" width="11.28515625" style="197" customWidth="1"/>
    <col min="1541" max="1541" width="10" style="197" bestFit="1" customWidth="1"/>
    <col min="1542" max="1542" width="10.42578125" style="197" customWidth="1"/>
    <col min="1543" max="1543" width="10.140625" style="197" customWidth="1"/>
    <col min="1544" max="1544" width="8.7109375" style="197" bestFit="1" customWidth="1"/>
    <col min="1545" max="1546" width="10" style="197" bestFit="1" customWidth="1"/>
    <col min="1547" max="1549" width="8.7109375" style="197" bestFit="1" customWidth="1"/>
    <col min="1550" max="1551" width="10" style="197" bestFit="1" customWidth="1"/>
    <col min="1552" max="1554" width="8.7109375" style="197" bestFit="1" customWidth="1"/>
    <col min="1555" max="1556" width="10" style="197" bestFit="1" customWidth="1"/>
    <col min="1557" max="1557" width="9.85546875" style="197" customWidth="1"/>
    <col min="1558" max="1558" width="9.5703125" style="197" customWidth="1"/>
    <col min="1559" max="1559" width="32.28515625" style="197" bestFit="1" customWidth="1"/>
    <col min="1560" max="1560" width="2.5703125" style="197" bestFit="1" customWidth="1"/>
    <col min="1561" max="1561" width="32.28515625" style="197" bestFit="1" customWidth="1"/>
    <col min="1562" max="1562" width="26" style="197" bestFit="1" customWidth="1"/>
    <col min="1563" max="1568" width="9.140625" style="197"/>
    <col min="1569" max="1569" width="31.42578125" style="197" bestFit="1" customWidth="1"/>
    <col min="1570" max="1570" width="10.85546875" style="197" bestFit="1" customWidth="1"/>
    <col min="1571" max="1791" width="9.140625" style="197"/>
    <col min="1792" max="1792" width="14.140625" style="197" customWidth="1"/>
    <col min="1793" max="1793" width="8.7109375" style="197" bestFit="1" customWidth="1"/>
    <col min="1794" max="1794" width="10.85546875" style="197" bestFit="1" customWidth="1"/>
    <col min="1795" max="1795" width="10.5703125" style="197" customWidth="1"/>
    <col min="1796" max="1796" width="11.28515625" style="197" customWidth="1"/>
    <col min="1797" max="1797" width="10" style="197" bestFit="1" customWidth="1"/>
    <col min="1798" max="1798" width="10.42578125" style="197" customWidth="1"/>
    <col min="1799" max="1799" width="10.140625" style="197" customWidth="1"/>
    <col min="1800" max="1800" width="8.7109375" style="197" bestFit="1" customWidth="1"/>
    <col min="1801" max="1802" width="10" style="197" bestFit="1" customWidth="1"/>
    <col min="1803" max="1805" width="8.7109375" style="197" bestFit="1" customWidth="1"/>
    <col min="1806" max="1807" width="10" style="197" bestFit="1" customWidth="1"/>
    <col min="1808" max="1810" width="8.7109375" style="197" bestFit="1" customWidth="1"/>
    <col min="1811" max="1812" width="10" style="197" bestFit="1" customWidth="1"/>
    <col min="1813" max="1813" width="9.85546875" style="197" customWidth="1"/>
    <col min="1814" max="1814" width="9.5703125" style="197" customWidth="1"/>
    <col min="1815" max="1815" width="32.28515625" style="197" bestFit="1" customWidth="1"/>
    <col min="1816" max="1816" width="2.5703125" style="197" bestFit="1" customWidth="1"/>
    <col min="1817" max="1817" width="32.28515625" style="197" bestFit="1" customWidth="1"/>
    <col min="1818" max="1818" width="26" style="197" bestFit="1" customWidth="1"/>
    <col min="1819" max="1824" width="9.140625" style="197"/>
    <col min="1825" max="1825" width="31.42578125" style="197" bestFit="1" customWidth="1"/>
    <col min="1826" max="1826" width="10.85546875" style="197" bestFit="1" customWidth="1"/>
    <col min="1827" max="2047" width="9.140625" style="197"/>
    <col min="2048" max="2048" width="14.140625" style="197" customWidth="1"/>
    <col min="2049" max="2049" width="8.7109375" style="197" bestFit="1" customWidth="1"/>
    <col min="2050" max="2050" width="10.85546875" style="197" bestFit="1" customWidth="1"/>
    <col min="2051" max="2051" width="10.5703125" style="197" customWidth="1"/>
    <col min="2052" max="2052" width="11.28515625" style="197" customWidth="1"/>
    <col min="2053" max="2053" width="10" style="197" bestFit="1" customWidth="1"/>
    <col min="2054" max="2054" width="10.42578125" style="197" customWidth="1"/>
    <col min="2055" max="2055" width="10.140625" style="197" customWidth="1"/>
    <col min="2056" max="2056" width="8.7109375" style="197" bestFit="1" customWidth="1"/>
    <col min="2057" max="2058" width="10" style="197" bestFit="1" customWidth="1"/>
    <col min="2059" max="2061" width="8.7109375" style="197" bestFit="1" customWidth="1"/>
    <col min="2062" max="2063" width="10" style="197" bestFit="1" customWidth="1"/>
    <col min="2064" max="2066" width="8.7109375" style="197" bestFit="1" customWidth="1"/>
    <col min="2067" max="2068" width="10" style="197" bestFit="1" customWidth="1"/>
    <col min="2069" max="2069" width="9.85546875" style="197" customWidth="1"/>
    <col min="2070" max="2070" width="9.5703125" style="197" customWidth="1"/>
    <col min="2071" max="2071" width="32.28515625" style="197" bestFit="1" customWidth="1"/>
    <col min="2072" max="2072" width="2.5703125" style="197" bestFit="1" customWidth="1"/>
    <col min="2073" max="2073" width="32.28515625" style="197" bestFit="1" customWidth="1"/>
    <col min="2074" max="2074" width="26" style="197" bestFit="1" customWidth="1"/>
    <col min="2075" max="2080" width="9.140625" style="197"/>
    <col min="2081" max="2081" width="31.42578125" style="197" bestFit="1" customWidth="1"/>
    <col min="2082" max="2082" width="10.85546875" style="197" bestFit="1" customWidth="1"/>
    <col min="2083" max="2303" width="9.140625" style="197"/>
    <col min="2304" max="2304" width="14.140625" style="197" customWidth="1"/>
    <col min="2305" max="2305" width="8.7109375" style="197" bestFit="1" customWidth="1"/>
    <col min="2306" max="2306" width="10.85546875" style="197" bestFit="1" customWidth="1"/>
    <col min="2307" max="2307" width="10.5703125" style="197" customWidth="1"/>
    <col min="2308" max="2308" width="11.28515625" style="197" customWidth="1"/>
    <col min="2309" max="2309" width="10" style="197" bestFit="1" customWidth="1"/>
    <col min="2310" max="2310" width="10.42578125" style="197" customWidth="1"/>
    <col min="2311" max="2311" width="10.140625" style="197" customWidth="1"/>
    <col min="2312" max="2312" width="8.7109375" style="197" bestFit="1" customWidth="1"/>
    <col min="2313" max="2314" width="10" style="197" bestFit="1" customWidth="1"/>
    <col min="2315" max="2317" width="8.7109375" style="197" bestFit="1" customWidth="1"/>
    <col min="2318" max="2319" width="10" style="197" bestFit="1" customWidth="1"/>
    <col min="2320" max="2322" width="8.7109375" style="197" bestFit="1" customWidth="1"/>
    <col min="2323" max="2324" width="10" style="197" bestFit="1" customWidth="1"/>
    <col min="2325" max="2325" width="9.85546875" style="197" customWidth="1"/>
    <col min="2326" max="2326" width="9.5703125" style="197" customWidth="1"/>
    <col min="2327" max="2327" width="32.28515625" style="197" bestFit="1" customWidth="1"/>
    <col min="2328" max="2328" width="2.5703125" style="197" bestFit="1" customWidth="1"/>
    <col min="2329" max="2329" width="32.28515625" style="197" bestFit="1" customWidth="1"/>
    <col min="2330" max="2330" width="26" style="197" bestFit="1" customWidth="1"/>
    <col min="2331" max="2336" width="9.140625" style="197"/>
    <col min="2337" max="2337" width="31.42578125" style="197" bestFit="1" customWidth="1"/>
    <col min="2338" max="2338" width="10.85546875" style="197" bestFit="1" customWidth="1"/>
    <col min="2339" max="2559" width="9.140625" style="197"/>
    <col min="2560" max="2560" width="14.140625" style="197" customWidth="1"/>
    <col min="2561" max="2561" width="8.7109375" style="197" bestFit="1" customWidth="1"/>
    <col min="2562" max="2562" width="10.85546875" style="197" bestFit="1" customWidth="1"/>
    <col min="2563" max="2563" width="10.5703125" style="197" customWidth="1"/>
    <col min="2564" max="2564" width="11.28515625" style="197" customWidth="1"/>
    <col min="2565" max="2565" width="10" style="197" bestFit="1" customWidth="1"/>
    <col min="2566" max="2566" width="10.42578125" style="197" customWidth="1"/>
    <col min="2567" max="2567" width="10.140625" style="197" customWidth="1"/>
    <col min="2568" max="2568" width="8.7109375" style="197" bestFit="1" customWidth="1"/>
    <col min="2569" max="2570" width="10" style="197" bestFit="1" customWidth="1"/>
    <col min="2571" max="2573" width="8.7109375" style="197" bestFit="1" customWidth="1"/>
    <col min="2574" max="2575" width="10" style="197" bestFit="1" customWidth="1"/>
    <col min="2576" max="2578" width="8.7109375" style="197" bestFit="1" customWidth="1"/>
    <col min="2579" max="2580" width="10" style="197" bestFit="1" customWidth="1"/>
    <col min="2581" max="2581" width="9.85546875" style="197" customWidth="1"/>
    <col min="2582" max="2582" width="9.5703125" style="197" customWidth="1"/>
    <col min="2583" max="2583" width="32.28515625" style="197" bestFit="1" customWidth="1"/>
    <col min="2584" max="2584" width="2.5703125" style="197" bestFit="1" customWidth="1"/>
    <col min="2585" max="2585" width="32.28515625" style="197" bestFit="1" customWidth="1"/>
    <col min="2586" max="2586" width="26" style="197" bestFit="1" customWidth="1"/>
    <col min="2587" max="2592" width="9.140625" style="197"/>
    <col min="2593" max="2593" width="31.42578125" style="197" bestFit="1" customWidth="1"/>
    <col min="2594" max="2594" width="10.85546875" style="197" bestFit="1" customWidth="1"/>
    <col min="2595" max="2815" width="9.140625" style="197"/>
    <col min="2816" max="2816" width="14.140625" style="197" customWidth="1"/>
    <col min="2817" max="2817" width="8.7109375" style="197" bestFit="1" customWidth="1"/>
    <col min="2818" max="2818" width="10.85546875" style="197" bestFit="1" customWidth="1"/>
    <col min="2819" max="2819" width="10.5703125" style="197" customWidth="1"/>
    <col min="2820" max="2820" width="11.28515625" style="197" customWidth="1"/>
    <col min="2821" max="2821" width="10" style="197" bestFit="1" customWidth="1"/>
    <col min="2822" max="2822" width="10.42578125" style="197" customWidth="1"/>
    <col min="2823" max="2823" width="10.140625" style="197" customWidth="1"/>
    <col min="2824" max="2824" width="8.7109375" style="197" bestFit="1" customWidth="1"/>
    <col min="2825" max="2826" width="10" style="197" bestFit="1" customWidth="1"/>
    <col min="2827" max="2829" width="8.7109375" style="197" bestFit="1" customWidth="1"/>
    <col min="2830" max="2831" width="10" style="197" bestFit="1" customWidth="1"/>
    <col min="2832" max="2834" width="8.7109375" style="197" bestFit="1" customWidth="1"/>
    <col min="2835" max="2836" width="10" style="197" bestFit="1" customWidth="1"/>
    <col min="2837" max="2837" width="9.85546875" style="197" customWidth="1"/>
    <col min="2838" max="2838" width="9.5703125" style="197" customWidth="1"/>
    <col min="2839" max="2839" width="32.28515625" style="197" bestFit="1" customWidth="1"/>
    <col min="2840" max="2840" width="2.5703125" style="197" bestFit="1" customWidth="1"/>
    <col min="2841" max="2841" width="32.28515625" style="197" bestFit="1" customWidth="1"/>
    <col min="2842" max="2842" width="26" style="197" bestFit="1" customWidth="1"/>
    <col min="2843" max="2848" width="9.140625" style="197"/>
    <col min="2849" max="2849" width="31.42578125" style="197" bestFit="1" customWidth="1"/>
    <col min="2850" max="2850" width="10.85546875" style="197" bestFit="1" customWidth="1"/>
    <col min="2851" max="3071" width="9.140625" style="197"/>
    <col min="3072" max="3072" width="14.140625" style="197" customWidth="1"/>
    <col min="3073" max="3073" width="8.7109375" style="197" bestFit="1" customWidth="1"/>
    <col min="3074" max="3074" width="10.85546875" style="197" bestFit="1" customWidth="1"/>
    <col min="3075" max="3075" width="10.5703125" style="197" customWidth="1"/>
    <col min="3076" max="3076" width="11.28515625" style="197" customWidth="1"/>
    <col min="3077" max="3077" width="10" style="197" bestFit="1" customWidth="1"/>
    <col min="3078" max="3078" width="10.42578125" style="197" customWidth="1"/>
    <col min="3079" max="3079" width="10.140625" style="197" customWidth="1"/>
    <col min="3080" max="3080" width="8.7109375" style="197" bestFit="1" customWidth="1"/>
    <col min="3081" max="3082" width="10" style="197" bestFit="1" customWidth="1"/>
    <col min="3083" max="3085" width="8.7109375" style="197" bestFit="1" customWidth="1"/>
    <col min="3086" max="3087" width="10" style="197" bestFit="1" customWidth="1"/>
    <col min="3088" max="3090" width="8.7109375" style="197" bestFit="1" customWidth="1"/>
    <col min="3091" max="3092" width="10" style="197" bestFit="1" customWidth="1"/>
    <col min="3093" max="3093" width="9.85546875" style="197" customWidth="1"/>
    <col min="3094" max="3094" width="9.5703125" style="197" customWidth="1"/>
    <col min="3095" max="3095" width="32.28515625" style="197" bestFit="1" customWidth="1"/>
    <col min="3096" max="3096" width="2.5703125" style="197" bestFit="1" customWidth="1"/>
    <col min="3097" max="3097" width="32.28515625" style="197" bestFit="1" customWidth="1"/>
    <col min="3098" max="3098" width="26" style="197" bestFit="1" customWidth="1"/>
    <col min="3099" max="3104" width="9.140625" style="197"/>
    <col min="3105" max="3105" width="31.42578125" style="197" bestFit="1" customWidth="1"/>
    <col min="3106" max="3106" width="10.85546875" style="197" bestFit="1" customWidth="1"/>
    <col min="3107" max="3327" width="9.140625" style="197"/>
    <col min="3328" max="3328" width="14.140625" style="197" customWidth="1"/>
    <col min="3329" max="3329" width="8.7109375" style="197" bestFit="1" customWidth="1"/>
    <col min="3330" max="3330" width="10.85546875" style="197" bestFit="1" customWidth="1"/>
    <col min="3331" max="3331" width="10.5703125" style="197" customWidth="1"/>
    <col min="3332" max="3332" width="11.28515625" style="197" customWidth="1"/>
    <col min="3333" max="3333" width="10" style="197" bestFit="1" customWidth="1"/>
    <col min="3334" max="3334" width="10.42578125" style="197" customWidth="1"/>
    <col min="3335" max="3335" width="10.140625" style="197" customWidth="1"/>
    <col min="3336" max="3336" width="8.7109375" style="197" bestFit="1" customWidth="1"/>
    <col min="3337" max="3338" width="10" style="197" bestFit="1" customWidth="1"/>
    <col min="3339" max="3341" width="8.7109375" style="197" bestFit="1" customWidth="1"/>
    <col min="3342" max="3343" width="10" style="197" bestFit="1" customWidth="1"/>
    <col min="3344" max="3346" width="8.7109375" style="197" bestFit="1" customWidth="1"/>
    <col min="3347" max="3348" width="10" style="197" bestFit="1" customWidth="1"/>
    <col min="3349" max="3349" width="9.85546875" style="197" customWidth="1"/>
    <col min="3350" max="3350" width="9.5703125" style="197" customWidth="1"/>
    <col min="3351" max="3351" width="32.28515625" style="197" bestFit="1" customWidth="1"/>
    <col min="3352" max="3352" width="2.5703125" style="197" bestFit="1" customWidth="1"/>
    <col min="3353" max="3353" width="32.28515625" style="197" bestFit="1" customWidth="1"/>
    <col min="3354" max="3354" width="26" style="197" bestFit="1" customWidth="1"/>
    <col min="3355" max="3360" width="9.140625" style="197"/>
    <col min="3361" max="3361" width="31.42578125" style="197" bestFit="1" customWidth="1"/>
    <col min="3362" max="3362" width="10.85546875" style="197" bestFit="1" customWidth="1"/>
    <col min="3363" max="3583" width="9.140625" style="197"/>
    <col min="3584" max="3584" width="14.140625" style="197" customWidth="1"/>
    <col min="3585" max="3585" width="8.7109375" style="197" bestFit="1" customWidth="1"/>
    <col min="3586" max="3586" width="10.85546875" style="197" bestFit="1" customWidth="1"/>
    <col min="3587" max="3587" width="10.5703125" style="197" customWidth="1"/>
    <col min="3588" max="3588" width="11.28515625" style="197" customWidth="1"/>
    <col min="3589" max="3589" width="10" style="197" bestFit="1" customWidth="1"/>
    <col min="3590" max="3590" width="10.42578125" style="197" customWidth="1"/>
    <col min="3591" max="3591" width="10.140625" style="197" customWidth="1"/>
    <col min="3592" max="3592" width="8.7109375" style="197" bestFit="1" customWidth="1"/>
    <col min="3593" max="3594" width="10" style="197" bestFit="1" customWidth="1"/>
    <col min="3595" max="3597" width="8.7109375" style="197" bestFit="1" customWidth="1"/>
    <col min="3598" max="3599" width="10" style="197" bestFit="1" customWidth="1"/>
    <col min="3600" max="3602" width="8.7109375" style="197" bestFit="1" customWidth="1"/>
    <col min="3603" max="3604" width="10" style="197" bestFit="1" customWidth="1"/>
    <col min="3605" max="3605" width="9.85546875" style="197" customWidth="1"/>
    <col min="3606" max="3606" width="9.5703125" style="197" customWidth="1"/>
    <col min="3607" max="3607" width="32.28515625" style="197" bestFit="1" customWidth="1"/>
    <col min="3608" max="3608" width="2.5703125" style="197" bestFit="1" customWidth="1"/>
    <col min="3609" max="3609" width="32.28515625" style="197" bestFit="1" customWidth="1"/>
    <col min="3610" max="3610" width="26" style="197" bestFit="1" customWidth="1"/>
    <col min="3611" max="3616" width="9.140625" style="197"/>
    <col min="3617" max="3617" width="31.42578125" style="197" bestFit="1" customWidth="1"/>
    <col min="3618" max="3618" width="10.85546875" style="197" bestFit="1" customWidth="1"/>
    <col min="3619" max="3839" width="9.140625" style="197"/>
    <col min="3840" max="3840" width="14.140625" style="197" customWidth="1"/>
    <col min="3841" max="3841" width="8.7109375" style="197" bestFit="1" customWidth="1"/>
    <col min="3842" max="3842" width="10.85546875" style="197" bestFit="1" customWidth="1"/>
    <col min="3843" max="3843" width="10.5703125" style="197" customWidth="1"/>
    <col min="3844" max="3844" width="11.28515625" style="197" customWidth="1"/>
    <col min="3845" max="3845" width="10" style="197" bestFit="1" customWidth="1"/>
    <col min="3846" max="3846" width="10.42578125" style="197" customWidth="1"/>
    <col min="3847" max="3847" width="10.140625" style="197" customWidth="1"/>
    <col min="3848" max="3848" width="8.7109375" style="197" bestFit="1" customWidth="1"/>
    <col min="3849" max="3850" width="10" style="197" bestFit="1" customWidth="1"/>
    <col min="3851" max="3853" width="8.7109375" style="197" bestFit="1" customWidth="1"/>
    <col min="3854" max="3855" width="10" style="197" bestFit="1" customWidth="1"/>
    <col min="3856" max="3858" width="8.7109375" style="197" bestFit="1" customWidth="1"/>
    <col min="3859" max="3860" width="10" style="197" bestFit="1" customWidth="1"/>
    <col min="3861" max="3861" width="9.85546875" style="197" customWidth="1"/>
    <col min="3862" max="3862" width="9.5703125" style="197" customWidth="1"/>
    <col min="3863" max="3863" width="32.28515625" style="197" bestFit="1" customWidth="1"/>
    <col min="3864" max="3864" width="2.5703125" style="197" bestFit="1" customWidth="1"/>
    <col min="3865" max="3865" width="32.28515625" style="197" bestFit="1" customWidth="1"/>
    <col min="3866" max="3866" width="26" style="197" bestFit="1" customWidth="1"/>
    <col min="3867" max="3872" width="9.140625" style="197"/>
    <col min="3873" max="3873" width="31.42578125" style="197" bestFit="1" customWidth="1"/>
    <col min="3874" max="3874" width="10.85546875" style="197" bestFit="1" customWidth="1"/>
    <col min="3875" max="4095" width="9.140625" style="197"/>
    <col min="4096" max="4096" width="14.140625" style="197" customWidth="1"/>
    <col min="4097" max="4097" width="8.7109375" style="197" bestFit="1" customWidth="1"/>
    <col min="4098" max="4098" width="10.85546875" style="197" bestFit="1" customWidth="1"/>
    <col min="4099" max="4099" width="10.5703125" style="197" customWidth="1"/>
    <col min="4100" max="4100" width="11.28515625" style="197" customWidth="1"/>
    <col min="4101" max="4101" width="10" style="197" bestFit="1" customWidth="1"/>
    <col min="4102" max="4102" width="10.42578125" style="197" customWidth="1"/>
    <col min="4103" max="4103" width="10.140625" style="197" customWidth="1"/>
    <col min="4104" max="4104" width="8.7109375" style="197" bestFit="1" customWidth="1"/>
    <col min="4105" max="4106" width="10" style="197" bestFit="1" customWidth="1"/>
    <col min="4107" max="4109" width="8.7109375" style="197" bestFit="1" customWidth="1"/>
    <col min="4110" max="4111" width="10" style="197" bestFit="1" customWidth="1"/>
    <col min="4112" max="4114" width="8.7109375" style="197" bestFit="1" customWidth="1"/>
    <col min="4115" max="4116" width="10" style="197" bestFit="1" customWidth="1"/>
    <col min="4117" max="4117" width="9.85546875" style="197" customWidth="1"/>
    <col min="4118" max="4118" width="9.5703125" style="197" customWidth="1"/>
    <col min="4119" max="4119" width="32.28515625" style="197" bestFit="1" customWidth="1"/>
    <col min="4120" max="4120" width="2.5703125" style="197" bestFit="1" customWidth="1"/>
    <col min="4121" max="4121" width="32.28515625" style="197" bestFit="1" customWidth="1"/>
    <col min="4122" max="4122" width="26" style="197" bestFit="1" customWidth="1"/>
    <col min="4123" max="4128" width="9.140625" style="197"/>
    <col min="4129" max="4129" width="31.42578125" style="197" bestFit="1" customWidth="1"/>
    <col min="4130" max="4130" width="10.85546875" style="197" bestFit="1" customWidth="1"/>
    <col min="4131" max="4351" width="9.140625" style="197"/>
    <col min="4352" max="4352" width="14.140625" style="197" customWidth="1"/>
    <col min="4353" max="4353" width="8.7109375" style="197" bestFit="1" customWidth="1"/>
    <col min="4354" max="4354" width="10.85546875" style="197" bestFit="1" customWidth="1"/>
    <col min="4355" max="4355" width="10.5703125" style="197" customWidth="1"/>
    <col min="4356" max="4356" width="11.28515625" style="197" customWidth="1"/>
    <col min="4357" max="4357" width="10" style="197" bestFit="1" customWidth="1"/>
    <col min="4358" max="4358" width="10.42578125" style="197" customWidth="1"/>
    <col min="4359" max="4359" width="10.140625" style="197" customWidth="1"/>
    <col min="4360" max="4360" width="8.7109375" style="197" bestFit="1" customWidth="1"/>
    <col min="4361" max="4362" width="10" style="197" bestFit="1" customWidth="1"/>
    <col min="4363" max="4365" width="8.7109375" style="197" bestFit="1" customWidth="1"/>
    <col min="4366" max="4367" width="10" style="197" bestFit="1" customWidth="1"/>
    <col min="4368" max="4370" width="8.7109375" style="197" bestFit="1" customWidth="1"/>
    <col min="4371" max="4372" width="10" style="197" bestFit="1" customWidth="1"/>
    <col min="4373" max="4373" width="9.85546875" style="197" customWidth="1"/>
    <col min="4374" max="4374" width="9.5703125" style="197" customWidth="1"/>
    <col min="4375" max="4375" width="32.28515625" style="197" bestFit="1" customWidth="1"/>
    <col min="4376" max="4376" width="2.5703125" style="197" bestFit="1" customWidth="1"/>
    <col min="4377" max="4377" width="32.28515625" style="197" bestFit="1" customWidth="1"/>
    <col min="4378" max="4378" width="26" style="197" bestFit="1" customWidth="1"/>
    <col min="4379" max="4384" width="9.140625" style="197"/>
    <col min="4385" max="4385" width="31.42578125" style="197" bestFit="1" customWidth="1"/>
    <col min="4386" max="4386" width="10.85546875" style="197" bestFit="1" customWidth="1"/>
    <col min="4387" max="4607" width="9.140625" style="197"/>
    <col min="4608" max="4608" width="14.140625" style="197" customWidth="1"/>
    <col min="4609" max="4609" width="8.7109375" style="197" bestFit="1" customWidth="1"/>
    <col min="4610" max="4610" width="10.85546875" style="197" bestFit="1" customWidth="1"/>
    <col min="4611" max="4611" width="10.5703125" style="197" customWidth="1"/>
    <col min="4612" max="4612" width="11.28515625" style="197" customWidth="1"/>
    <col min="4613" max="4613" width="10" style="197" bestFit="1" customWidth="1"/>
    <col min="4614" max="4614" width="10.42578125" style="197" customWidth="1"/>
    <col min="4615" max="4615" width="10.140625" style="197" customWidth="1"/>
    <col min="4616" max="4616" width="8.7109375" style="197" bestFit="1" customWidth="1"/>
    <col min="4617" max="4618" width="10" style="197" bestFit="1" customWidth="1"/>
    <col min="4619" max="4621" width="8.7109375" style="197" bestFit="1" customWidth="1"/>
    <col min="4622" max="4623" width="10" style="197" bestFit="1" customWidth="1"/>
    <col min="4624" max="4626" width="8.7109375" style="197" bestFit="1" customWidth="1"/>
    <col min="4627" max="4628" width="10" style="197" bestFit="1" customWidth="1"/>
    <col min="4629" max="4629" width="9.85546875" style="197" customWidth="1"/>
    <col min="4630" max="4630" width="9.5703125" style="197" customWidth="1"/>
    <col min="4631" max="4631" width="32.28515625" style="197" bestFit="1" customWidth="1"/>
    <col min="4632" max="4632" width="2.5703125" style="197" bestFit="1" customWidth="1"/>
    <col min="4633" max="4633" width="32.28515625" style="197" bestFit="1" customWidth="1"/>
    <col min="4634" max="4634" width="26" style="197" bestFit="1" customWidth="1"/>
    <col min="4635" max="4640" width="9.140625" style="197"/>
    <col min="4641" max="4641" width="31.42578125" style="197" bestFit="1" customWidth="1"/>
    <col min="4642" max="4642" width="10.85546875" style="197" bestFit="1" customWidth="1"/>
    <col min="4643" max="4863" width="9.140625" style="197"/>
    <col min="4864" max="4864" width="14.140625" style="197" customWidth="1"/>
    <col min="4865" max="4865" width="8.7109375" style="197" bestFit="1" customWidth="1"/>
    <col min="4866" max="4866" width="10.85546875" style="197" bestFit="1" customWidth="1"/>
    <col min="4867" max="4867" width="10.5703125" style="197" customWidth="1"/>
    <col min="4868" max="4868" width="11.28515625" style="197" customWidth="1"/>
    <col min="4869" max="4869" width="10" style="197" bestFit="1" customWidth="1"/>
    <col min="4870" max="4870" width="10.42578125" style="197" customWidth="1"/>
    <col min="4871" max="4871" width="10.140625" style="197" customWidth="1"/>
    <col min="4872" max="4872" width="8.7109375" style="197" bestFit="1" customWidth="1"/>
    <col min="4873" max="4874" width="10" style="197" bestFit="1" customWidth="1"/>
    <col min="4875" max="4877" width="8.7109375" style="197" bestFit="1" customWidth="1"/>
    <col min="4878" max="4879" width="10" style="197" bestFit="1" customWidth="1"/>
    <col min="4880" max="4882" width="8.7109375" style="197" bestFit="1" customWidth="1"/>
    <col min="4883" max="4884" width="10" style="197" bestFit="1" customWidth="1"/>
    <col min="4885" max="4885" width="9.85546875" style="197" customWidth="1"/>
    <col min="4886" max="4886" width="9.5703125" style="197" customWidth="1"/>
    <col min="4887" max="4887" width="32.28515625" style="197" bestFit="1" customWidth="1"/>
    <col min="4888" max="4888" width="2.5703125" style="197" bestFit="1" customWidth="1"/>
    <col min="4889" max="4889" width="32.28515625" style="197" bestFit="1" customWidth="1"/>
    <col min="4890" max="4890" width="26" style="197" bestFit="1" customWidth="1"/>
    <col min="4891" max="4896" width="9.140625" style="197"/>
    <col min="4897" max="4897" width="31.42578125" style="197" bestFit="1" customWidth="1"/>
    <col min="4898" max="4898" width="10.85546875" style="197" bestFit="1" customWidth="1"/>
    <col min="4899" max="5119" width="9.140625" style="197"/>
    <col min="5120" max="5120" width="14.140625" style="197" customWidth="1"/>
    <col min="5121" max="5121" width="8.7109375" style="197" bestFit="1" customWidth="1"/>
    <col min="5122" max="5122" width="10.85546875" style="197" bestFit="1" customWidth="1"/>
    <col min="5123" max="5123" width="10.5703125" style="197" customWidth="1"/>
    <col min="5124" max="5124" width="11.28515625" style="197" customWidth="1"/>
    <col min="5125" max="5125" width="10" style="197" bestFit="1" customWidth="1"/>
    <col min="5126" max="5126" width="10.42578125" style="197" customWidth="1"/>
    <col min="5127" max="5127" width="10.140625" style="197" customWidth="1"/>
    <col min="5128" max="5128" width="8.7109375" style="197" bestFit="1" customWidth="1"/>
    <col min="5129" max="5130" width="10" style="197" bestFit="1" customWidth="1"/>
    <col min="5131" max="5133" width="8.7109375" style="197" bestFit="1" customWidth="1"/>
    <col min="5134" max="5135" width="10" style="197" bestFit="1" customWidth="1"/>
    <col min="5136" max="5138" width="8.7109375" style="197" bestFit="1" customWidth="1"/>
    <col min="5139" max="5140" width="10" style="197" bestFit="1" customWidth="1"/>
    <col min="5141" max="5141" width="9.85546875" style="197" customWidth="1"/>
    <col min="5142" max="5142" width="9.5703125" style="197" customWidth="1"/>
    <col min="5143" max="5143" width="32.28515625" style="197" bestFit="1" customWidth="1"/>
    <col min="5144" max="5144" width="2.5703125" style="197" bestFit="1" customWidth="1"/>
    <col min="5145" max="5145" width="32.28515625" style="197" bestFit="1" customWidth="1"/>
    <col min="5146" max="5146" width="26" style="197" bestFit="1" customWidth="1"/>
    <col min="5147" max="5152" width="9.140625" style="197"/>
    <col min="5153" max="5153" width="31.42578125" style="197" bestFit="1" customWidth="1"/>
    <col min="5154" max="5154" width="10.85546875" style="197" bestFit="1" customWidth="1"/>
    <col min="5155" max="5375" width="9.140625" style="197"/>
    <col min="5376" max="5376" width="14.140625" style="197" customWidth="1"/>
    <col min="5377" max="5377" width="8.7109375" style="197" bestFit="1" customWidth="1"/>
    <col min="5378" max="5378" width="10.85546875" style="197" bestFit="1" customWidth="1"/>
    <col min="5379" max="5379" width="10.5703125" style="197" customWidth="1"/>
    <col min="5380" max="5380" width="11.28515625" style="197" customWidth="1"/>
    <col min="5381" max="5381" width="10" style="197" bestFit="1" customWidth="1"/>
    <col min="5382" max="5382" width="10.42578125" style="197" customWidth="1"/>
    <col min="5383" max="5383" width="10.140625" style="197" customWidth="1"/>
    <col min="5384" max="5384" width="8.7109375" style="197" bestFit="1" customWidth="1"/>
    <col min="5385" max="5386" width="10" style="197" bestFit="1" customWidth="1"/>
    <col min="5387" max="5389" width="8.7109375" style="197" bestFit="1" customWidth="1"/>
    <col min="5390" max="5391" width="10" style="197" bestFit="1" customWidth="1"/>
    <col min="5392" max="5394" width="8.7109375" style="197" bestFit="1" customWidth="1"/>
    <col min="5395" max="5396" width="10" style="197" bestFit="1" customWidth="1"/>
    <col min="5397" max="5397" width="9.85546875" style="197" customWidth="1"/>
    <col min="5398" max="5398" width="9.5703125" style="197" customWidth="1"/>
    <col min="5399" max="5399" width="32.28515625" style="197" bestFit="1" customWidth="1"/>
    <col min="5400" max="5400" width="2.5703125" style="197" bestFit="1" customWidth="1"/>
    <col min="5401" max="5401" width="32.28515625" style="197" bestFit="1" customWidth="1"/>
    <col min="5402" max="5402" width="26" style="197" bestFit="1" customWidth="1"/>
    <col min="5403" max="5408" width="9.140625" style="197"/>
    <col min="5409" max="5409" width="31.42578125" style="197" bestFit="1" customWidth="1"/>
    <col min="5410" max="5410" width="10.85546875" style="197" bestFit="1" customWidth="1"/>
    <col min="5411" max="5631" width="9.140625" style="197"/>
    <col min="5632" max="5632" width="14.140625" style="197" customWidth="1"/>
    <col min="5633" max="5633" width="8.7109375" style="197" bestFit="1" customWidth="1"/>
    <col min="5634" max="5634" width="10.85546875" style="197" bestFit="1" customWidth="1"/>
    <col min="5635" max="5635" width="10.5703125" style="197" customWidth="1"/>
    <col min="5636" max="5636" width="11.28515625" style="197" customWidth="1"/>
    <col min="5637" max="5637" width="10" style="197" bestFit="1" customWidth="1"/>
    <col min="5638" max="5638" width="10.42578125" style="197" customWidth="1"/>
    <col min="5639" max="5639" width="10.140625" style="197" customWidth="1"/>
    <col min="5640" max="5640" width="8.7109375" style="197" bestFit="1" customWidth="1"/>
    <col min="5641" max="5642" width="10" style="197" bestFit="1" customWidth="1"/>
    <col min="5643" max="5645" width="8.7109375" style="197" bestFit="1" customWidth="1"/>
    <col min="5646" max="5647" width="10" style="197" bestFit="1" customWidth="1"/>
    <col min="5648" max="5650" width="8.7109375" style="197" bestFit="1" customWidth="1"/>
    <col min="5651" max="5652" width="10" style="197" bestFit="1" customWidth="1"/>
    <col min="5653" max="5653" width="9.85546875" style="197" customWidth="1"/>
    <col min="5654" max="5654" width="9.5703125" style="197" customWidth="1"/>
    <col min="5655" max="5655" width="32.28515625" style="197" bestFit="1" customWidth="1"/>
    <col min="5656" max="5656" width="2.5703125" style="197" bestFit="1" customWidth="1"/>
    <col min="5657" max="5657" width="32.28515625" style="197" bestFit="1" customWidth="1"/>
    <col min="5658" max="5658" width="26" style="197" bestFit="1" customWidth="1"/>
    <col min="5659" max="5664" width="9.140625" style="197"/>
    <col min="5665" max="5665" width="31.42578125" style="197" bestFit="1" customWidth="1"/>
    <col min="5666" max="5666" width="10.85546875" style="197" bestFit="1" customWidth="1"/>
    <col min="5667" max="5887" width="9.140625" style="197"/>
    <col min="5888" max="5888" width="14.140625" style="197" customWidth="1"/>
    <col min="5889" max="5889" width="8.7109375" style="197" bestFit="1" customWidth="1"/>
    <col min="5890" max="5890" width="10.85546875" style="197" bestFit="1" customWidth="1"/>
    <col min="5891" max="5891" width="10.5703125" style="197" customWidth="1"/>
    <col min="5892" max="5892" width="11.28515625" style="197" customWidth="1"/>
    <col min="5893" max="5893" width="10" style="197" bestFit="1" customWidth="1"/>
    <col min="5894" max="5894" width="10.42578125" style="197" customWidth="1"/>
    <col min="5895" max="5895" width="10.140625" style="197" customWidth="1"/>
    <col min="5896" max="5896" width="8.7109375" style="197" bestFit="1" customWidth="1"/>
    <col min="5897" max="5898" width="10" style="197" bestFit="1" customWidth="1"/>
    <col min="5899" max="5901" width="8.7109375" style="197" bestFit="1" customWidth="1"/>
    <col min="5902" max="5903" width="10" style="197" bestFit="1" customWidth="1"/>
    <col min="5904" max="5906" width="8.7109375" style="197" bestFit="1" customWidth="1"/>
    <col min="5907" max="5908" width="10" style="197" bestFit="1" customWidth="1"/>
    <col min="5909" max="5909" width="9.85546875" style="197" customWidth="1"/>
    <col min="5910" max="5910" width="9.5703125" style="197" customWidth="1"/>
    <col min="5911" max="5911" width="32.28515625" style="197" bestFit="1" customWidth="1"/>
    <col min="5912" max="5912" width="2.5703125" style="197" bestFit="1" customWidth="1"/>
    <col min="5913" max="5913" width="32.28515625" style="197" bestFit="1" customWidth="1"/>
    <col min="5914" max="5914" width="26" style="197" bestFit="1" customWidth="1"/>
    <col min="5915" max="5920" width="9.140625" style="197"/>
    <col min="5921" max="5921" width="31.42578125" style="197" bestFit="1" customWidth="1"/>
    <col min="5922" max="5922" width="10.85546875" style="197" bestFit="1" customWidth="1"/>
    <col min="5923" max="6143" width="9.140625" style="197"/>
    <col min="6144" max="6144" width="14.140625" style="197" customWidth="1"/>
    <col min="6145" max="6145" width="8.7109375" style="197" bestFit="1" customWidth="1"/>
    <col min="6146" max="6146" width="10.85546875" style="197" bestFit="1" customWidth="1"/>
    <col min="6147" max="6147" width="10.5703125" style="197" customWidth="1"/>
    <col min="6148" max="6148" width="11.28515625" style="197" customWidth="1"/>
    <col min="6149" max="6149" width="10" style="197" bestFit="1" customWidth="1"/>
    <col min="6150" max="6150" width="10.42578125" style="197" customWidth="1"/>
    <col min="6151" max="6151" width="10.140625" style="197" customWidth="1"/>
    <col min="6152" max="6152" width="8.7109375" style="197" bestFit="1" customWidth="1"/>
    <col min="6153" max="6154" width="10" style="197" bestFit="1" customWidth="1"/>
    <col min="6155" max="6157" width="8.7109375" style="197" bestFit="1" customWidth="1"/>
    <col min="6158" max="6159" width="10" style="197" bestFit="1" customWidth="1"/>
    <col min="6160" max="6162" width="8.7109375" style="197" bestFit="1" customWidth="1"/>
    <col min="6163" max="6164" width="10" style="197" bestFit="1" customWidth="1"/>
    <col min="6165" max="6165" width="9.85546875" style="197" customWidth="1"/>
    <col min="6166" max="6166" width="9.5703125" style="197" customWidth="1"/>
    <col min="6167" max="6167" width="32.28515625" style="197" bestFit="1" customWidth="1"/>
    <col min="6168" max="6168" width="2.5703125" style="197" bestFit="1" customWidth="1"/>
    <col min="6169" max="6169" width="32.28515625" style="197" bestFit="1" customWidth="1"/>
    <col min="6170" max="6170" width="26" style="197" bestFit="1" customWidth="1"/>
    <col min="6171" max="6176" width="9.140625" style="197"/>
    <col min="6177" max="6177" width="31.42578125" style="197" bestFit="1" customWidth="1"/>
    <col min="6178" max="6178" width="10.85546875" style="197" bestFit="1" customWidth="1"/>
    <col min="6179" max="6399" width="9.140625" style="197"/>
    <col min="6400" max="6400" width="14.140625" style="197" customWidth="1"/>
    <col min="6401" max="6401" width="8.7109375" style="197" bestFit="1" customWidth="1"/>
    <col min="6402" max="6402" width="10.85546875" style="197" bestFit="1" customWidth="1"/>
    <col min="6403" max="6403" width="10.5703125" style="197" customWidth="1"/>
    <col min="6404" max="6404" width="11.28515625" style="197" customWidth="1"/>
    <col min="6405" max="6405" width="10" style="197" bestFit="1" customWidth="1"/>
    <col min="6406" max="6406" width="10.42578125" style="197" customWidth="1"/>
    <col min="6407" max="6407" width="10.140625" style="197" customWidth="1"/>
    <col min="6408" max="6408" width="8.7109375" style="197" bestFit="1" customWidth="1"/>
    <col min="6409" max="6410" width="10" style="197" bestFit="1" customWidth="1"/>
    <col min="6411" max="6413" width="8.7109375" style="197" bestFit="1" customWidth="1"/>
    <col min="6414" max="6415" width="10" style="197" bestFit="1" customWidth="1"/>
    <col min="6416" max="6418" width="8.7109375" style="197" bestFit="1" customWidth="1"/>
    <col min="6419" max="6420" width="10" style="197" bestFit="1" customWidth="1"/>
    <col min="6421" max="6421" width="9.85546875" style="197" customWidth="1"/>
    <col min="6422" max="6422" width="9.5703125" style="197" customWidth="1"/>
    <col min="6423" max="6423" width="32.28515625" style="197" bestFit="1" customWidth="1"/>
    <col min="6424" max="6424" width="2.5703125" style="197" bestFit="1" customWidth="1"/>
    <col min="6425" max="6425" width="32.28515625" style="197" bestFit="1" customWidth="1"/>
    <col min="6426" max="6426" width="26" style="197" bestFit="1" customWidth="1"/>
    <col min="6427" max="6432" width="9.140625" style="197"/>
    <col min="6433" max="6433" width="31.42578125" style="197" bestFit="1" customWidth="1"/>
    <col min="6434" max="6434" width="10.85546875" style="197" bestFit="1" customWidth="1"/>
    <col min="6435" max="6655" width="9.140625" style="197"/>
    <col min="6656" max="6656" width="14.140625" style="197" customWidth="1"/>
    <col min="6657" max="6657" width="8.7109375" style="197" bestFit="1" customWidth="1"/>
    <col min="6658" max="6658" width="10.85546875" style="197" bestFit="1" customWidth="1"/>
    <col min="6659" max="6659" width="10.5703125" style="197" customWidth="1"/>
    <col min="6660" max="6660" width="11.28515625" style="197" customWidth="1"/>
    <col min="6661" max="6661" width="10" style="197" bestFit="1" customWidth="1"/>
    <col min="6662" max="6662" width="10.42578125" style="197" customWidth="1"/>
    <col min="6663" max="6663" width="10.140625" style="197" customWidth="1"/>
    <col min="6664" max="6664" width="8.7109375" style="197" bestFit="1" customWidth="1"/>
    <col min="6665" max="6666" width="10" style="197" bestFit="1" customWidth="1"/>
    <col min="6667" max="6669" width="8.7109375" style="197" bestFit="1" customWidth="1"/>
    <col min="6670" max="6671" width="10" style="197" bestFit="1" customWidth="1"/>
    <col min="6672" max="6674" width="8.7109375" style="197" bestFit="1" customWidth="1"/>
    <col min="6675" max="6676" width="10" style="197" bestFit="1" customWidth="1"/>
    <col min="6677" max="6677" width="9.85546875" style="197" customWidth="1"/>
    <col min="6678" max="6678" width="9.5703125" style="197" customWidth="1"/>
    <col min="6679" max="6679" width="32.28515625" style="197" bestFit="1" customWidth="1"/>
    <col min="6680" max="6680" width="2.5703125" style="197" bestFit="1" customWidth="1"/>
    <col min="6681" max="6681" width="32.28515625" style="197" bestFit="1" customWidth="1"/>
    <col min="6682" max="6682" width="26" style="197" bestFit="1" customWidth="1"/>
    <col min="6683" max="6688" width="9.140625" style="197"/>
    <col min="6689" max="6689" width="31.42578125" style="197" bestFit="1" customWidth="1"/>
    <col min="6690" max="6690" width="10.85546875" style="197" bestFit="1" customWidth="1"/>
    <col min="6691" max="6911" width="9.140625" style="197"/>
    <col min="6912" max="6912" width="14.140625" style="197" customWidth="1"/>
    <col min="6913" max="6913" width="8.7109375" style="197" bestFit="1" customWidth="1"/>
    <col min="6914" max="6914" width="10.85546875" style="197" bestFit="1" customWidth="1"/>
    <col min="6915" max="6915" width="10.5703125" style="197" customWidth="1"/>
    <col min="6916" max="6916" width="11.28515625" style="197" customWidth="1"/>
    <col min="6917" max="6917" width="10" style="197" bestFit="1" customWidth="1"/>
    <col min="6918" max="6918" width="10.42578125" style="197" customWidth="1"/>
    <col min="6919" max="6919" width="10.140625" style="197" customWidth="1"/>
    <col min="6920" max="6920" width="8.7109375" style="197" bestFit="1" customWidth="1"/>
    <col min="6921" max="6922" width="10" style="197" bestFit="1" customWidth="1"/>
    <col min="6923" max="6925" width="8.7109375" style="197" bestFit="1" customWidth="1"/>
    <col min="6926" max="6927" width="10" style="197" bestFit="1" customWidth="1"/>
    <col min="6928" max="6930" width="8.7109375" style="197" bestFit="1" customWidth="1"/>
    <col min="6931" max="6932" width="10" style="197" bestFit="1" customWidth="1"/>
    <col min="6933" max="6933" width="9.85546875" style="197" customWidth="1"/>
    <col min="6934" max="6934" width="9.5703125" style="197" customWidth="1"/>
    <col min="6935" max="6935" width="32.28515625" style="197" bestFit="1" customWidth="1"/>
    <col min="6936" max="6936" width="2.5703125" style="197" bestFit="1" customWidth="1"/>
    <col min="6937" max="6937" width="32.28515625" style="197" bestFit="1" customWidth="1"/>
    <col min="6938" max="6938" width="26" style="197" bestFit="1" customWidth="1"/>
    <col min="6939" max="6944" width="9.140625" style="197"/>
    <col min="6945" max="6945" width="31.42578125" style="197" bestFit="1" customWidth="1"/>
    <col min="6946" max="6946" width="10.85546875" style="197" bestFit="1" customWidth="1"/>
    <col min="6947" max="7167" width="9.140625" style="197"/>
    <col min="7168" max="7168" width="14.140625" style="197" customWidth="1"/>
    <col min="7169" max="7169" width="8.7109375" style="197" bestFit="1" customWidth="1"/>
    <col min="7170" max="7170" width="10.85546875" style="197" bestFit="1" customWidth="1"/>
    <col min="7171" max="7171" width="10.5703125" style="197" customWidth="1"/>
    <col min="7172" max="7172" width="11.28515625" style="197" customWidth="1"/>
    <col min="7173" max="7173" width="10" style="197" bestFit="1" customWidth="1"/>
    <col min="7174" max="7174" width="10.42578125" style="197" customWidth="1"/>
    <col min="7175" max="7175" width="10.140625" style="197" customWidth="1"/>
    <col min="7176" max="7176" width="8.7109375" style="197" bestFit="1" customWidth="1"/>
    <col min="7177" max="7178" width="10" style="197" bestFit="1" customWidth="1"/>
    <col min="7179" max="7181" width="8.7109375" style="197" bestFit="1" customWidth="1"/>
    <col min="7182" max="7183" width="10" style="197" bestFit="1" customWidth="1"/>
    <col min="7184" max="7186" width="8.7109375" style="197" bestFit="1" customWidth="1"/>
    <col min="7187" max="7188" width="10" style="197" bestFit="1" customWidth="1"/>
    <col min="7189" max="7189" width="9.85546875" style="197" customWidth="1"/>
    <col min="7190" max="7190" width="9.5703125" style="197" customWidth="1"/>
    <col min="7191" max="7191" width="32.28515625" style="197" bestFit="1" customWidth="1"/>
    <col min="7192" max="7192" width="2.5703125" style="197" bestFit="1" customWidth="1"/>
    <col min="7193" max="7193" width="32.28515625" style="197" bestFit="1" customWidth="1"/>
    <col min="7194" max="7194" width="26" style="197" bestFit="1" customWidth="1"/>
    <col min="7195" max="7200" width="9.140625" style="197"/>
    <col min="7201" max="7201" width="31.42578125" style="197" bestFit="1" customWidth="1"/>
    <col min="7202" max="7202" width="10.85546875" style="197" bestFit="1" customWidth="1"/>
    <col min="7203" max="7423" width="9.140625" style="197"/>
    <col min="7424" max="7424" width="14.140625" style="197" customWidth="1"/>
    <col min="7425" max="7425" width="8.7109375" style="197" bestFit="1" customWidth="1"/>
    <col min="7426" max="7426" width="10.85546875" style="197" bestFit="1" customWidth="1"/>
    <col min="7427" max="7427" width="10.5703125" style="197" customWidth="1"/>
    <col min="7428" max="7428" width="11.28515625" style="197" customWidth="1"/>
    <col min="7429" max="7429" width="10" style="197" bestFit="1" customWidth="1"/>
    <col min="7430" max="7430" width="10.42578125" style="197" customWidth="1"/>
    <col min="7431" max="7431" width="10.140625" style="197" customWidth="1"/>
    <col min="7432" max="7432" width="8.7109375" style="197" bestFit="1" customWidth="1"/>
    <col min="7433" max="7434" width="10" style="197" bestFit="1" customWidth="1"/>
    <col min="7435" max="7437" width="8.7109375" style="197" bestFit="1" customWidth="1"/>
    <col min="7438" max="7439" width="10" style="197" bestFit="1" customWidth="1"/>
    <col min="7440" max="7442" width="8.7109375" style="197" bestFit="1" customWidth="1"/>
    <col min="7443" max="7444" width="10" style="197" bestFit="1" customWidth="1"/>
    <col min="7445" max="7445" width="9.85546875" style="197" customWidth="1"/>
    <col min="7446" max="7446" width="9.5703125" style="197" customWidth="1"/>
    <col min="7447" max="7447" width="32.28515625" style="197" bestFit="1" customWidth="1"/>
    <col min="7448" max="7448" width="2.5703125" style="197" bestFit="1" customWidth="1"/>
    <col min="7449" max="7449" width="32.28515625" style="197" bestFit="1" customWidth="1"/>
    <col min="7450" max="7450" width="26" style="197" bestFit="1" customWidth="1"/>
    <col min="7451" max="7456" width="9.140625" style="197"/>
    <col min="7457" max="7457" width="31.42578125" style="197" bestFit="1" customWidth="1"/>
    <col min="7458" max="7458" width="10.85546875" style="197" bestFit="1" customWidth="1"/>
    <col min="7459" max="7679" width="9.140625" style="197"/>
    <col min="7680" max="7680" width="14.140625" style="197" customWidth="1"/>
    <col min="7681" max="7681" width="8.7109375" style="197" bestFit="1" customWidth="1"/>
    <col min="7682" max="7682" width="10.85546875" style="197" bestFit="1" customWidth="1"/>
    <col min="7683" max="7683" width="10.5703125" style="197" customWidth="1"/>
    <col min="7684" max="7684" width="11.28515625" style="197" customWidth="1"/>
    <col min="7685" max="7685" width="10" style="197" bestFit="1" customWidth="1"/>
    <col min="7686" max="7686" width="10.42578125" style="197" customWidth="1"/>
    <col min="7687" max="7687" width="10.140625" style="197" customWidth="1"/>
    <col min="7688" max="7688" width="8.7109375" style="197" bestFit="1" customWidth="1"/>
    <col min="7689" max="7690" width="10" style="197" bestFit="1" customWidth="1"/>
    <col min="7691" max="7693" width="8.7109375" style="197" bestFit="1" customWidth="1"/>
    <col min="7694" max="7695" width="10" style="197" bestFit="1" customWidth="1"/>
    <col min="7696" max="7698" width="8.7109375" style="197" bestFit="1" customWidth="1"/>
    <col min="7699" max="7700" width="10" style="197" bestFit="1" customWidth="1"/>
    <col min="7701" max="7701" width="9.85546875" style="197" customWidth="1"/>
    <col min="7702" max="7702" width="9.5703125" style="197" customWidth="1"/>
    <col min="7703" max="7703" width="32.28515625" style="197" bestFit="1" customWidth="1"/>
    <col min="7704" max="7704" width="2.5703125" style="197" bestFit="1" customWidth="1"/>
    <col min="7705" max="7705" width="32.28515625" style="197" bestFit="1" customWidth="1"/>
    <col min="7706" max="7706" width="26" style="197" bestFit="1" customWidth="1"/>
    <col min="7707" max="7712" width="9.140625" style="197"/>
    <col min="7713" max="7713" width="31.42578125" style="197" bestFit="1" customWidth="1"/>
    <col min="7714" max="7714" width="10.85546875" style="197" bestFit="1" customWidth="1"/>
    <col min="7715" max="7935" width="9.140625" style="197"/>
    <col min="7936" max="7936" width="14.140625" style="197" customWidth="1"/>
    <col min="7937" max="7937" width="8.7109375" style="197" bestFit="1" customWidth="1"/>
    <col min="7938" max="7938" width="10.85546875" style="197" bestFit="1" customWidth="1"/>
    <col min="7939" max="7939" width="10.5703125" style="197" customWidth="1"/>
    <col min="7940" max="7940" width="11.28515625" style="197" customWidth="1"/>
    <col min="7941" max="7941" width="10" style="197" bestFit="1" customWidth="1"/>
    <col min="7942" max="7942" width="10.42578125" style="197" customWidth="1"/>
    <col min="7943" max="7943" width="10.140625" style="197" customWidth="1"/>
    <col min="7944" max="7944" width="8.7109375" style="197" bestFit="1" customWidth="1"/>
    <col min="7945" max="7946" width="10" style="197" bestFit="1" customWidth="1"/>
    <col min="7947" max="7949" width="8.7109375" style="197" bestFit="1" customWidth="1"/>
    <col min="7950" max="7951" width="10" style="197" bestFit="1" customWidth="1"/>
    <col min="7952" max="7954" width="8.7109375" style="197" bestFit="1" customWidth="1"/>
    <col min="7955" max="7956" width="10" style="197" bestFit="1" customWidth="1"/>
    <col min="7957" max="7957" width="9.85546875" style="197" customWidth="1"/>
    <col min="7958" max="7958" width="9.5703125" style="197" customWidth="1"/>
    <col min="7959" max="7959" width="32.28515625" style="197" bestFit="1" customWidth="1"/>
    <col min="7960" max="7960" width="2.5703125" style="197" bestFit="1" customWidth="1"/>
    <col min="7961" max="7961" width="32.28515625" style="197" bestFit="1" customWidth="1"/>
    <col min="7962" max="7962" width="26" style="197" bestFit="1" customWidth="1"/>
    <col min="7963" max="7968" width="9.140625" style="197"/>
    <col min="7969" max="7969" width="31.42578125" style="197" bestFit="1" customWidth="1"/>
    <col min="7970" max="7970" width="10.85546875" style="197" bestFit="1" customWidth="1"/>
    <col min="7971" max="8191" width="9.140625" style="197"/>
    <col min="8192" max="8192" width="14.140625" style="197" customWidth="1"/>
    <col min="8193" max="8193" width="8.7109375" style="197" bestFit="1" customWidth="1"/>
    <col min="8194" max="8194" width="10.85546875" style="197" bestFit="1" customWidth="1"/>
    <col min="8195" max="8195" width="10.5703125" style="197" customWidth="1"/>
    <col min="8196" max="8196" width="11.28515625" style="197" customWidth="1"/>
    <col min="8197" max="8197" width="10" style="197" bestFit="1" customWidth="1"/>
    <col min="8198" max="8198" width="10.42578125" style="197" customWidth="1"/>
    <col min="8199" max="8199" width="10.140625" style="197" customWidth="1"/>
    <col min="8200" max="8200" width="8.7109375" style="197" bestFit="1" customWidth="1"/>
    <col min="8201" max="8202" width="10" style="197" bestFit="1" customWidth="1"/>
    <col min="8203" max="8205" width="8.7109375" style="197" bestFit="1" customWidth="1"/>
    <col min="8206" max="8207" width="10" style="197" bestFit="1" customWidth="1"/>
    <col min="8208" max="8210" width="8.7109375" style="197" bestFit="1" customWidth="1"/>
    <col min="8211" max="8212" width="10" style="197" bestFit="1" customWidth="1"/>
    <col min="8213" max="8213" width="9.85546875" style="197" customWidth="1"/>
    <col min="8214" max="8214" width="9.5703125" style="197" customWidth="1"/>
    <col min="8215" max="8215" width="32.28515625" style="197" bestFit="1" customWidth="1"/>
    <col min="8216" max="8216" width="2.5703125" style="197" bestFit="1" customWidth="1"/>
    <col min="8217" max="8217" width="32.28515625" style="197" bestFit="1" customWidth="1"/>
    <col min="8218" max="8218" width="26" style="197" bestFit="1" customWidth="1"/>
    <col min="8219" max="8224" width="9.140625" style="197"/>
    <col min="8225" max="8225" width="31.42578125" style="197" bestFit="1" customWidth="1"/>
    <col min="8226" max="8226" width="10.85546875" style="197" bestFit="1" customWidth="1"/>
    <col min="8227" max="8447" width="9.140625" style="197"/>
    <col min="8448" max="8448" width="14.140625" style="197" customWidth="1"/>
    <col min="8449" max="8449" width="8.7109375" style="197" bestFit="1" customWidth="1"/>
    <col min="8450" max="8450" width="10.85546875" style="197" bestFit="1" customWidth="1"/>
    <col min="8451" max="8451" width="10.5703125" style="197" customWidth="1"/>
    <col min="8452" max="8452" width="11.28515625" style="197" customWidth="1"/>
    <col min="8453" max="8453" width="10" style="197" bestFit="1" customWidth="1"/>
    <col min="8454" max="8454" width="10.42578125" style="197" customWidth="1"/>
    <col min="8455" max="8455" width="10.140625" style="197" customWidth="1"/>
    <col min="8456" max="8456" width="8.7109375" style="197" bestFit="1" customWidth="1"/>
    <col min="8457" max="8458" width="10" style="197" bestFit="1" customWidth="1"/>
    <col min="8459" max="8461" width="8.7109375" style="197" bestFit="1" customWidth="1"/>
    <col min="8462" max="8463" width="10" style="197" bestFit="1" customWidth="1"/>
    <col min="8464" max="8466" width="8.7109375" style="197" bestFit="1" customWidth="1"/>
    <col min="8467" max="8468" width="10" style="197" bestFit="1" customWidth="1"/>
    <col min="8469" max="8469" width="9.85546875" style="197" customWidth="1"/>
    <col min="8470" max="8470" width="9.5703125" style="197" customWidth="1"/>
    <col min="8471" max="8471" width="32.28515625" style="197" bestFit="1" customWidth="1"/>
    <col min="8472" max="8472" width="2.5703125" style="197" bestFit="1" customWidth="1"/>
    <col min="8473" max="8473" width="32.28515625" style="197" bestFit="1" customWidth="1"/>
    <col min="8474" max="8474" width="26" style="197" bestFit="1" customWidth="1"/>
    <col min="8475" max="8480" width="9.140625" style="197"/>
    <col min="8481" max="8481" width="31.42578125" style="197" bestFit="1" customWidth="1"/>
    <col min="8482" max="8482" width="10.85546875" style="197" bestFit="1" customWidth="1"/>
    <col min="8483" max="8703" width="9.140625" style="197"/>
    <col min="8704" max="8704" width="14.140625" style="197" customWidth="1"/>
    <col min="8705" max="8705" width="8.7109375" style="197" bestFit="1" customWidth="1"/>
    <col min="8706" max="8706" width="10.85546875" style="197" bestFit="1" customWidth="1"/>
    <col min="8707" max="8707" width="10.5703125" style="197" customWidth="1"/>
    <col min="8708" max="8708" width="11.28515625" style="197" customWidth="1"/>
    <col min="8709" max="8709" width="10" style="197" bestFit="1" customWidth="1"/>
    <col min="8710" max="8710" width="10.42578125" style="197" customWidth="1"/>
    <col min="8711" max="8711" width="10.140625" style="197" customWidth="1"/>
    <col min="8712" max="8712" width="8.7109375" style="197" bestFit="1" customWidth="1"/>
    <col min="8713" max="8714" width="10" style="197" bestFit="1" customWidth="1"/>
    <col min="8715" max="8717" width="8.7109375" style="197" bestFit="1" customWidth="1"/>
    <col min="8718" max="8719" width="10" style="197" bestFit="1" customWidth="1"/>
    <col min="8720" max="8722" width="8.7109375" style="197" bestFit="1" customWidth="1"/>
    <col min="8723" max="8724" width="10" style="197" bestFit="1" customWidth="1"/>
    <col min="8725" max="8725" width="9.85546875" style="197" customWidth="1"/>
    <col min="8726" max="8726" width="9.5703125" style="197" customWidth="1"/>
    <col min="8727" max="8727" width="32.28515625" style="197" bestFit="1" customWidth="1"/>
    <col min="8728" max="8728" width="2.5703125" style="197" bestFit="1" customWidth="1"/>
    <col min="8729" max="8729" width="32.28515625" style="197" bestFit="1" customWidth="1"/>
    <col min="8730" max="8730" width="26" style="197" bestFit="1" customWidth="1"/>
    <col min="8731" max="8736" width="9.140625" style="197"/>
    <col min="8737" max="8737" width="31.42578125" style="197" bestFit="1" customWidth="1"/>
    <col min="8738" max="8738" width="10.85546875" style="197" bestFit="1" customWidth="1"/>
    <col min="8739" max="8959" width="9.140625" style="197"/>
    <col min="8960" max="8960" width="14.140625" style="197" customWidth="1"/>
    <col min="8961" max="8961" width="8.7109375" style="197" bestFit="1" customWidth="1"/>
    <col min="8962" max="8962" width="10.85546875" style="197" bestFit="1" customWidth="1"/>
    <col min="8963" max="8963" width="10.5703125" style="197" customWidth="1"/>
    <col min="8964" max="8964" width="11.28515625" style="197" customWidth="1"/>
    <col min="8965" max="8965" width="10" style="197" bestFit="1" customWidth="1"/>
    <col min="8966" max="8966" width="10.42578125" style="197" customWidth="1"/>
    <col min="8967" max="8967" width="10.140625" style="197" customWidth="1"/>
    <col min="8968" max="8968" width="8.7109375" style="197" bestFit="1" customWidth="1"/>
    <col min="8969" max="8970" width="10" style="197" bestFit="1" customWidth="1"/>
    <col min="8971" max="8973" width="8.7109375" style="197" bestFit="1" customWidth="1"/>
    <col min="8974" max="8975" width="10" style="197" bestFit="1" customWidth="1"/>
    <col min="8976" max="8978" width="8.7109375" style="197" bestFit="1" customWidth="1"/>
    <col min="8979" max="8980" width="10" style="197" bestFit="1" customWidth="1"/>
    <col min="8981" max="8981" width="9.85546875" style="197" customWidth="1"/>
    <col min="8982" max="8982" width="9.5703125" style="197" customWidth="1"/>
    <col min="8983" max="8983" width="32.28515625" style="197" bestFit="1" customWidth="1"/>
    <col min="8984" max="8984" width="2.5703125" style="197" bestFit="1" customWidth="1"/>
    <col min="8985" max="8985" width="32.28515625" style="197" bestFit="1" customWidth="1"/>
    <col min="8986" max="8986" width="26" style="197" bestFit="1" customWidth="1"/>
    <col min="8987" max="8992" width="9.140625" style="197"/>
    <col min="8993" max="8993" width="31.42578125" style="197" bestFit="1" customWidth="1"/>
    <col min="8994" max="8994" width="10.85546875" style="197" bestFit="1" customWidth="1"/>
    <col min="8995" max="9215" width="9.140625" style="197"/>
    <col min="9216" max="9216" width="14.140625" style="197" customWidth="1"/>
    <col min="9217" max="9217" width="8.7109375" style="197" bestFit="1" customWidth="1"/>
    <col min="9218" max="9218" width="10.85546875" style="197" bestFit="1" customWidth="1"/>
    <col min="9219" max="9219" width="10.5703125" style="197" customWidth="1"/>
    <col min="9220" max="9220" width="11.28515625" style="197" customWidth="1"/>
    <col min="9221" max="9221" width="10" style="197" bestFit="1" customWidth="1"/>
    <col min="9222" max="9222" width="10.42578125" style="197" customWidth="1"/>
    <col min="9223" max="9223" width="10.140625" style="197" customWidth="1"/>
    <col min="9224" max="9224" width="8.7109375" style="197" bestFit="1" customWidth="1"/>
    <col min="9225" max="9226" width="10" style="197" bestFit="1" customWidth="1"/>
    <col min="9227" max="9229" width="8.7109375" style="197" bestFit="1" customWidth="1"/>
    <col min="9230" max="9231" width="10" style="197" bestFit="1" customWidth="1"/>
    <col min="9232" max="9234" width="8.7109375" style="197" bestFit="1" customWidth="1"/>
    <col min="9235" max="9236" width="10" style="197" bestFit="1" customWidth="1"/>
    <col min="9237" max="9237" width="9.85546875" style="197" customWidth="1"/>
    <col min="9238" max="9238" width="9.5703125" style="197" customWidth="1"/>
    <col min="9239" max="9239" width="32.28515625" style="197" bestFit="1" customWidth="1"/>
    <col min="9240" max="9240" width="2.5703125" style="197" bestFit="1" customWidth="1"/>
    <col min="9241" max="9241" width="32.28515625" style="197" bestFit="1" customWidth="1"/>
    <col min="9242" max="9242" width="26" style="197" bestFit="1" customWidth="1"/>
    <col min="9243" max="9248" width="9.140625" style="197"/>
    <col min="9249" max="9249" width="31.42578125" style="197" bestFit="1" customWidth="1"/>
    <col min="9250" max="9250" width="10.85546875" style="197" bestFit="1" customWidth="1"/>
    <col min="9251" max="9471" width="9.140625" style="197"/>
    <col min="9472" max="9472" width="14.140625" style="197" customWidth="1"/>
    <col min="9473" max="9473" width="8.7109375" style="197" bestFit="1" customWidth="1"/>
    <col min="9474" max="9474" width="10.85546875" style="197" bestFit="1" customWidth="1"/>
    <col min="9475" max="9475" width="10.5703125" style="197" customWidth="1"/>
    <col min="9476" max="9476" width="11.28515625" style="197" customWidth="1"/>
    <col min="9477" max="9477" width="10" style="197" bestFit="1" customWidth="1"/>
    <col min="9478" max="9478" width="10.42578125" style="197" customWidth="1"/>
    <col min="9479" max="9479" width="10.140625" style="197" customWidth="1"/>
    <col min="9480" max="9480" width="8.7109375" style="197" bestFit="1" customWidth="1"/>
    <col min="9481" max="9482" width="10" style="197" bestFit="1" customWidth="1"/>
    <col min="9483" max="9485" width="8.7109375" style="197" bestFit="1" customWidth="1"/>
    <col min="9486" max="9487" width="10" style="197" bestFit="1" customWidth="1"/>
    <col min="9488" max="9490" width="8.7109375" style="197" bestFit="1" customWidth="1"/>
    <col min="9491" max="9492" width="10" style="197" bestFit="1" customWidth="1"/>
    <col min="9493" max="9493" width="9.85546875" style="197" customWidth="1"/>
    <col min="9494" max="9494" width="9.5703125" style="197" customWidth="1"/>
    <col min="9495" max="9495" width="32.28515625" style="197" bestFit="1" customWidth="1"/>
    <col min="9496" max="9496" width="2.5703125" style="197" bestFit="1" customWidth="1"/>
    <col min="9497" max="9497" width="32.28515625" style="197" bestFit="1" customWidth="1"/>
    <col min="9498" max="9498" width="26" style="197" bestFit="1" customWidth="1"/>
    <col min="9499" max="9504" width="9.140625" style="197"/>
    <col min="9505" max="9505" width="31.42578125" style="197" bestFit="1" customWidth="1"/>
    <col min="9506" max="9506" width="10.85546875" style="197" bestFit="1" customWidth="1"/>
    <col min="9507" max="9727" width="9.140625" style="197"/>
    <col min="9728" max="9728" width="14.140625" style="197" customWidth="1"/>
    <col min="9729" max="9729" width="8.7109375" style="197" bestFit="1" customWidth="1"/>
    <col min="9730" max="9730" width="10.85546875" style="197" bestFit="1" customWidth="1"/>
    <col min="9731" max="9731" width="10.5703125" style="197" customWidth="1"/>
    <col min="9732" max="9732" width="11.28515625" style="197" customWidth="1"/>
    <col min="9733" max="9733" width="10" style="197" bestFit="1" customWidth="1"/>
    <col min="9734" max="9734" width="10.42578125" style="197" customWidth="1"/>
    <col min="9735" max="9735" width="10.140625" style="197" customWidth="1"/>
    <col min="9736" max="9736" width="8.7109375" style="197" bestFit="1" customWidth="1"/>
    <col min="9737" max="9738" width="10" style="197" bestFit="1" customWidth="1"/>
    <col min="9739" max="9741" width="8.7109375" style="197" bestFit="1" customWidth="1"/>
    <col min="9742" max="9743" width="10" style="197" bestFit="1" customWidth="1"/>
    <col min="9744" max="9746" width="8.7109375" style="197" bestFit="1" customWidth="1"/>
    <col min="9747" max="9748" width="10" style="197" bestFit="1" customWidth="1"/>
    <col min="9749" max="9749" width="9.85546875" style="197" customWidth="1"/>
    <col min="9750" max="9750" width="9.5703125" style="197" customWidth="1"/>
    <col min="9751" max="9751" width="32.28515625" style="197" bestFit="1" customWidth="1"/>
    <col min="9752" max="9752" width="2.5703125" style="197" bestFit="1" customWidth="1"/>
    <col min="9753" max="9753" width="32.28515625" style="197" bestFit="1" customWidth="1"/>
    <col min="9754" max="9754" width="26" style="197" bestFit="1" customWidth="1"/>
    <col min="9755" max="9760" width="9.140625" style="197"/>
    <col min="9761" max="9761" width="31.42578125" style="197" bestFit="1" customWidth="1"/>
    <col min="9762" max="9762" width="10.85546875" style="197" bestFit="1" customWidth="1"/>
    <col min="9763" max="9983" width="9.140625" style="197"/>
    <col min="9984" max="9984" width="14.140625" style="197" customWidth="1"/>
    <col min="9985" max="9985" width="8.7109375" style="197" bestFit="1" customWidth="1"/>
    <col min="9986" max="9986" width="10.85546875" style="197" bestFit="1" customWidth="1"/>
    <col min="9987" max="9987" width="10.5703125" style="197" customWidth="1"/>
    <col min="9988" max="9988" width="11.28515625" style="197" customWidth="1"/>
    <col min="9989" max="9989" width="10" style="197" bestFit="1" customWidth="1"/>
    <col min="9990" max="9990" width="10.42578125" style="197" customWidth="1"/>
    <col min="9991" max="9991" width="10.140625" style="197" customWidth="1"/>
    <col min="9992" max="9992" width="8.7109375" style="197" bestFit="1" customWidth="1"/>
    <col min="9993" max="9994" width="10" style="197" bestFit="1" customWidth="1"/>
    <col min="9995" max="9997" width="8.7109375" style="197" bestFit="1" customWidth="1"/>
    <col min="9998" max="9999" width="10" style="197" bestFit="1" customWidth="1"/>
    <col min="10000" max="10002" width="8.7109375" style="197" bestFit="1" customWidth="1"/>
    <col min="10003" max="10004" width="10" style="197" bestFit="1" customWidth="1"/>
    <col min="10005" max="10005" width="9.85546875" style="197" customWidth="1"/>
    <col min="10006" max="10006" width="9.5703125" style="197" customWidth="1"/>
    <col min="10007" max="10007" width="32.28515625" style="197" bestFit="1" customWidth="1"/>
    <col min="10008" max="10008" width="2.5703125" style="197" bestFit="1" customWidth="1"/>
    <col min="10009" max="10009" width="32.28515625" style="197" bestFit="1" customWidth="1"/>
    <col min="10010" max="10010" width="26" style="197" bestFit="1" customWidth="1"/>
    <col min="10011" max="10016" width="9.140625" style="197"/>
    <col min="10017" max="10017" width="31.42578125" style="197" bestFit="1" customWidth="1"/>
    <col min="10018" max="10018" width="10.85546875" style="197" bestFit="1" customWidth="1"/>
    <col min="10019" max="10239" width="9.140625" style="197"/>
    <col min="10240" max="10240" width="14.140625" style="197" customWidth="1"/>
    <col min="10241" max="10241" width="8.7109375" style="197" bestFit="1" customWidth="1"/>
    <col min="10242" max="10242" width="10.85546875" style="197" bestFit="1" customWidth="1"/>
    <col min="10243" max="10243" width="10.5703125" style="197" customWidth="1"/>
    <col min="10244" max="10244" width="11.28515625" style="197" customWidth="1"/>
    <col min="10245" max="10245" width="10" style="197" bestFit="1" customWidth="1"/>
    <col min="10246" max="10246" width="10.42578125" style="197" customWidth="1"/>
    <col min="10247" max="10247" width="10.140625" style="197" customWidth="1"/>
    <col min="10248" max="10248" width="8.7109375" style="197" bestFit="1" customWidth="1"/>
    <col min="10249" max="10250" width="10" style="197" bestFit="1" customWidth="1"/>
    <col min="10251" max="10253" width="8.7109375" style="197" bestFit="1" customWidth="1"/>
    <col min="10254" max="10255" width="10" style="197" bestFit="1" customWidth="1"/>
    <col min="10256" max="10258" width="8.7109375" style="197" bestFit="1" customWidth="1"/>
    <col min="10259" max="10260" width="10" style="197" bestFit="1" customWidth="1"/>
    <col min="10261" max="10261" width="9.85546875" style="197" customWidth="1"/>
    <col min="10262" max="10262" width="9.5703125" style="197" customWidth="1"/>
    <col min="10263" max="10263" width="32.28515625" style="197" bestFit="1" customWidth="1"/>
    <col min="10264" max="10264" width="2.5703125" style="197" bestFit="1" customWidth="1"/>
    <col min="10265" max="10265" width="32.28515625" style="197" bestFit="1" customWidth="1"/>
    <col min="10266" max="10266" width="26" style="197" bestFit="1" customWidth="1"/>
    <col min="10267" max="10272" width="9.140625" style="197"/>
    <col min="10273" max="10273" width="31.42578125" style="197" bestFit="1" customWidth="1"/>
    <col min="10274" max="10274" width="10.85546875" style="197" bestFit="1" customWidth="1"/>
    <col min="10275" max="10495" width="9.140625" style="197"/>
    <col min="10496" max="10496" width="14.140625" style="197" customWidth="1"/>
    <col min="10497" max="10497" width="8.7109375" style="197" bestFit="1" customWidth="1"/>
    <col min="10498" max="10498" width="10.85546875" style="197" bestFit="1" customWidth="1"/>
    <col min="10499" max="10499" width="10.5703125" style="197" customWidth="1"/>
    <col min="10500" max="10500" width="11.28515625" style="197" customWidth="1"/>
    <col min="10501" max="10501" width="10" style="197" bestFit="1" customWidth="1"/>
    <col min="10502" max="10502" width="10.42578125" style="197" customWidth="1"/>
    <col min="10503" max="10503" width="10.140625" style="197" customWidth="1"/>
    <col min="10504" max="10504" width="8.7109375" style="197" bestFit="1" customWidth="1"/>
    <col min="10505" max="10506" width="10" style="197" bestFit="1" customWidth="1"/>
    <col min="10507" max="10509" width="8.7109375" style="197" bestFit="1" customWidth="1"/>
    <col min="10510" max="10511" width="10" style="197" bestFit="1" customWidth="1"/>
    <col min="10512" max="10514" width="8.7109375" style="197" bestFit="1" customWidth="1"/>
    <col min="10515" max="10516" width="10" style="197" bestFit="1" customWidth="1"/>
    <col min="10517" max="10517" width="9.85546875" style="197" customWidth="1"/>
    <col min="10518" max="10518" width="9.5703125" style="197" customWidth="1"/>
    <col min="10519" max="10519" width="32.28515625" style="197" bestFit="1" customWidth="1"/>
    <col min="10520" max="10520" width="2.5703125" style="197" bestFit="1" customWidth="1"/>
    <col min="10521" max="10521" width="32.28515625" style="197" bestFit="1" customWidth="1"/>
    <col min="10522" max="10522" width="26" style="197" bestFit="1" customWidth="1"/>
    <col min="10523" max="10528" width="9.140625" style="197"/>
    <col min="10529" max="10529" width="31.42578125" style="197" bestFit="1" customWidth="1"/>
    <col min="10530" max="10530" width="10.85546875" style="197" bestFit="1" customWidth="1"/>
    <col min="10531" max="10751" width="9.140625" style="197"/>
    <col min="10752" max="10752" width="14.140625" style="197" customWidth="1"/>
    <col min="10753" max="10753" width="8.7109375" style="197" bestFit="1" customWidth="1"/>
    <col min="10754" max="10754" width="10.85546875" style="197" bestFit="1" customWidth="1"/>
    <col min="10755" max="10755" width="10.5703125" style="197" customWidth="1"/>
    <col min="10756" max="10756" width="11.28515625" style="197" customWidth="1"/>
    <col min="10757" max="10757" width="10" style="197" bestFit="1" customWidth="1"/>
    <col min="10758" max="10758" width="10.42578125" style="197" customWidth="1"/>
    <col min="10759" max="10759" width="10.140625" style="197" customWidth="1"/>
    <col min="10760" max="10760" width="8.7109375" style="197" bestFit="1" customWidth="1"/>
    <col min="10761" max="10762" width="10" style="197" bestFit="1" customWidth="1"/>
    <col min="10763" max="10765" width="8.7109375" style="197" bestFit="1" customWidth="1"/>
    <col min="10766" max="10767" width="10" style="197" bestFit="1" customWidth="1"/>
    <col min="10768" max="10770" width="8.7109375" style="197" bestFit="1" customWidth="1"/>
    <col min="10771" max="10772" width="10" style="197" bestFit="1" customWidth="1"/>
    <col min="10773" max="10773" width="9.85546875" style="197" customWidth="1"/>
    <col min="10774" max="10774" width="9.5703125" style="197" customWidth="1"/>
    <col min="10775" max="10775" width="32.28515625" style="197" bestFit="1" customWidth="1"/>
    <col min="10776" max="10776" width="2.5703125" style="197" bestFit="1" customWidth="1"/>
    <col min="10777" max="10777" width="32.28515625" style="197" bestFit="1" customWidth="1"/>
    <col min="10778" max="10778" width="26" style="197" bestFit="1" customWidth="1"/>
    <col min="10779" max="10784" width="9.140625" style="197"/>
    <col min="10785" max="10785" width="31.42578125" style="197" bestFit="1" customWidth="1"/>
    <col min="10786" max="10786" width="10.85546875" style="197" bestFit="1" customWidth="1"/>
    <col min="10787" max="11007" width="9.140625" style="197"/>
    <col min="11008" max="11008" width="14.140625" style="197" customWidth="1"/>
    <col min="11009" max="11009" width="8.7109375" style="197" bestFit="1" customWidth="1"/>
    <col min="11010" max="11010" width="10.85546875" style="197" bestFit="1" customWidth="1"/>
    <col min="11011" max="11011" width="10.5703125" style="197" customWidth="1"/>
    <col min="11012" max="11012" width="11.28515625" style="197" customWidth="1"/>
    <col min="11013" max="11013" width="10" style="197" bestFit="1" customWidth="1"/>
    <col min="11014" max="11014" width="10.42578125" style="197" customWidth="1"/>
    <col min="11015" max="11015" width="10.140625" style="197" customWidth="1"/>
    <col min="11016" max="11016" width="8.7109375" style="197" bestFit="1" customWidth="1"/>
    <col min="11017" max="11018" width="10" style="197" bestFit="1" customWidth="1"/>
    <col min="11019" max="11021" width="8.7109375" style="197" bestFit="1" customWidth="1"/>
    <col min="11022" max="11023" width="10" style="197" bestFit="1" customWidth="1"/>
    <col min="11024" max="11026" width="8.7109375" style="197" bestFit="1" customWidth="1"/>
    <col min="11027" max="11028" width="10" style="197" bestFit="1" customWidth="1"/>
    <col min="11029" max="11029" width="9.85546875" style="197" customWidth="1"/>
    <col min="11030" max="11030" width="9.5703125" style="197" customWidth="1"/>
    <col min="11031" max="11031" width="32.28515625" style="197" bestFit="1" customWidth="1"/>
    <col min="11032" max="11032" width="2.5703125" style="197" bestFit="1" customWidth="1"/>
    <col min="11033" max="11033" width="32.28515625" style="197" bestFit="1" customWidth="1"/>
    <col min="11034" max="11034" width="26" style="197" bestFit="1" customWidth="1"/>
    <col min="11035" max="11040" width="9.140625" style="197"/>
    <col min="11041" max="11041" width="31.42578125" style="197" bestFit="1" customWidth="1"/>
    <col min="11042" max="11042" width="10.85546875" style="197" bestFit="1" customWidth="1"/>
    <col min="11043" max="11263" width="9.140625" style="197"/>
    <col min="11264" max="11264" width="14.140625" style="197" customWidth="1"/>
    <col min="11265" max="11265" width="8.7109375" style="197" bestFit="1" customWidth="1"/>
    <col min="11266" max="11266" width="10.85546875" style="197" bestFit="1" customWidth="1"/>
    <col min="11267" max="11267" width="10.5703125" style="197" customWidth="1"/>
    <col min="11268" max="11268" width="11.28515625" style="197" customWidth="1"/>
    <col min="11269" max="11269" width="10" style="197" bestFit="1" customWidth="1"/>
    <col min="11270" max="11270" width="10.42578125" style="197" customWidth="1"/>
    <col min="11271" max="11271" width="10.140625" style="197" customWidth="1"/>
    <col min="11272" max="11272" width="8.7109375" style="197" bestFit="1" customWidth="1"/>
    <col min="11273" max="11274" width="10" style="197" bestFit="1" customWidth="1"/>
    <col min="11275" max="11277" width="8.7109375" style="197" bestFit="1" customWidth="1"/>
    <col min="11278" max="11279" width="10" style="197" bestFit="1" customWidth="1"/>
    <col min="11280" max="11282" width="8.7109375" style="197" bestFit="1" customWidth="1"/>
    <col min="11283" max="11284" width="10" style="197" bestFit="1" customWidth="1"/>
    <col min="11285" max="11285" width="9.85546875" style="197" customWidth="1"/>
    <col min="11286" max="11286" width="9.5703125" style="197" customWidth="1"/>
    <col min="11287" max="11287" width="32.28515625" style="197" bestFit="1" customWidth="1"/>
    <col min="11288" max="11288" width="2.5703125" style="197" bestFit="1" customWidth="1"/>
    <col min="11289" max="11289" width="32.28515625" style="197" bestFit="1" customWidth="1"/>
    <col min="11290" max="11290" width="26" style="197" bestFit="1" customWidth="1"/>
    <col min="11291" max="11296" width="9.140625" style="197"/>
    <col min="11297" max="11297" width="31.42578125" style="197" bestFit="1" customWidth="1"/>
    <col min="11298" max="11298" width="10.85546875" style="197" bestFit="1" customWidth="1"/>
    <col min="11299" max="11519" width="9.140625" style="197"/>
    <col min="11520" max="11520" width="14.140625" style="197" customWidth="1"/>
    <col min="11521" max="11521" width="8.7109375" style="197" bestFit="1" customWidth="1"/>
    <col min="11522" max="11522" width="10.85546875" style="197" bestFit="1" customWidth="1"/>
    <col min="11523" max="11523" width="10.5703125" style="197" customWidth="1"/>
    <col min="11524" max="11524" width="11.28515625" style="197" customWidth="1"/>
    <col min="11525" max="11525" width="10" style="197" bestFit="1" customWidth="1"/>
    <col min="11526" max="11526" width="10.42578125" style="197" customWidth="1"/>
    <col min="11527" max="11527" width="10.140625" style="197" customWidth="1"/>
    <col min="11528" max="11528" width="8.7109375" style="197" bestFit="1" customWidth="1"/>
    <col min="11529" max="11530" width="10" style="197" bestFit="1" customWidth="1"/>
    <col min="11531" max="11533" width="8.7109375" style="197" bestFit="1" customWidth="1"/>
    <col min="11534" max="11535" width="10" style="197" bestFit="1" customWidth="1"/>
    <col min="11536" max="11538" width="8.7109375" style="197" bestFit="1" customWidth="1"/>
    <col min="11539" max="11540" width="10" style="197" bestFit="1" customWidth="1"/>
    <col min="11541" max="11541" width="9.85546875" style="197" customWidth="1"/>
    <col min="11542" max="11542" width="9.5703125" style="197" customWidth="1"/>
    <col min="11543" max="11543" width="32.28515625" style="197" bestFit="1" customWidth="1"/>
    <col min="11544" max="11544" width="2.5703125" style="197" bestFit="1" customWidth="1"/>
    <col min="11545" max="11545" width="32.28515625" style="197" bestFit="1" customWidth="1"/>
    <col min="11546" max="11546" width="26" style="197" bestFit="1" customWidth="1"/>
    <col min="11547" max="11552" width="9.140625" style="197"/>
    <col min="11553" max="11553" width="31.42578125" style="197" bestFit="1" customWidth="1"/>
    <col min="11554" max="11554" width="10.85546875" style="197" bestFit="1" customWidth="1"/>
    <col min="11555" max="11775" width="9.140625" style="197"/>
    <col min="11776" max="11776" width="14.140625" style="197" customWidth="1"/>
    <col min="11777" max="11777" width="8.7109375" style="197" bestFit="1" customWidth="1"/>
    <col min="11778" max="11778" width="10.85546875" style="197" bestFit="1" customWidth="1"/>
    <col min="11779" max="11779" width="10.5703125" style="197" customWidth="1"/>
    <col min="11780" max="11780" width="11.28515625" style="197" customWidth="1"/>
    <col min="11781" max="11781" width="10" style="197" bestFit="1" customWidth="1"/>
    <col min="11782" max="11782" width="10.42578125" style="197" customWidth="1"/>
    <col min="11783" max="11783" width="10.140625" style="197" customWidth="1"/>
    <col min="11784" max="11784" width="8.7109375" style="197" bestFit="1" customWidth="1"/>
    <col min="11785" max="11786" width="10" style="197" bestFit="1" customWidth="1"/>
    <col min="11787" max="11789" width="8.7109375" style="197" bestFit="1" customWidth="1"/>
    <col min="11790" max="11791" width="10" style="197" bestFit="1" customWidth="1"/>
    <col min="11792" max="11794" width="8.7109375" style="197" bestFit="1" customWidth="1"/>
    <col min="11795" max="11796" width="10" style="197" bestFit="1" customWidth="1"/>
    <col min="11797" max="11797" width="9.85546875" style="197" customWidth="1"/>
    <col min="11798" max="11798" width="9.5703125" style="197" customWidth="1"/>
    <col min="11799" max="11799" width="32.28515625" style="197" bestFit="1" customWidth="1"/>
    <col min="11800" max="11800" width="2.5703125" style="197" bestFit="1" customWidth="1"/>
    <col min="11801" max="11801" width="32.28515625" style="197" bestFit="1" customWidth="1"/>
    <col min="11802" max="11802" width="26" style="197" bestFit="1" customWidth="1"/>
    <col min="11803" max="11808" width="9.140625" style="197"/>
    <col min="11809" max="11809" width="31.42578125" style="197" bestFit="1" customWidth="1"/>
    <col min="11810" max="11810" width="10.85546875" style="197" bestFit="1" customWidth="1"/>
    <col min="11811" max="12031" width="9.140625" style="197"/>
    <col min="12032" max="12032" width="14.140625" style="197" customWidth="1"/>
    <col min="12033" max="12033" width="8.7109375" style="197" bestFit="1" customWidth="1"/>
    <col min="12034" max="12034" width="10.85546875" style="197" bestFit="1" customWidth="1"/>
    <col min="12035" max="12035" width="10.5703125" style="197" customWidth="1"/>
    <col min="12036" max="12036" width="11.28515625" style="197" customWidth="1"/>
    <col min="12037" max="12037" width="10" style="197" bestFit="1" customWidth="1"/>
    <col min="12038" max="12038" width="10.42578125" style="197" customWidth="1"/>
    <col min="12039" max="12039" width="10.140625" style="197" customWidth="1"/>
    <col min="12040" max="12040" width="8.7109375" style="197" bestFit="1" customWidth="1"/>
    <col min="12041" max="12042" width="10" style="197" bestFit="1" customWidth="1"/>
    <col min="12043" max="12045" width="8.7109375" style="197" bestFit="1" customWidth="1"/>
    <col min="12046" max="12047" width="10" style="197" bestFit="1" customWidth="1"/>
    <col min="12048" max="12050" width="8.7109375" style="197" bestFit="1" customWidth="1"/>
    <col min="12051" max="12052" width="10" style="197" bestFit="1" customWidth="1"/>
    <col min="12053" max="12053" width="9.85546875" style="197" customWidth="1"/>
    <col min="12054" max="12054" width="9.5703125" style="197" customWidth="1"/>
    <col min="12055" max="12055" width="32.28515625" style="197" bestFit="1" customWidth="1"/>
    <col min="12056" max="12056" width="2.5703125" style="197" bestFit="1" customWidth="1"/>
    <col min="12057" max="12057" width="32.28515625" style="197" bestFit="1" customWidth="1"/>
    <col min="12058" max="12058" width="26" style="197" bestFit="1" customWidth="1"/>
    <col min="12059" max="12064" width="9.140625" style="197"/>
    <col min="12065" max="12065" width="31.42578125" style="197" bestFit="1" customWidth="1"/>
    <col min="12066" max="12066" width="10.85546875" style="197" bestFit="1" customWidth="1"/>
    <col min="12067" max="12287" width="9.140625" style="197"/>
    <col min="12288" max="12288" width="14.140625" style="197" customWidth="1"/>
    <col min="12289" max="12289" width="8.7109375" style="197" bestFit="1" customWidth="1"/>
    <col min="12290" max="12290" width="10.85546875" style="197" bestFit="1" customWidth="1"/>
    <col min="12291" max="12291" width="10.5703125" style="197" customWidth="1"/>
    <col min="12292" max="12292" width="11.28515625" style="197" customWidth="1"/>
    <col min="12293" max="12293" width="10" style="197" bestFit="1" customWidth="1"/>
    <col min="12294" max="12294" width="10.42578125" style="197" customWidth="1"/>
    <col min="12295" max="12295" width="10.140625" style="197" customWidth="1"/>
    <col min="12296" max="12296" width="8.7109375" style="197" bestFit="1" customWidth="1"/>
    <col min="12297" max="12298" width="10" style="197" bestFit="1" customWidth="1"/>
    <col min="12299" max="12301" width="8.7109375" style="197" bestFit="1" customWidth="1"/>
    <col min="12302" max="12303" width="10" style="197" bestFit="1" customWidth="1"/>
    <col min="12304" max="12306" width="8.7109375" style="197" bestFit="1" customWidth="1"/>
    <col min="12307" max="12308" width="10" style="197" bestFit="1" customWidth="1"/>
    <col min="12309" max="12309" width="9.85546875" style="197" customWidth="1"/>
    <col min="12310" max="12310" width="9.5703125" style="197" customWidth="1"/>
    <col min="12311" max="12311" width="32.28515625" style="197" bestFit="1" customWidth="1"/>
    <col min="12312" max="12312" width="2.5703125" style="197" bestFit="1" customWidth="1"/>
    <col min="12313" max="12313" width="32.28515625" style="197" bestFit="1" customWidth="1"/>
    <col min="12314" max="12314" width="26" style="197" bestFit="1" customWidth="1"/>
    <col min="12315" max="12320" width="9.140625" style="197"/>
    <col min="12321" max="12321" width="31.42578125" style="197" bestFit="1" customWidth="1"/>
    <col min="12322" max="12322" width="10.85546875" style="197" bestFit="1" customWidth="1"/>
    <col min="12323" max="12543" width="9.140625" style="197"/>
    <col min="12544" max="12544" width="14.140625" style="197" customWidth="1"/>
    <col min="12545" max="12545" width="8.7109375" style="197" bestFit="1" customWidth="1"/>
    <col min="12546" max="12546" width="10.85546875" style="197" bestFit="1" customWidth="1"/>
    <col min="12547" max="12547" width="10.5703125" style="197" customWidth="1"/>
    <col min="12548" max="12548" width="11.28515625" style="197" customWidth="1"/>
    <col min="12549" max="12549" width="10" style="197" bestFit="1" customWidth="1"/>
    <col min="12550" max="12550" width="10.42578125" style="197" customWidth="1"/>
    <col min="12551" max="12551" width="10.140625" style="197" customWidth="1"/>
    <col min="12552" max="12552" width="8.7109375" style="197" bestFit="1" customWidth="1"/>
    <col min="12553" max="12554" width="10" style="197" bestFit="1" customWidth="1"/>
    <col min="12555" max="12557" width="8.7109375" style="197" bestFit="1" customWidth="1"/>
    <col min="12558" max="12559" width="10" style="197" bestFit="1" customWidth="1"/>
    <col min="12560" max="12562" width="8.7109375" style="197" bestFit="1" customWidth="1"/>
    <col min="12563" max="12564" width="10" style="197" bestFit="1" customWidth="1"/>
    <col min="12565" max="12565" width="9.85546875" style="197" customWidth="1"/>
    <col min="12566" max="12566" width="9.5703125" style="197" customWidth="1"/>
    <col min="12567" max="12567" width="32.28515625" style="197" bestFit="1" customWidth="1"/>
    <col min="12568" max="12568" width="2.5703125" style="197" bestFit="1" customWidth="1"/>
    <col min="12569" max="12569" width="32.28515625" style="197" bestFit="1" customWidth="1"/>
    <col min="12570" max="12570" width="26" style="197" bestFit="1" customWidth="1"/>
    <col min="12571" max="12576" width="9.140625" style="197"/>
    <col min="12577" max="12577" width="31.42578125" style="197" bestFit="1" customWidth="1"/>
    <col min="12578" max="12578" width="10.85546875" style="197" bestFit="1" customWidth="1"/>
    <col min="12579" max="12799" width="9.140625" style="197"/>
    <col min="12800" max="12800" width="14.140625" style="197" customWidth="1"/>
    <col min="12801" max="12801" width="8.7109375" style="197" bestFit="1" customWidth="1"/>
    <col min="12802" max="12802" width="10.85546875" style="197" bestFit="1" customWidth="1"/>
    <col min="12803" max="12803" width="10.5703125" style="197" customWidth="1"/>
    <col min="12804" max="12804" width="11.28515625" style="197" customWidth="1"/>
    <col min="12805" max="12805" width="10" style="197" bestFit="1" customWidth="1"/>
    <col min="12806" max="12806" width="10.42578125" style="197" customWidth="1"/>
    <col min="12807" max="12807" width="10.140625" style="197" customWidth="1"/>
    <col min="12808" max="12808" width="8.7109375" style="197" bestFit="1" customWidth="1"/>
    <col min="12809" max="12810" width="10" style="197" bestFit="1" customWidth="1"/>
    <col min="12811" max="12813" width="8.7109375" style="197" bestFit="1" customWidth="1"/>
    <col min="12814" max="12815" width="10" style="197" bestFit="1" customWidth="1"/>
    <col min="12816" max="12818" width="8.7109375" style="197" bestFit="1" customWidth="1"/>
    <col min="12819" max="12820" width="10" style="197" bestFit="1" customWidth="1"/>
    <col min="12821" max="12821" width="9.85546875" style="197" customWidth="1"/>
    <col min="12822" max="12822" width="9.5703125" style="197" customWidth="1"/>
    <col min="12823" max="12823" width="32.28515625" style="197" bestFit="1" customWidth="1"/>
    <col min="12824" max="12824" width="2.5703125" style="197" bestFit="1" customWidth="1"/>
    <col min="12825" max="12825" width="32.28515625" style="197" bestFit="1" customWidth="1"/>
    <col min="12826" max="12826" width="26" style="197" bestFit="1" customWidth="1"/>
    <col min="12827" max="12832" width="9.140625" style="197"/>
    <col min="12833" max="12833" width="31.42578125" style="197" bestFit="1" customWidth="1"/>
    <col min="12834" max="12834" width="10.85546875" style="197" bestFit="1" customWidth="1"/>
    <col min="12835" max="13055" width="9.140625" style="197"/>
    <col min="13056" max="13056" width="14.140625" style="197" customWidth="1"/>
    <col min="13057" max="13057" width="8.7109375" style="197" bestFit="1" customWidth="1"/>
    <col min="13058" max="13058" width="10.85546875" style="197" bestFit="1" customWidth="1"/>
    <col min="13059" max="13059" width="10.5703125" style="197" customWidth="1"/>
    <col min="13060" max="13060" width="11.28515625" style="197" customWidth="1"/>
    <col min="13061" max="13061" width="10" style="197" bestFit="1" customWidth="1"/>
    <col min="13062" max="13062" width="10.42578125" style="197" customWidth="1"/>
    <col min="13063" max="13063" width="10.140625" style="197" customWidth="1"/>
    <col min="13064" max="13064" width="8.7109375" style="197" bestFit="1" customWidth="1"/>
    <col min="13065" max="13066" width="10" style="197" bestFit="1" customWidth="1"/>
    <col min="13067" max="13069" width="8.7109375" style="197" bestFit="1" customWidth="1"/>
    <col min="13070" max="13071" width="10" style="197" bestFit="1" customWidth="1"/>
    <col min="13072" max="13074" width="8.7109375" style="197" bestFit="1" customWidth="1"/>
    <col min="13075" max="13076" width="10" style="197" bestFit="1" customWidth="1"/>
    <col min="13077" max="13077" width="9.85546875" style="197" customWidth="1"/>
    <col min="13078" max="13078" width="9.5703125" style="197" customWidth="1"/>
    <col min="13079" max="13079" width="32.28515625" style="197" bestFit="1" customWidth="1"/>
    <col min="13080" max="13080" width="2.5703125" style="197" bestFit="1" customWidth="1"/>
    <col min="13081" max="13081" width="32.28515625" style="197" bestFit="1" customWidth="1"/>
    <col min="13082" max="13082" width="26" style="197" bestFit="1" customWidth="1"/>
    <col min="13083" max="13088" width="9.140625" style="197"/>
    <col min="13089" max="13089" width="31.42578125" style="197" bestFit="1" customWidth="1"/>
    <col min="13090" max="13090" width="10.85546875" style="197" bestFit="1" customWidth="1"/>
    <col min="13091" max="13311" width="9.140625" style="197"/>
    <col min="13312" max="13312" width="14.140625" style="197" customWidth="1"/>
    <col min="13313" max="13313" width="8.7109375" style="197" bestFit="1" customWidth="1"/>
    <col min="13314" max="13314" width="10.85546875" style="197" bestFit="1" customWidth="1"/>
    <col min="13315" max="13315" width="10.5703125" style="197" customWidth="1"/>
    <col min="13316" max="13316" width="11.28515625" style="197" customWidth="1"/>
    <col min="13317" max="13317" width="10" style="197" bestFit="1" customWidth="1"/>
    <col min="13318" max="13318" width="10.42578125" style="197" customWidth="1"/>
    <col min="13319" max="13319" width="10.140625" style="197" customWidth="1"/>
    <col min="13320" max="13320" width="8.7109375" style="197" bestFit="1" customWidth="1"/>
    <col min="13321" max="13322" width="10" style="197" bestFit="1" customWidth="1"/>
    <col min="13323" max="13325" width="8.7109375" style="197" bestFit="1" customWidth="1"/>
    <col min="13326" max="13327" width="10" style="197" bestFit="1" customWidth="1"/>
    <col min="13328" max="13330" width="8.7109375" style="197" bestFit="1" customWidth="1"/>
    <col min="13331" max="13332" width="10" style="197" bestFit="1" customWidth="1"/>
    <col min="13333" max="13333" width="9.85546875" style="197" customWidth="1"/>
    <col min="13334" max="13334" width="9.5703125" style="197" customWidth="1"/>
    <col min="13335" max="13335" width="32.28515625" style="197" bestFit="1" customWidth="1"/>
    <col min="13336" max="13336" width="2.5703125" style="197" bestFit="1" customWidth="1"/>
    <col min="13337" max="13337" width="32.28515625" style="197" bestFit="1" customWidth="1"/>
    <col min="13338" max="13338" width="26" style="197" bestFit="1" customWidth="1"/>
    <col min="13339" max="13344" width="9.140625" style="197"/>
    <col min="13345" max="13345" width="31.42578125" style="197" bestFit="1" customWidth="1"/>
    <col min="13346" max="13346" width="10.85546875" style="197" bestFit="1" customWidth="1"/>
    <col min="13347" max="13567" width="9.140625" style="197"/>
    <col min="13568" max="13568" width="14.140625" style="197" customWidth="1"/>
    <col min="13569" max="13569" width="8.7109375" style="197" bestFit="1" customWidth="1"/>
    <col min="13570" max="13570" width="10.85546875" style="197" bestFit="1" customWidth="1"/>
    <col min="13571" max="13571" width="10.5703125" style="197" customWidth="1"/>
    <col min="13572" max="13572" width="11.28515625" style="197" customWidth="1"/>
    <col min="13573" max="13573" width="10" style="197" bestFit="1" customWidth="1"/>
    <col min="13574" max="13574" width="10.42578125" style="197" customWidth="1"/>
    <col min="13575" max="13575" width="10.140625" style="197" customWidth="1"/>
    <col min="13576" max="13576" width="8.7109375" style="197" bestFit="1" customWidth="1"/>
    <col min="13577" max="13578" width="10" style="197" bestFit="1" customWidth="1"/>
    <col min="13579" max="13581" width="8.7109375" style="197" bestFit="1" customWidth="1"/>
    <col min="13582" max="13583" width="10" style="197" bestFit="1" customWidth="1"/>
    <col min="13584" max="13586" width="8.7109375" style="197" bestFit="1" customWidth="1"/>
    <col min="13587" max="13588" width="10" style="197" bestFit="1" customWidth="1"/>
    <col min="13589" max="13589" width="9.85546875" style="197" customWidth="1"/>
    <col min="13590" max="13590" width="9.5703125" style="197" customWidth="1"/>
    <col min="13591" max="13591" width="32.28515625" style="197" bestFit="1" customWidth="1"/>
    <col min="13592" max="13592" width="2.5703125" style="197" bestFit="1" customWidth="1"/>
    <col min="13593" max="13593" width="32.28515625" style="197" bestFit="1" customWidth="1"/>
    <col min="13594" max="13594" width="26" style="197" bestFit="1" customWidth="1"/>
    <col min="13595" max="13600" width="9.140625" style="197"/>
    <col min="13601" max="13601" width="31.42578125" style="197" bestFit="1" customWidth="1"/>
    <col min="13602" max="13602" width="10.85546875" style="197" bestFit="1" customWidth="1"/>
    <col min="13603" max="13823" width="9.140625" style="197"/>
    <col min="13824" max="13824" width="14.140625" style="197" customWidth="1"/>
    <col min="13825" max="13825" width="8.7109375" style="197" bestFit="1" customWidth="1"/>
    <col min="13826" max="13826" width="10.85546875" style="197" bestFit="1" customWidth="1"/>
    <col min="13827" max="13827" width="10.5703125" style="197" customWidth="1"/>
    <col min="13828" max="13828" width="11.28515625" style="197" customWidth="1"/>
    <col min="13829" max="13829" width="10" style="197" bestFit="1" customWidth="1"/>
    <col min="13830" max="13830" width="10.42578125" style="197" customWidth="1"/>
    <col min="13831" max="13831" width="10.140625" style="197" customWidth="1"/>
    <col min="13832" max="13832" width="8.7109375" style="197" bestFit="1" customWidth="1"/>
    <col min="13833" max="13834" width="10" style="197" bestFit="1" customWidth="1"/>
    <col min="13835" max="13837" width="8.7109375" style="197" bestFit="1" customWidth="1"/>
    <col min="13838" max="13839" width="10" style="197" bestFit="1" customWidth="1"/>
    <col min="13840" max="13842" width="8.7109375" style="197" bestFit="1" customWidth="1"/>
    <col min="13843" max="13844" width="10" style="197" bestFit="1" customWidth="1"/>
    <col min="13845" max="13845" width="9.85546875" style="197" customWidth="1"/>
    <col min="13846" max="13846" width="9.5703125" style="197" customWidth="1"/>
    <col min="13847" max="13847" width="32.28515625" style="197" bestFit="1" customWidth="1"/>
    <col min="13848" max="13848" width="2.5703125" style="197" bestFit="1" customWidth="1"/>
    <col min="13849" max="13849" width="32.28515625" style="197" bestFit="1" customWidth="1"/>
    <col min="13850" max="13850" width="26" style="197" bestFit="1" customWidth="1"/>
    <col min="13851" max="13856" width="9.140625" style="197"/>
    <col min="13857" max="13857" width="31.42578125" style="197" bestFit="1" customWidth="1"/>
    <col min="13858" max="13858" width="10.85546875" style="197" bestFit="1" customWidth="1"/>
    <col min="13859" max="14079" width="9.140625" style="197"/>
    <col min="14080" max="14080" width="14.140625" style="197" customWidth="1"/>
    <col min="14081" max="14081" width="8.7109375" style="197" bestFit="1" customWidth="1"/>
    <col min="14082" max="14082" width="10.85546875" style="197" bestFit="1" customWidth="1"/>
    <col min="14083" max="14083" width="10.5703125" style="197" customWidth="1"/>
    <col min="14084" max="14084" width="11.28515625" style="197" customWidth="1"/>
    <col min="14085" max="14085" width="10" style="197" bestFit="1" customWidth="1"/>
    <col min="14086" max="14086" width="10.42578125" style="197" customWidth="1"/>
    <col min="14087" max="14087" width="10.140625" style="197" customWidth="1"/>
    <col min="14088" max="14088" width="8.7109375" style="197" bestFit="1" customWidth="1"/>
    <col min="14089" max="14090" width="10" style="197" bestFit="1" customWidth="1"/>
    <col min="14091" max="14093" width="8.7109375" style="197" bestFit="1" customWidth="1"/>
    <col min="14094" max="14095" width="10" style="197" bestFit="1" customWidth="1"/>
    <col min="14096" max="14098" width="8.7109375" style="197" bestFit="1" customWidth="1"/>
    <col min="14099" max="14100" width="10" style="197" bestFit="1" customWidth="1"/>
    <col min="14101" max="14101" width="9.85546875" style="197" customWidth="1"/>
    <col min="14102" max="14102" width="9.5703125" style="197" customWidth="1"/>
    <col min="14103" max="14103" width="32.28515625" style="197" bestFit="1" customWidth="1"/>
    <col min="14104" max="14104" width="2.5703125" style="197" bestFit="1" customWidth="1"/>
    <col min="14105" max="14105" width="32.28515625" style="197" bestFit="1" customWidth="1"/>
    <col min="14106" max="14106" width="26" style="197" bestFit="1" customWidth="1"/>
    <col min="14107" max="14112" width="9.140625" style="197"/>
    <col min="14113" max="14113" width="31.42578125" style="197" bestFit="1" customWidth="1"/>
    <col min="14114" max="14114" width="10.85546875" style="197" bestFit="1" customWidth="1"/>
    <col min="14115" max="14335" width="9.140625" style="197"/>
    <col min="14336" max="14336" width="14.140625" style="197" customWidth="1"/>
    <col min="14337" max="14337" width="8.7109375" style="197" bestFit="1" customWidth="1"/>
    <col min="14338" max="14338" width="10.85546875" style="197" bestFit="1" customWidth="1"/>
    <col min="14339" max="14339" width="10.5703125" style="197" customWidth="1"/>
    <col min="14340" max="14340" width="11.28515625" style="197" customWidth="1"/>
    <col min="14341" max="14341" width="10" style="197" bestFit="1" customWidth="1"/>
    <col min="14342" max="14342" width="10.42578125" style="197" customWidth="1"/>
    <col min="14343" max="14343" width="10.140625" style="197" customWidth="1"/>
    <col min="14344" max="14344" width="8.7109375" style="197" bestFit="1" customWidth="1"/>
    <col min="14345" max="14346" width="10" style="197" bestFit="1" customWidth="1"/>
    <col min="14347" max="14349" width="8.7109375" style="197" bestFit="1" customWidth="1"/>
    <col min="14350" max="14351" width="10" style="197" bestFit="1" customWidth="1"/>
    <col min="14352" max="14354" width="8.7109375" style="197" bestFit="1" customWidth="1"/>
    <col min="14355" max="14356" width="10" style="197" bestFit="1" customWidth="1"/>
    <col min="14357" max="14357" width="9.85546875" style="197" customWidth="1"/>
    <col min="14358" max="14358" width="9.5703125" style="197" customWidth="1"/>
    <col min="14359" max="14359" width="32.28515625" style="197" bestFit="1" customWidth="1"/>
    <col min="14360" max="14360" width="2.5703125" style="197" bestFit="1" customWidth="1"/>
    <col min="14361" max="14361" width="32.28515625" style="197" bestFit="1" customWidth="1"/>
    <col min="14362" max="14362" width="26" style="197" bestFit="1" customWidth="1"/>
    <col min="14363" max="14368" width="9.140625" style="197"/>
    <col min="14369" max="14369" width="31.42578125" style="197" bestFit="1" customWidth="1"/>
    <col min="14370" max="14370" width="10.85546875" style="197" bestFit="1" customWidth="1"/>
    <col min="14371" max="14591" width="9.140625" style="197"/>
    <col min="14592" max="14592" width="14.140625" style="197" customWidth="1"/>
    <col min="14593" max="14593" width="8.7109375" style="197" bestFit="1" customWidth="1"/>
    <col min="14594" max="14594" width="10.85546875" style="197" bestFit="1" customWidth="1"/>
    <col min="14595" max="14595" width="10.5703125" style="197" customWidth="1"/>
    <col min="14596" max="14596" width="11.28515625" style="197" customWidth="1"/>
    <col min="14597" max="14597" width="10" style="197" bestFit="1" customWidth="1"/>
    <col min="14598" max="14598" width="10.42578125" style="197" customWidth="1"/>
    <col min="14599" max="14599" width="10.140625" style="197" customWidth="1"/>
    <col min="14600" max="14600" width="8.7109375" style="197" bestFit="1" customWidth="1"/>
    <col min="14601" max="14602" width="10" style="197" bestFit="1" customWidth="1"/>
    <col min="14603" max="14605" width="8.7109375" style="197" bestFit="1" customWidth="1"/>
    <col min="14606" max="14607" width="10" style="197" bestFit="1" customWidth="1"/>
    <col min="14608" max="14610" width="8.7109375" style="197" bestFit="1" customWidth="1"/>
    <col min="14611" max="14612" width="10" style="197" bestFit="1" customWidth="1"/>
    <col min="14613" max="14613" width="9.85546875" style="197" customWidth="1"/>
    <col min="14614" max="14614" width="9.5703125" style="197" customWidth="1"/>
    <col min="14615" max="14615" width="32.28515625" style="197" bestFit="1" customWidth="1"/>
    <col min="14616" max="14616" width="2.5703125" style="197" bestFit="1" customWidth="1"/>
    <col min="14617" max="14617" width="32.28515625" style="197" bestFit="1" customWidth="1"/>
    <col min="14618" max="14618" width="26" style="197" bestFit="1" customWidth="1"/>
    <col min="14619" max="14624" width="9.140625" style="197"/>
    <col min="14625" max="14625" width="31.42578125" style="197" bestFit="1" customWidth="1"/>
    <col min="14626" max="14626" width="10.85546875" style="197" bestFit="1" customWidth="1"/>
    <col min="14627" max="14847" width="9.140625" style="197"/>
    <col min="14848" max="14848" width="14.140625" style="197" customWidth="1"/>
    <col min="14849" max="14849" width="8.7109375" style="197" bestFit="1" customWidth="1"/>
    <col min="14850" max="14850" width="10.85546875" style="197" bestFit="1" customWidth="1"/>
    <col min="14851" max="14851" width="10.5703125" style="197" customWidth="1"/>
    <col min="14852" max="14852" width="11.28515625" style="197" customWidth="1"/>
    <col min="14853" max="14853" width="10" style="197" bestFit="1" customWidth="1"/>
    <col min="14854" max="14854" width="10.42578125" style="197" customWidth="1"/>
    <col min="14855" max="14855" width="10.140625" style="197" customWidth="1"/>
    <col min="14856" max="14856" width="8.7109375" style="197" bestFit="1" customWidth="1"/>
    <col min="14857" max="14858" width="10" style="197" bestFit="1" customWidth="1"/>
    <col min="14859" max="14861" width="8.7109375" style="197" bestFit="1" customWidth="1"/>
    <col min="14862" max="14863" width="10" style="197" bestFit="1" customWidth="1"/>
    <col min="14864" max="14866" width="8.7109375" style="197" bestFit="1" customWidth="1"/>
    <col min="14867" max="14868" width="10" style="197" bestFit="1" customWidth="1"/>
    <col min="14869" max="14869" width="9.85546875" style="197" customWidth="1"/>
    <col min="14870" max="14870" width="9.5703125" style="197" customWidth="1"/>
    <col min="14871" max="14871" width="32.28515625" style="197" bestFit="1" customWidth="1"/>
    <col min="14872" max="14872" width="2.5703125" style="197" bestFit="1" customWidth="1"/>
    <col min="14873" max="14873" width="32.28515625" style="197" bestFit="1" customWidth="1"/>
    <col min="14874" max="14874" width="26" style="197" bestFit="1" customWidth="1"/>
    <col min="14875" max="14880" width="9.140625" style="197"/>
    <col min="14881" max="14881" width="31.42578125" style="197" bestFit="1" customWidth="1"/>
    <col min="14882" max="14882" width="10.85546875" style="197" bestFit="1" customWidth="1"/>
    <col min="14883" max="15103" width="9.140625" style="197"/>
    <col min="15104" max="15104" width="14.140625" style="197" customWidth="1"/>
    <col min="15105" max="15105" width="8.7109375" style="197" bestFit="1" customWidth="1"/>
    <col min="15106" max="15106" width="10.85546875" style="197" bestFit="1" customWidth="1"/>
    <col min="15107" max="15107" width="10.5703125" style="197" customWidth="1"/>
    <col min="15108" max="15108" width="11.28515625" style="197" customWidth="1"/>
    <col min="15109" max="15109" width="10" style="197" bestFit="1" customWidth="1"/>
    <col min="15110" max="15110" width="10.42578125" style="197" customWidth="1"/>
    <col min="15111" max="15111" width="10.140625" style="197" customWidth="1"/>
    <col min="15112" max="15112" width="8.7109375" style="197" bestFit="1" customWidth="1"/>
    <col min="15113" max="15114" width="10" style="197" bestFit="1" customWidth="1"/>
    <col min="15115" max="15117" width="8.7109375" style="197" bestFit="1" customWidth="1"/>
    <col min="15118" max="15119" width="10" style="197" bestFit="1" customWidth="1"/>
    <col min="15120" max="15122" width="8.7109375" style="197" bestFit="1" customWidth="1"/>
    <col min="15123" max="15124" width="10" style="197" bestFit="1" customWidth="1"/>
    <col min="15125" max="15125" width="9.85546875" style="197" customWidth="1"/>
    <col min="15126" max="15126" width="9.5703125" style="197" customWidth="1"/>
    <col min="15127" max="15127" width="32.28515625" style="197" bestFit="1" customWidth="1"/>
    <col min="15128" max="15128" width="2.5703125" style="197" bestFit="1" customWidth="1"/>
    <col min="15129" max="15129" width="32.28515625" style="197" bestFit="1" customWidth="1"/>
    <col min="15130" max="15130" width="26" style="197" bestFit="1" customWidth="1"/>
    <col min="15131" max="15136" width="9.140625" style="197"/>
    <col min="15137" max="15137" width="31.42578125" style="197" bestFit="1" customWidth="1"/>
    <col min="15138" max="15138" width="10.85546875" style="197" bestFit="1" customWidth="1"/>
    <col min="15139" max="15359" width="9.140625" style="197"/>
    <col min="15360" max="15360" width="14.140625" style="197" customWidth="1"/>
    <col min="15361" max="15361" width="8.7109375" style="197" bestFit="1" customWidth="1"/>
    <col min="15362" max="15362" width="10.85546875" style="197" bestFit="1" customWidth="1"/>
    <col min="15363" max="15363" width="10.5703125" style="197" customWidth="1"/>
    <col min="15364" max="15364" width="11.28515625" style="197" customWidth="1"/>
    <col min="15365" max="15365" width="10" style="197" bestFit="1" customWidth="1"/>
    <col min="15366" max="15366" width="10.42578125" style="197" customWidth="1"/>
    <col min="15367" max="15367" width="10.140625" style="197" customWidth="1"/>
    <col min="15368" max="15368" width="8.7109375" style="197" bestFit="1" customWidth="1"/>
    <col min="15369" max="15370" width="10" style="197" bestFit="1" customWidth="1"/>
    <col min="15371" max="15373" width="8.7109375" style="197" bestFit="1" customWidth="1"/>
    <col min="15374" max="15375" width="10" style="197" bestFit="1" customWidth="1"/>
    <col min="15376" max="15378" width="8.7109375" style="197" bestFit="1" customWidth="1"/>
    <col min="15379" max="15380" width="10" style="197" bestFit="1" customWidth="1"/>
    <col min="15381" max="15381" width="9.85546875" style="197" customWidth="1"/>
    <col min="15382" max="15382" width="9.5703125" style="197" customWidth="1"/>
    <col min="15383" max="15383" width="32.28515625" style="197" bestFit="1" customWidth="1"/>
    <col min="15384" max="15384" width="2.5703125" style="197" bestFit="1" customWidth="1"/>
    <col min="15385" max="15385" width="32.28515625" style="197" bestFit="1" customWidth="1"/>
    <col min="15386" max="15386" width="26" style="197" bestFit="1" customWidth="1"/>
    <col min="15387" max="15392" width="9.140625" style="197"/>
    <col min="15393" max="15393" width="31.42578125" style="197" bestFit="1" customWidth="1"/>
    <col min="15394" max="15394" width="10.85546875" style="197" bestFit="1" customWidth="1"/>
    <col min="15395" max="15615" width="9.140625" style="197"/>
    <col min="15616" max="15616" width="14.140625" style="197" customWidth="1"/>
    <col min="15617" max="15617" width="8.7109375" style="197" bestFit="1" customWidth="1"/>
    <col min="15618" max="15618" width="10.85546875" style="197" bestFit="1" customWidth="1"/>
    <col min="15619" max="15619" width="10.5703125" style="197" customWidth="1"/>
    <col min="15620" max="15620" width="11.28515625" style="197" customWidth="1"/>
    <col min="15621" max="15621" width="10" style="197" bestFit="1" customWidth="1"/>
    <col min="15622" max="15622" width="10.42578125" style="197" customWidth="1"/>
    <col min="15623" max="15623" width="10.140625" style="197" customWidth="1"/>
    <col min="15624" max="15624" width="8.7109375" style="197" bestFit="1" customWidth="1"/>
    <col min="15625" max="15626" width="10" style="197" bestFit="1" customWidth="1"/>
    <col min="15627" max="15629" width="8.7109375" style="197" bestFit="1" customWidth="1"/>
    <col min="15630" max="15631" width="10" style="197" bestFit="1" customWidth="1"/>
    <col min="15632" max="15634" width="8.7109375" style="197" bestFit="1" customWidth="1"/>
    <col min="15635" max="15636" width="10" style="197" bestFit="1" customWidth="1"/>
    <col min="15637" max="15637" width="9.85546875" style="197" customWidth="1"/>
    <col min="15638" max="15638" width="9.5703125" style="197" customWidth="1"/>
    <col min="15639" max="15639" width="32.28515625" style="197" bestFit="1" customWidth="1"/>
    <col min="15640" max="15640" width="2.5703125" style="197" bestFit="1" customWidth="1"/>
    <col min="15641" max="15641" width="32.28515625" style="197" bestFit="1" customWidth="1"/>
    <col min="15642" max="15642" width="26" style="197" bestFit="1" customWidth="1"/>
    <col min="15643" max="15648" width="9.140625" style="197"/>
    <col min="15649" max="15649" width="31.42578125" style="197" bestFit="1" customWidth="1"/>
    <col min="15650" max="15650" width="10.85546875" style="197" bestFit="1" customWidth="1"/>
    <col min="15651" max="15871" width="9.140625" style="197"/>
    <col min="15872" max="15872" width="14.140625" style="197" customWidth="1"/>
    <col min="15873" max="15873" width="8.7109375" style="197" bestFit="1" customWidth="1"/>
    <col min="15874" max="15874" width="10.85546875" style="197" bestFit="1" customWidth="1"/>
    <col min="15875" max="15875" width="10.5703125" style="197" customWidth="1"/>
    <col min="15876" max="15876" width="11.28515625" style="197" customWidth="1"/>
    <col min="15877" max="15877" width="10" style="197" bestFit="1" customWidth="1"/>
    <col min="15878" max="15878" width="10.42578125" style="197" customWidth="1"/>
    <col min="15879" max="15879" width="10.140625" style="197" customWidth="1"/>
    <col min="15880" max="15880" width="8.7109375" style="197" bestFit="1" customWidth="1"/>
    <col min="15881" max="15882" width="10" style="197" bestFit="1" customWidth="1"/>
    <col min="15883" max="15885" width="8.7109375" style="197" bestFit="1" customWidth="1"/>
    <col min="15886" max="15887" width="10" style="197" bestFit="1" customWidth="1"/>
    <col min="15888" max="15890" width="8.7109375" style="197" bestFit="1" customWidth="1"/>
    <col min="15891" max="15892" width="10" style="197" bestFit="1" customWidth="1"/>
    <col min="15893" max="15893" width="9.85546875" style="197" customWidth="1"/>
    <col min="15894" max="15894" width="9.5703125" style="197" customWidth="1"/>
    <col min="15895" max="15895" width="32.28515625" style="197" bestFit="1" customWidth="1"/>
    <col min="15896" max="15896" width="2.5703125" style="197" bestFit="1" customWidth="1"/>
    <col min="15897" max="15897" width="32.28515625" style="197" bestFit="1" customWidth="1"/>
    <col min="15898" max="15898" width="26" style="197" bestFit="1" customWidth="1"/>
    <col min="15899" max="15904" width="9.140625" style="197"/>
    <col min="15905" max="15905" width="31.42578125" style="197" bestFit="1" customWidth="1"/>
    <col min="15906" max="15906" width="10.85546875" style="197" bestFit="1" customWidth="1"/>
    <col min="15907" max="16127" width="9.140625" style="197"/>
    <col min="16128" max="16128" width="14.140625" style="197" customWidth="1"/>
    <col min="16129" max="16129" width="8.7109375" style="197" bestFit="1" customWidth="1"/>
    <col min="16130" max="16130" width="10.85546875" style="197" bestFit="1" customWidth="1"/>
    <col min="16131" max="16131" width="10.5703125" style="197" customWidth="1"/>
    <col min="16132" max="16132" width="11.28515625" style="197" customWidth="1"/>
    <col min="16133" max="16133" width="10" style="197" bestFit="1" customWidth="1"/>
    <col min="16134" max="16134" width="10.42578125" style="197" customWidth="1"/>
    <col min="16135" max="16135" width="10.140625" style="197" customWidth="1"/>
    <col min="16136" max="16136" width="8.7109375" style="197" bestFit="1" customWidth="1"/>
    <col min="16137" max="16138" width="10" style="197" bestFit="1" customWidth="1"/>
    <col min="16139" max="16141" width="8.7109375" style="197" bestFit="1" customWidth="1"/>
    <col min="16142" max="16143" width="10" style="197" bestFit="1" customWidth="1"/>
    <col min="16144" max="16146" width="8.7109375" style="197" bestFit="1" customWidth="1"/>
    <col min="16147" max="16148" width="10" style="197" bestFit="1" customWidth="1"/>
    <col min="16149" max="16149" width="9.85546875" style="197" customWidth="1"/>
    <col min="16150" max="16150" width="9.5703125" style="197" customWidth="1"/>
    <col min="16151" max="16151" width="32.28515625" style="197" bestFit="1" customWidth="1"/>
    <col min="16152" max="16152" width="2.5703125" style="197" bestFit="1" customWidth="1"/>
    <col min="16153" max="16153" width="32.28515625" style="197" bestFit="1" customWidth="1"/>
    <col min="16154" max="16154" width="26" style="197" bestFit="1" customWidth="1"/>
    <col min="16155" max="16160" width="9.140625" style="197"/>
    <col min="16161" max="16161" width="31.42578125" style="197" bestFit="1" customWidth="1"/>
    <col min="16162" max="16162" width="10.85546875" style="197" bestFit="1" customWidth="1"/>
    <col min="16163" max="16384" width="9.140625" style="197"/>
  </cols>
  <sheetData>
    <row r="1" spans="1:38" ht="13.5" thickBot="1">
      <c r="A1" s="196" t="s">
        <v>0</v>
      </c>
      <c r="B1" s="548" t="s">
        <v>194</v>
      </c>
      <c r="C1" s="549"/>
      <c r="D1" s="549"/>
      <c r="E1" s="549"/>
      <c r="F1" s="550"/>
      <c r="G1" s="551" t="s">
        <v>195</v>
      </c>
      <c r="H1" s="549"/>
      <c r="I1" s="549"/>
      <c r="J1" s="549"/>
      <c r="K1" s="550"/>
      <c r="L1" s="551" t="s">
        <v>196</v>
      </c>
      <c r="M1" s="549"/>
      <c r="N1" s="549"/>
      <c r="O1" s="549"/>
      <c r="P1" s="550"/>
      <c r="Q1" s="551" t="s">
        <v>197</v>
      </c>
      <c r="R1" s="549"/>
      <c r="S1" s="549"/>
      <c r="T1" s="549"/>
      <c r="U1" s="550"/>
    </row>
    <row r="2" spans="1:38" ht="13.5" thickBot="1">
      <c r="A2" s="198"/>
      <c r="B2" s="363" t="s">
        <v>198</v>
      </c>
      <c r="C2" s="363" t="s">
        <v>199</v>
      </c>
      <c r="D2" s="363" t="s">
        <v>200</v>
      </c>
      <c r="E2" s="363" t="s">
        <v>201</v>
      </c>
      <c r="F2" s="364" t="s">
        <v>202</v>
      </c>
      <c r="G2" s="363" t="s">
        <v>198</v>
      </c>
      <c r="H2" s="363" t="s">
        <v>199</v>
      </c>
      <c r="I2" s="363" t="s">
        <v>200</v>
      </c>
      <c r="J2" s="363" t="s">
        <v>201</v>
      </c>
      <c r="K2" s="363" t="s">
        <v>202</v>
      </c>
      <c r="L2" s="365" t="s">
        <v>198</v>
      </c>
      <c r="M2" s="363" t="s">
        <v>199</v>
      </c>
      <c r="N2" s="363" t="s">
        <v>200</v>
      </c>
      <c r="O2" s="363" t="s">
        <v>201</v>
      </c>
      <c r="P2" s="363" t="s">
        <v>202</v>
      </c>
      <c r="Q2" s="363" t="s">
        <v>198</v>
      </c>
      <c r="R2" s="363" t="s">
        <v>199</v>
      </c>
      <c r="S2" s="363" t="s">
        <v>200</v>
      </c>
      <c r="T2" s="363" t="s">
        <v>201</v>
      </c>
      <c r="U2" s="363" t="s">
        <v>202</v>
      </c>
    </row>
    <row r="3" spans="1:38" ht="25.5" customHeight="1" thickBot="1">
      <c r="A3" s="201" t="s">
        <v>203</v>
      </c>
      <c r="B3" s="361">
        <f>'ENCL 2013'!B12</f>
        <v>0</v>
      </c>
      <c r="C3" s="362">
        <f>'ENCL 2013'!C12</f>
        <v>0</v>
      </c>
      <c r="D3" s="362">
        <f>'ENCL 2013'!D12</f>
        <v>0</v>
      </c>
      <c r="E3" s="362">
        <f>'ENCL 2013'!E12</f>
        <v>0</v>
      </c>
      <c r="F3" s="362">
        <f>'ENCL 2013'!F12</f>
        <v>0</v>
      </c>
      <c r="G3" s="361">
        <f>'ENCL 2013'!G12</f>
        <v>0</v>
      </c>
      <c r="H3" s="362">
        <f>'ENCL 2013'!H12</f>
        <v>0</v>
      </c>
      <c r="I3" s="362">
        <f>'ENCL 2013'!I12</f>
        <v>0</v>
      </c>
      <c r="J3" s="362">
        <f>'ENCL 2013'!J12</f>
        <v>0</v>
      </c>
      <c r="K3" s="362">
        <f>'ENCL 2013'!K12</f>
        <v>0</v>
      </c>
      <c r="L3" s="361">
        <f>'ENCL 2013'!L12</f>
        <v>0</v>
      </c>
      <c r="M3" s="362">
        <f>'ENCL 2013'!M12</f>
        <v>0</v>
      </c>
      <c r="N3" s="362">
        <f>'ENCL 2013'!N12</f>
        <v>0</v>
      </c>
      <c r="O3" s="362">
        <f>'ENCL 2013'!O12</f>
        <v>0</v>
      </c>
      <c r="P3" s="362">
        <f>'ENCL 2013'!P12</f>
        <v>0</v>
      </c>
      <c r="Q3" s="361">
        <f>'ENCL 2013'!Q12</f>
        <v>0</v>
      </c>
      <c r="R3" s="362">
        <f>'ENCL 2013'!R12</f>
        <v>0</v>
      </c>
      <c r="S3" s="362">
        <f>'ENCL 2013'!S12</f>
        <v>0</v>
      </c>
      <c r="T3" s="362">
        <f>'ENCL 2013'!T12</f>
        <v>0</v>
      </c>
      <c r="U3" s="362">
        <f>'ENCL 2013'!U12</f>
        <v>0</v>
      </c>
      <c r="AA3" s="366" t="s">
        <v>341</v>
      </c>
      <c r="AB3" s="367" t="s">
        <v>247</v>
      </c>
      <c r="AC3" s="368">
        <f>SUM(B3:U7)</f>
        <v>3</v>
      </c>
      <c r="AD3" s="53"/>
      <c r="AE3" s="54"/>
    </row>
    <row r="4" spans="1:38" ht="26.25" customHeight="1" thickBot="1">
      <c r="A4" s="201" t="s">
        <v>204</v>
      </c>
      <c r="B4" s="356">
        <f>'ENCL 2013'!B13</f>
        <v>0</v>
      </c>
      <c r="C4" s="357">
        <f>'ENCL 2013'!C13</f>
        <v>0</v>
      </c>
      <c r="D4" s="357">
        <f>'ENCL 2013'!D13</f>
        <v>0</v>
      </c>
      <c r="E4" s="357">
        <f>'ENCL 2013'!E13</f>
        <v>0</v>
      </c>
      <c r="F4" s="357">
        <f>'ENCL 2013'!F13</f>
        <v>0</v>
      </c>
      <c r="G4" s="356">
        <f>'ENCL 2013'!G13</f>
        <v>0</v>
      </c>
      <c r="H4" s="357">
        <f>'ENCL 2013'!H13</f>
        <v>0</v>
      </c>
      <c r="I4" s="357">
        <f>'ENCL 2013'!I13</f>
        <v>0</v>
      </c>
      <c r="J4" s="357">
        <f>'ENCL 2013'!J13</f>
        <v>0</v>
      </c>
      <c r="K4" s="357">
        <f>'ENCL 2013'!K13</f>
        <v>0</v>
      </c>
      <c r="L4" s="356">
        <f>'ENCL 2013'!L13</f>
        <v>0</v>
      </c>
      <c r="M4" s="357">
        <f>'ENCL 2013'!M13</f>
        <v>0</v>
      </c>
      <c r="N4" s="357">
        <f>'ENCL 2013'!N13</f>
        <v>0</v>
      </c>
      <c r="O4" s="357">
        <f>'ENCL 2013'!O13</f>
        <v>0</v>
      </c>
      <c r="P4" s="357">
        <f>'ENCL 2013'!P13</f>
        <v>0</v>
      </c>
      <c r="Q4" s="356">
        <f>'ENCL 2013'!Q13</f>
        <v>0</v>
      </c>
      <c r="R4" s="357">
        <f>'ENCL 2013'!R13</f>
        <v>0</v>
      </c>
      <c r="S4" s="357">
        <f>'ENCL 2013'!S13</f>
        <v>0</v>
      </c>
      <c r="T4" s="357">
        <f>'ENCL 2013'!T13</f>
        <v>0</v>
      </c>
      <c r="U4" s="357">
        <f>'ENCL 2013'!U13</f>
        <v>0</v>
      </c>
      <c r="AA4" s="366" t="s">
        <v>340</v>
      </c>
      <c r="AB4" s="367">
        <f>IF(OR(AE19=1,AE19=2),SUM(datatable1),SUM(datatable2))</f>
        <v>3</v>
      </c>
      <c r="AC4" s="54"/>
      <c r="AD4" s="53"/>
      <c r="AE4" s="54"/>
    </row>
    <row r="5" spans="1:38" ht="27" customHeight="1" thickBot="1">
      <c r="A5" s="201" t="s">
        <v>205</v>
      </c>
      <c r="B5" s="356">
        <f>'ENCL 2013'!B14</f>
        <v>0</v>
      </c>
      <c r="C5" s="357">
        <f>'ENCL 2013'!C14</f>
        <v>0</v>
      </c>
      <c r="D5" s="357">
        <f>'ENCL 2013'!D14</f>
        <v>0</v>
      </c>
      <c r="E5" s="357">
        <f>'ENCL 2013'!E14</f>
        <v>0</v>
      </c>
      <c r="F5" s="357">
        <f>'ENCL 2013'!F14</f>
        <v>0</v>
      </c>
      <c r="G5" s="356">
        <f>'ENCL 2013'!G14</f>
        <v>0</v>
      </c>
      <c r="H5" s="357">
        <f>'ENCL 2013'!H14</f>
        <v>0</v>
      </c>
      <c r="I5" s="357">
        <f>'ENCL 2013'!I14</f>
        <v>2</v>
      </c>
      <c r="J5" s="357">
        <f>'ENCL 2013'!J14</f>
        <v>1</v>
      </c>
      <c r="K5" s="357">
        <f>'ENCL 2013'!K14</f>
        <v>0</v>
      </c>
      <c r="L5" s="356">
        <f>'ENCL 2013'!L14</f>
        <v>0</v>
      </c>
      <c r="M5" s="357">
        <f>'ENCL 2013'!M14</f>
        <v>0</v>
      </c>
      <c r="N5" s="357">
        <f>'ENCL 2013'!N14</f>
        <v>0</v>
      </c>
      <c r="O5" s="357">
        <f>'ENCL 2013'!O14</f>
        <v>0</v>
      </c>
      <c r="P5" s="357">
        <f>'ENCL 2013'!P14</f>
        <v>0</v>
      </c>
      <c r="Q5" s="356">
        <f>'ENCL 2013'!Q14</f>
        <v>0</v>
      </c>
      <c r="R5" s="357">
        <f>'ENCL 2013'!R14</f>
        <v>0</v>
      </c>
      <c r="S5" s="357">
        <f>'ENCL 2013'!S14</f>
        <v>0</v>
      </c>
      <c r="T5" s="357">
        <f>'ENCL 2013'!T14</f>
        <v>0</v>
      </c>
      <c r="U5" s="357">
        <f>'ENCL 2013'!U14</f>
        <v>0</v>
      </c>
      <c r="AA5" s="42"/>
      <c r="AB5" s="53"/>
    </row>
    <row r="6" spans="1:38" ht="28.5" customHeight="1" thickBot="1">
      <c r="A6" s="201" t="s">
        <v>206</v>
      </c>
      <c r="B6" s="356">
        <f>'ENCL 2013'!B15</f>
        <v>0</v>
      </c>
      <c r="C6" s="357">
        <f>'ENCL 2013'!C15</f>
        <v>0</v>
      </c>
      <c r="D6" s="357">
        <f>'ENCL 2013'!D15</f>
        <v>0</v>
      </c>
      <c r="E6" s="357">
        <f>'ENCL 2013'!E15</f>
        <v>0</v>
      </c>
      <c r="F6" s="357">
        <f>'ENCL 2013'!F15</f>
        <v>0</v>
      </c>
      <c r="G6" s="356">
        <f>'ENCL 2013'!G15</f>
        <v>0</v>
      </c>
      <c r="H6" s="357">
        <f>'ENCL 2013'!H15</f>
        <v>0</v>
      </c>
      <c r="I6" s="357">
        <f>'ENCL 2013'!I15</f>
        <v>0</v>
      </c>
      <c r="J6" s="357">
        <f>'ENCL 2013'!J15</f>
        <v>0</v>
      </c>
      <c r="K6" s="357">
        <f>'ENCL 2013'!K15</f>
        <v>0</v>
      </c>
      <c r="L6" s="356">
        <f>'ENCL 2013'!L15</f>
        <v>0</v>
      </c>
      <c r="M6" s="357">
        <f>'ENCL 2013'!M15</f>
        <v>0</v>
      </c>
      <c r="N6" s="357">
        <f>'ENCL 2013'!N15</f>
        <v>0</v>
      </c>
      <c r="O6" s="357">
        <f>'ENCL 2013'!O15</f>
        <v>0</v>
      </c>
      <c r="P6" s="357">
        <f>'ENCL 2013'!P15</f>
        <v>0</v>
      </c>
      <c r="Q6" s="356">
        <f>'ENCL 2013'!Q15</f>
        <v>0</v>
      </c>
      <c r="R6" s="357">
        <f>'ENCL 2013'!R15</f>
        <v>0</v>
      </c>
      <c r="S6" s="357">
        <f>'ENCL 2013'!S15</f>
        <v>0</v>
      </c>
      <c r="T6" s="357">
        <f>'ENCL 2013'!T15</f>
        <v>0</v>
      </c>
      <c r="U6" s="357">
        <f>'ENCL 2013'!U15</f>
        <v>0</v>
      </c>
      <c r="AA6" s="42"/>
      <c r="AB6" s="53"/>
    </row>
    <row r="7" spans="1:38" ht="33.75" customHeight="1" thickBot="1">
      <c r="A7" s="201" t="s">
        <v>207</v>
      </c>
      <c r="B7" s="356">
        <f>'ENCL 2013'!B16</f>
        <v>0</v>
      </c>
      <c r="C7" s="357">
        <f>'ENCL 2013'!C16</f>
        <v>0</v>
      </c>
      <c r="D7" s="357">
        <f>'ENCL 2013'!D16</f>
        <v>0</v>
      </c>
      <c r="E7" s="357">
        <f>'ENCL 2013'!E16</f>
        <v>0</v>
      </c>
      <c r="F7" s="357">
        <f>'ENCL 2013'!F16</f>
        <v>0</v>
      </c>
      <c r="G7" s="356">
        <f>'ENCL 2013'!G16</f>
        <v>0</v>
      </c>
      <c r="H7" s="357">
        <f>'ENCL 2013'!H16</f>
        <v>0</v>
      </c>
      <c r="I7" s="357">
        <f>'ENCL 2013'!I16</f>
        <v>0</v>
      </c>
      <c r="J7" s="357">
        <f>'ENCL 2013'!J16</f>
        <v>0</v>
      </c>
      <c r="K7" s="357">
        <f>'ENCL 2013'!K16</f>
        <v>0</v>
      </c>
      <c r="L7" s="356">
        <f>'ENCL 2013'!L16</f>
        <v>0</v>
      </c>
      <c r="M7" s="357">
        <f>'ENCL 2013'!M16</f>
        <v>0</v>
      </c>
      <c r="N7" s="357">
        <f>'ENCL 2013'!N16</f>
        <v>0</v>
      </c>
      <c r="O7" s="357">
        <f>'ENCL 2013'!O16</f>
        <v>0</v>
      </c>
      <c r="P7" s="357">
        <f>'ENCL 2013'!P16</f>
        <v>0</v>
      </c>
      <c r="Q7" s="356">
        <f>'ENCL 2013'!Q16</f>
        <v>0</v>
      </c>
      <c r="R7" s="357">
        <f>'ENCL 2013'!R16</f>
        <v>0</v>
      </c>
      <c r="S7" s="357">
        <f>'ENCL 2013'!S16</f>
        <v>0</v>
      </c>
      <c r="T7" s="357">
        <f>'ENCL 2013'!T16</f>
        <v>0</v>
      </c>
      <c r="U7" s="357">
        <f>'ENCL 2013'!U16</f>
        <v>0</v>
      </c>
    </row>
    <row r="8" spans="1:38" ht="27" customHeight="1"/>
    <row r="9" spans="1:38" ht="24.75" customHeight="1" thickBot="1"/>
    <row r="10" spans="1:38" ht="34.5" customHeight="1" thickBot="1">
      <c r="A10" s="202"/>
      <c r="B10" s="545" t="s">
        <v>234</v>
      </c>
      <c r="C10" s="546"/>
      <c r="D10" s="546"/>
      <c r="E10" s="547"/>
      <c r="F10" s="545" t="s">
        <v>235</v>
      </c>
      <c r="G10" s="546"/>
      <c r="H10" s="547"/>
    </row>
    <row r="11" spans="1:38" ht="15.75" customHeight="1" thickBot="1">
      <c r="A11" s="196" t="s">
        <v>0</v>
      </c>
      <c r="B11" s="548" t="s">
        <v>197</v>
      </c>
      <c r="C11" s="549"/>
      <c r="D11" s="549"/>
      <c r="E11" s="550"/>
      <c r="F11" s="551" t="s">
        <v>197</v>
      </c>
      <c r="G11" s="549"/>
      <c r="H11" s="550"/>
    </row>
    <row r="12" spans="1:38" ht="13.5" thickBot="1">
      <c r="A12" s="198"/>
      <c r="B12" s="199" t="s">
        <v>199</v>
      </c>
      <c r="C12" s="199" t="s">
        <v>200</v>
      </c>
      <c r="D12" s="199" t="s">
        <v>201</v>
      </c>
      <c r="E12" s="200" t="s">
        <v>202</v>
      </c>
      <c r="F12" s="199" t="s">
        <v>200</v>
      </c>
      <c r="G12" s="199" t="s">
        <v>201</v>
      </c>
      <c r="H12" s="199" t="s">
        <v>202</v>
      </c>
    </row>
    <row r="13" spans="1:38" ht="27" customHeight="1" thickBot="1">
      <c r="A13" s="201" t="s">
        <v>204</v>
      </c>
      <c r="B13" s="358">
        <f>'ENCL 2013'!B23*IF(OR($AE$19=3,$AE$19=4),1.25,0)</f>
        <v>0</v>
      </c>
      <c r="C13" s="359">
        <f>'ENCL 2013'!C23*IF(OR($AE$19=3,$AE$19=4),1.25,0)</f>
        <v>0</v>
      </c>
      <c r="D13" s="359">
        <f>'ENCL 2013'!D23*IF(OR($AE$19=3,$AE$19=4),1.25,0)</f>
        <v>0</v>
      </c>
      <c r="E13" s="360">
        <f>'ENCL 2013'!E23*IF(OR($AE$19=3,$AE$19=4),1.25,0)</f>
        <v>0</v>
      </c>
      <c r="F13" s="358">
        <f>'ENCL 2013'!F23*IF(OR($AE$19=1,$AE$19=2),0,IF($AE$19=3,1.6,IF($AE$19=4,1.8,0)))</f>
        <v>0</v>
      </c>
      <c r="G13" s="357">
        <f>'ENCL 2013'!G23*IF(OR($AE$19=1,$AE$19=2),0,IF($AE$19=3,1.6,IF($AE$19=4,1.8,0)))</f>
        <v>0</v>
      </c>
      <c r="H13" s="359">
        <f>'ENCL 2013'!H23*IF(OR($AE$19=1,$AE$19=2),0,IF($AE$19=3,1.6,IF($AE$19=4,1.8,0)))</f>
        <v>0</v>
      </c>
    </row>
    <row r="14" spans="1:38" ht="30.75" customHeight="1" thickBot="1">
      <c r="A14" s="201" t="s">
        <v>205</v>
      </c>
      <c r="B14" s="358">
        <f>'ENCL 2013'!B24*IF(OR($AE$19=3,$AE$19=4),1.25,0)</f>
        <v>0</v>
      </c>
      <c r="C14" s="359">
        <f>'ENCL 2013'!C24*IF(OR($AE$19=3,$AE$19=4),1.25,0)</f>
        <v>0</v>
      </c>
      <c r="D14" s="359">
        <f>'ENCL 2013'!D24*IF(OR($AE$19=3,$AE$19=4),1.25,0)</f>
        <v>0</v>
      </c>
      <c r="E14" s="360">
        <f>'ENCL 2013'!E24*IF(OR($AE$19=3,$AE$19=4),1.25,0)</f>
        <v>0</v>
      </c>
      <c r="F14" s="358">
        <f>'ENCL 2013'!F24*IF(OR($AE$19=1,$AE$19=2),0,IF($AE$19=3,1.6,IF($AE$19=4,1.8,0)))</f>
        <v>0</v>
      </c>
      <c r="G14" s="357">
        <f>'ENCL 2013'!G24*IF(OR($AE$19=1,$AE$19=2),0,IF($AE$19=3,1.6,IF($AE$19=4,1.8,0)))</f>
        <v>0</v>
      </c>
      <c r="H14" s="359">
        <f>'ENCL 2013'!H24*IF(OR($AE$19=1,$AE$19=2),0,IF($AE$19=3,1.6,IF($AE$19=4,1.8,0)))</f>
        <v>0</v>
      </c>
      <c r="AF14" s="552" t="s">
        <v>248</v>
      </c>
      <c r="AG14" s="553"/>
      <c r="AH14" s="553"/>
      <c r="AI14" s="554"/>
    </row>
    <row r="15" spans="1:38" ht="30.75" customHeight="1" thickBot="1">
      <c r="A15" s="201" t="s">
        <v>206</v>
      </c>
      <c r="B15" s="358">
        <f>'ENCL 2013'!B25*IF(OR($AE$19=3,$AE$19=4),1.25,0)</f>
        <v>0</v>
      </c>
      <c r="C15" s="359">
        <f>'ENCL 2013'!C25*IF(OR($AE$19=3,$AE$19=4),1.25,0)</f>
        <v>0</v>
      </c>
      <c r="D15" s="359">
        <f>'ENCL 2013'!D25*IF(OR($AE$19=3,$AE$19=4),1.25,0)</f>
        <v>0</v>
      </c>
      <c r="E15" s="360">
        <f>'ENCL 2013'!E25*IF(OR($AE$19=3,$AE$19=4),1.25,0)</f>
        <v>0</v>
      </c>
      <c r="F15" s="358">
        <f>'ENCL 2013'!F25*IF(OR($AE$19=1,$AE$19=2),0,IF($AE$19=3,1.6,IF($AE$19=4,1.8,0)))</f>
        <v>0</v>
      </c>
      <c r="G15" s="357">
        <f>'ENCL 2013'!G25*IF(OR($AE$19=1,$AE$19=2),0,IF($AE$19=3,1.6,IF($AE$19=4,1.8,0)))</f>
        <v>0</v>
      </c>
      <c r="H15" s="359">
        <f>'ENCL 2013'!H25*IF(OR($AE$19=1,$AE$19=2),0,IF($AE$19=3,1.6,IF($AE$19=4,1.8,0)))</f>
        <v>0</v>
      </c>
      <c r="AF15" s="203">
        <v>1</v>
      </c>
      <c r="AG15" s="204" t="s">
        <v>249</v>
      </c>
      <c r="AH15" s="205" t="s">
        <v>250</v>
      </c>
      <c r="AI15" s="206">
        <f>'MF FINAL'!$AR$10*AL15</f>
        <v>3810.8</v>
      </c>
      <c r="AJ15" s="355">
        <v>11</v>
      </c>
      <c r="AK15" s="355">
        <v>12</v>
      </c>
      <c r="AL15" s="197">
        <f>IF(OR(VALUE($AC$19&amp;$AD$19&amp;$AE$19)=AJ15,VALUE($AC$19&amp;$AD$19&amp;$AE$19)=AK15),1,0)</f>
        <v>1</v>
      </c>
    </row>
    <row r="16" spans="1:38" ht="28.5" customHeight="1" thickBot="1">
      <c r="A16" s="201" t="s">
        <v>207</v>
      </c>
      <c r="B16" s="358">
        <f>'ENCL 2013'!B26*IF(OR($AE$19=3,$AE$19=4),1.25,0)</f>
        <v>0</v>
      </c>
      <c r="C16" s="359">
        <f>'ENCL 2013'!C26*IF(OR($AE$19=3,$AE$19=4),1.25,0)</f>
        <v>0</v>
      </c>
      <c r="D16" s="359">
        <f>'ENCL 2013'!D26*IF(OR($AE$19=3,$AE$19=4),1.25,0)</f>
        <v>0</v>
      </c>
      <c r="E16" s="360">
        <f>'ENCL 2013'!E26*IF(OR($AE$19=3,$AE$19=4),1.25,0)</f>
        <v>0</v>
      </c>
      <c r="F16" s="358">
        <f>'ENCL 2013'!F26*IF(OR($AE$19=1,$AE$19=2),0,IF($AE$19=3,1.6,IF($AE$19=4,1.8,0)))</f>
        <v>0</v>
      </c>
      <c r="G16" s="357">
        <f>'ENCL 2013'!G26*IF(OR($AE$19=1,$AE$19=2),0,IF($AE$19=3,1.6,IF($AE$19=4,1.8,0)))</f>
        <v>0</v>
      </c>
      <c r="H16" s="359">
        <f>'ENCL 2013'!H26*IF(OR($AE$19=1,$AE$19=2),0,IF($AE$19=3,1.6,IF($AE$19=4,1.8,0)))</f>
        <v>0</v>
      </c>
      <c r="AF16" s="203">
        <v>2</v>
      </c>
      <c r="AG16" s="215"/>
      <c r="AH16" s="205" t="s">
        <v>251</v>
      </c>
      <c r="AI16" s="206">
        <f>'MF FINAL'!$AR$19*AL16</f>
        <v>4416.45</v>
      </c>
      <c r="AJ16" s="355">
        <v>11</v>
      </c>
      <c r="AK16" s="355">
        <v>12</v>
      </c>
      <c r="AL16" s="197">
        <f t="shared" ref="AL16:AL26" si="0">IF(OR(VALUE($AC$19&amp;$AD$19&amp;$AE$19)=AJ16,VALUE($AC$19&amp;$AD$19&amp;$AE$19)=AK16),1,0)</f>
        <v>1</v>
      </c>
    </row>
    <row r="17" spans="24:38" ht="15">
      <c r="AF17" s="203">
        <v>3</v>
      </c>
      <c r="AG17" s="207"/>
      <c r="AH17" s="208" t="s">
        <v>252</v>
      </c>
      <c r="AI17" s="206">
        <f>'MF FINAL'!$AR$28*AL17</f>
        <v>4486.5</v>
      </c>
      <c r="AJ17" s="355">
        <v>11</v>
      </c>
      <c r="AK17" s="355">
        <v>12</v>
      </c>
      <c r="AL17" s="197">
        <f t="shared" si="0"/>
        <v>1</v>
      </c>
    </row>
    <row r="18" spans="24:38" ht="15">
      <c r="X18" s="291" t="str">
        <f>'ENCL 2013'!D6</f>
        <v>NEMA-12</v>
      </c>
      <c r="Y18" s="209">
        <v>1</v>
      </c>
      <c r="Z18" s="210" t="s">
        <v>250</v>
      </c>
      <c r="AA18" s="209">
        <v>1</v>
      </c>
      <c r="AF18" s="203">
        <v>4</v>
      </c>
      <c r="AG18" s="211" t="s">
        <v>253</v>
      </c>
      <c r="AH18" s="208" t="s">
        <v>250</v>
      </c>
      <c r="AI18" s="206">
        <f>'MF FINAL'!$AR$37*AL18</f>
        <v>0</v>
      </c>
      <c r="AJ18" s="355">
        <v>21</v>
      </c>
      <c r="AK18" s="355">
        <v>22</v>
      </c>
      <c r="AL18" s="197">
        <f t="shared" si="0"/>
        <v>0</v>
      </c>
    </row>
    <row r="19" spans="24:38" ht="15">
      <c r="X19" s="290"/>
      <c r="Y19" s="209">
        <v>2</v>
      </c>
      <c r="Z19" s="210" t="s">
        <v>251</v>
      </c>
      <c r="AA19" s="209">
        <v>2</v>
      </c>
      <c r="AD19" s="212">
        <f>VLOOKUP(X23,Z23:AA25,2,0)</f>
        <v>1</v>
      </c>
      <c r="AE19" s="213">
        <f>VLOOKUP(X26,Z26:AA29,2,0)</f>
        <v>1</v>
      </c>
      <c r="AF19" s="203">
        <v>5</v>
      </c>
      <c r="AG19" s="207"/>
      <c r="AH19" s="208" t="s">
        <v>251</v>
      </c>
      <c r="AI19" s="206">
        <f>'MF FINAL'!$AR$46*AL19</f>
        <v>0</v>
      </c>
      <c r="AJ19" s="355">
        <v>21</v>
      </c>
      <c r="AK19" s="355">
        <v>22</v>
      </c>
      <c r="AL19" s="197">
        <f t="shared" si="0"/>
        <v>0</v>
      </c>
    </row>
    <row r="20" spans="24:38" ht="15.75" customHeight="1">
      <c r="X20" s="290"/>
      <c r="Y20" s="209">
        <v>3</v>
      </c>
      <c r="Z20" s="210" t="s">
        <v>252</v>
      </c>
      <c r="AA20" s="209">
        <v>3</v>
      </c>
      <c r="AC20" s="214"/>
      <c r="AD20" s="214"/>
      <c r="AE20" s="214"/>
      <c r="AF20" s="203">
        <v>6</v>
      </c>
      <c r="AG20" s="215"/>
      <c r="AH20" s="208" t="s">
        <v>252</v>
      </c>
      <c r="AI20" s="206">
        <f>'MF FINAL'!$AR$55*AL20</f>
        <v>0</v>
      </c>
      <c r="AJ20" s="355">
        <v>21</v>
      </c>
      <c r="AK20" s="355">
        <v>22</v>
      </c>
      <c r="AL20" s="197">
        <f t="shared" si="0"/>
        <v>0</v>
      </c>
    </row>
    <row r="21" spans="24:38" ht="13.5" customHeight="1">
      <c r="X21" s="290"/>
      <c r="Y21" s="209">
        <v>4</v>
      </c>
      <c r="Z21" s="210" t="s">
        <v>254</v>
      </c>
      <c r="AA21" s="209">
        <v>4</v>
      </c>
      <c r="AC21" s="214"/>
      <c r="AF21" s="203">
        <v>7</v>
      </c>
      <c r="AG21" s="215"/>
      <c r="AH21" s="208" t="s">
        <v>254</v>
      </c>
      <c r="AI21" s="206">
        <f>'MF FINAL'!$AR$64*AL21</f>
        <v>0</v>
      </c>
      <c r="AJ21" s="355">
        <v>21</v>
      </c>
      <c r="AK21" s="355">
        <v>22</v>
      </c>
      <c r="AL21" s="197">
        <f t="shared" si="0"/>
        <v>0</v>
      </c>
    </row>
    <row r="22" spans="24:38" ht="15">
      <c r="X22" s="290"/>
      <c r="Y22" s="209">
        <v>5</v>
      </c>
      <c r="Z22" s="210" t="s">
        <v>255</v>
      </c>
      <c r="AA22" s="209">
        <v>5</v>
      </c>
      <c r="AC22" s="214"/>
      <c r="AF22" s="203">
        <v>8</v>
      </c>
      <c r="AG22" s="211" t="s">
        <v>256</v>
      </c>
      <c r="AH22" s="208" t="s">
        <v>250</v>
      </c>
      <c r="AI22" s="206">
        <f>'MF FINAL'!$AR$73*AL22</f>
        <v>0</v>
      </c>
      <c r="AJ22" s="355">
        <v>31</v>
      </c>
      <c r="AK22" s="355">
        <v>32</v>
      </c>
      <c r="AL22" s="197">
        <f t="shared" si="0"/>
        <v>0</v>
      </c>
    </row>
    <row r="23" spans="24:38" ht="15">
      <c r="X23" s="292" t="str">
        <f>'ENCL 2013'!D4</f>
        <v>1.6MM SHEET/2.0MM FRAME</v>
      </c>
      <c r="Y23" s="216">
        <v>1</v>
      </c>
      <c r="Z23" s="217" t="s">
        <v>249</v>
      </c>
      <c r="AA23" s="216">
        <v>1</v>
      </c>
      <c r="AC23" s="214"/>
      <c r="AF23" s="203">
        <v>9</v>
      </c>
      <c r="AG23" s="215"/>
      <c r="AH23" s="208" t="s">
        <v>251</v>
      </c>
      <c r="AI23" s="206">
        <f>'MF FINAL'!$AR$82*AL23</f>
        <v>0</v>
      </c>
      <c r="AJ23" s="355">
        <v>31</v>
      </c>
      <c r="AK23" s="355">
        <v>32</v>
      </c>
      <c r="AL23" s="197">
        <f t="shared" si="0"/>
        <v>0</v>
      </c>
    </row>
    <row r="24" spans="24:38" ht="15">
      <c r="X24" s="290"/>
      <c r="Y24" s="216">
        <v>2</v>
      </c>
      <c r="Z24" s="217" t="s">
        <v>253</v>
      </c>
      <c r="AA24" s="216">
        <v>2</v>
      </c>
      <c r="AF24" s="203">
        <v>10</v>
      </c>
      <c r="AG24" s="215"/>
      <c r="AH24" s="208" t="s">
        <v>252</v>
      </c>
      <c r="AI24" s="206">
        <f>'MF FINAL'!$AR$91*AL24</f>
        <v>0</v>
      </c>
      <c r="AJ24" s="355">
        <v>31</v>
      </c>
      <c r="AK24" s="355">
        <v>32</v>
      </c>
      <c r="AL24" s="197">
        <f t="shared" si="0"/>
        <v>0</v>
      </c>
    </row>
    <row r="25" spans="24:38" ht="15">
      <c r="X25" s="290"/>
      <c r="Y25" s="216">
        <v>3</v>
      </c>
      <c r="Z25" s="217" t="s">
        <v>256</v>
      </c>
      <c r="AA25" s="216">
        <v>3</v>
      </c>
      <c r="AF25" s="203">
        <v>11</v>
      </c>
      <c r="AG25" s="215"/>
      <c r="AH25" s="208" t="s">
        <v>254</v>
      </c>
      <c r="AI25" s="206">
        <f>'MF FINAL'!$AR$100*AL25</f>
        <v>0</v>
      </c>
      <c r="AJ25" s="355">
        <v>31</v>
      </c>
      <c r="AK25" s="355">
        <v>32</v>
      </c>
      <c r="AL25" s="197">
        <f t="shared" si="0"/>
        <v>0</v>
      </c>
    </row>
    <row r="26" spans="24:38" ht="15.75" thickBot="1">
      <c r="X26" s="293" t="str">
        <f>'ENCL 2013'!D2</f>
        <v>FORM1</v>
      </c>
      <c r="Y26" s="222">
        <v>1</v>
      </c>
      <c r="Z26" s="223" t="s">
        <v>258</v>
      </c>
      <c r="AA26" s="222">
        <v>1</v>
      </c>
      <c r="AF26" s="218">
        <v>12</v>
      </c>
      <c r="AG26" s="219" t="s">
        <v>253</v>
      </c>
      <c r="AH26" s="220" t="s">
        <v>255</v>
      </c>
      <c r="AI26" s="221">
        <f>'MF FINAL'!$AR$109*AL26</f>
        <v>0</v>
      </c>
      <c r="AJ26" s="355">
        <v>21</v>
      </c>
      <c r="AK26" s="355">
        <v>22</v>
      </c>
      <c r="AL26" s="197">
        <f t="shared" si="0"/>
        <v>0</v>
      </c>
    </row>
    <row r="27" spans="24:38" ht="15.75" thickBot="1">
      <c r="Y27" s="222">
        <v>2</v>
      </c>
      <c r="Z27" s="223" t="s">
        <v>259</v>
      </c>
      <c r="AA27" s="222">
        <v>2</v>
      </c>
      <c r="AJ27" s="355"/>
      <c r="AK27" s="355"/>
    </row>
    <row r="28" spans="24:38" ht="15.75" customHeight="1" thickBot="1">
      <c r="Y28" s="222">
        <v>3</v>
      </c>
      <c r="Z28" s="223" t="s">
        <v>260</v>
      </c>
      <c r="AA28" s="222">
        <v>3</v>
      </c>
      <c r="AF28" s="552" t="s">
        <v>257</v>
      </c>
      <c r="AG28" s="553"/>
      <c r="AH28" s="553"/>
      <c r="AI28" s="554"/>
      <c r="AJ28" s="355"/>
      <c r="AK28" s="355"/>
    </row>
    <row r="29" spans="24:38" ht="15">
      <c r="Y29" s="222">
        <v>4</v>
      </c>
      <c r="Z29" s="223" t="s">
        <v>261</v>
      </c>
      <c r="AA29" s="222">
        <v>4</v>
      </c>
      <c r="AF29" s="224">
        <v>13</v>
      </c>
      <c r="AG29" s="225" t="s">
        <v>249</v>
      </c>
      <c r="AH29" s="226" t="s">
        <v>250</v>
      </c>
      <c r="AI29" s="227">
        <f>'MF FINAL'!$AZ$10*AL29</f>
        <v>0</v>
      </c>
      <c r="AJ29" s="355">
        <v>13</v>
      </c>
      <c r="AK29" s="355">
        <v>14</v>
      </c>
      <c r="AL29" s="197">
        <f t="shared" ref="AL29:AL37" si="1">IF(OR(VALUE($AC$19&amp;$AD$19&amp;$AE$19)=AJ29,VALUE($AC$19&amp;$AD$19&amp;$AE$19)=AK29),1,0)</f>
        <v>0</v>
      </c>
    </row>
    <row r="30" spans="24:38" ht="15">
      <c r="AF30" s="203">
        <v>14</v>
      </c>
      <c r="AG30" s="207"/>
      <c r="AH30" s="208" t="s">
        <v>251</v>
      </c>
      <c r="AI30" s="206">
        <f>'MF FINAL'!$AZ$19*AL30</f>
        <v>0</v>
      </c>
      <c r="AJ30" s="355">
        <v>13</v>
      </c>
      <c r="AK30" s="355">
        <v>14</v>
      </c>
      <c r="AL30" s="197">
        <f t="shared" si="1"/>
        <v>0</v>
      </c>
    </row>
    <row r="31" spans="24:38" ht="15">
      <c r="AF31" s="203">
        <v>15</v>
      </c>
      <c r="AG31" s="207"/>
      <c r="AH31" s="208" t="s">
        <v>252</v>
      </c>
      <c r="AI31" s="206">
        <f>'MF FINAL'!$AZ$28*AL31</f>
        <v>0</v>
      </c>
      <c r="AJ31" s="355">
        <v>13</v>
      </c>
      <c r="AK31" s="355">
        <v>14</v>
      </c>
      <c r="AL31" s="197">
        <f t="shared" si="1"/>
        <v>0</v>
      </c>
    </row>
    <row r="32" spans="24:38" ht="15">
      <c r="AF32" s="203">
        <v>16</v>
      </c>
      <c r="AG32" s="211" t="s">
        <v>253</v>
      </c>
      <c r="AH32" s="208" t="s">
        <v>250</v>
      </c>
      <c r="AI32" s="206">
        <f>'MF FINAL'!$AZ$37*AL32</f>
        <v>0</v>
      </c>
      <c r="AJ32" s="355">
        <v>23</v>
      </c>
      <c r="AK32" s="355">
        <v>24</v>
      </c>
      <c r="AL32" s="197">
        <f t="shared" si="1"/>
        <v>0</v>
      </c>
    </row>
    <row r="33" spans="32:38" ht="15">
      <c r="AF33" s="203">
        <v>17</v>
      </c>
      <c r="AG33" s="207"/>
      <c r="AH33" s="208" t="s">
        <v>251</v>
      </c>
      <c r="AI33" s="206">
        <f>'MF FINAL'!$AZ$46*AL33</f>
        <v>0</v>
      </c>
      <c r="AJ33" s="355">
        <v>23</v>
      </c>
      <c r="AK33" s="355">
        <v>24</v>
      </c>
      <c r="AL33" s="197">
        <f t="shared" si="1"/>
        <v>0</v>
      </c>
    </row>
    <row r="34" spans="32:38" ht="15">
      <c r="AF34" s="203">
        <v>18</v>
      </c>
      <c r="AG34" s="215"/>
      <c r="AH34" s="208" t="s">
        <v>252</v>
      </c>
      <c r="AI34" s="206">
        <f>'MF FINAL'!$AZ$55*AL34</f>
        <v>0</v>
      </c>
      <c r="AJ34" s="355">
        <v>23</v>
      </c>
      <c r="AK34" s="355">
        <v>24</v>
      </c>
      <c r="AL34" s="197">
        <f t="shared" si="1"/>
        <v>0</v>
      </c>
    </row>
    <row r="35" spans="32:38" ht="15">
      <c r="AF35" s="203">
        <v>19</v>
      </c>
      <c r="AG35" s="211" t="s">
        <v>256</v>
      </c>
      <c r="AH35" s="208" t="s">
        <v>250</v>
      </c>
      <c r="AI35" s="206">
        <f>'MF FINAL'!$AZ$73*AL35</f>
        <v>0</v>
      </c>
      <c r="AJ35" s="355">
        <v>33</v>
      </c>
      <c r="AK35" s="355">
        <v>34</v>
      </c>
      <c r="AL35" s="197">
        <f t="shared" si="1"/>
        <v>0</v>
      </c>
    </row>
    <row r="36" spans="32:38" ht="15">
      <c r="AF36" s="203">
        <v>20</v>
      </c>
      <c r="AG36" s="215"/>
      <c r="AH36" s="208" t="s">
        <v>251</v>
      </c>
      <c r="AI36" s="206">
        <f>'MF FINAL'!$AZ$82*AL36</f>
        <v>0</v>
      </c>
      <c r="AJ36" s="355">
        <v>33</v>
      </c>
      <c r="AK36" s="355">
        <v>34</v>
      </c>
      <c r="AL36" s="197">
        <f t="shared" si="1"/>
        <v>0</v>
      </c>
    </row>
    <row r="37" spans="32:38" ht="15.75" thickBot="1">
      <c r="AF37" s="218">
        <v>21</v>
      </c>
      <c r="AG37" s="228"/>
      <c r="AH37" s="220" t="s">
        <v>252</v>
      </c>
      <c r="AI37" s="221">
        <f>'MF FINAL'!$AZ$91*AL37</f>
        <v>0</v>
      </c>
      <c r="AJ37" s="355">
        <v>33</v>
      </c>
      <c r="AK37" s="355">
        <v>34</v>
      </c>
      <c r="AL37" s="197">
        <f t="shared" si="1"/>
        <v>0</v>
      </c>
    </row>
    <row r="38" spans="32:38" ht="39" customHeight="1"/>
  </sheetData>
  <mergeCells count="10">
    <mergeCell ref="B11:E11"/>
    <mergeCell ref="F11:H11"/>
    <mergeCell ref="AF14:AI14"/>
    <mergeCell ref="AF28:AI28"/>
    <mergeCell ref="B1:F1"/>
    <mergeCell ref="G1:K1"/>
    <mergeCell ref="L1:P1"/>
    <mergeCell ref="Q1:U1"/>
    <mergeCell ref="B10:E10"/>
    <mergeCell ref="F10:H10"/>
  </mergeCells>
  <conditionalFormatting sqref="B13:F15 H13:H15">
    <cfRule type="cellIs" dxfId="3" priority="5" stopIfTrue="1" operator="greaterThan">
      <formula>0</formula>
    </cfRule>
    <cfRule type="cellIs" priority="6" stopIfTrue="1" operator="greaterThan">
      <formula>0</formula>
    </cfRule>
  </conditionalFormatting>
  <conditionalFormatting sqref="B16:F16 H16">
    <cfRule type="cellIs" dxfId="2" priority="3" stopIfTrue="1" operator="greaterThan">
      <formula>0</formula>
    </cfRule>
    <cfRule type="cellIs" priority="4" stopIfTrue="1" operator="greaterThan">
      <formula>0</formula>
    </cfRule>
  </conditionalFormatting>
  <conditionalFormatting sqref="B3:U7">
    <cfRule type="cellIs" dxfId="1" priority="2" operator="greaterThan">
      <formula>0</formula>
    </cfRule>
  </conditionalFormatting>
  <conditionalFormatting sqref="B13:H1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14</vt:i4>
      </vt:variant>
    </vt:vector>
  </HeadingPairs>
  <TitlesOfParts>
    <vt:vector size="26" baseType="lpstr">
      <vt:lpstr>ENCL 2013</vt:lpstr>
      <vt:lpstr>BUSBAR 2013</vt:lpstr>
      <vt:lpstr>WIRING 2013</vt:lpstr>
      <vt:lpstr>RESULTS</vt:lpstr>
      <vt:lpstr>Busbar Calculations</vt:lpstr>
      <vt:lpstr>BUSBAR DATA</vt:lpstr>
      <vt:lpstr>ROUTING</vt:lpstr>
      <vt:lpstr>MF-STEEL(KG)</vt:lpstr>
      <vt:lpstr>MACHINE RATE</vt:lpstr>
      <vt:lpstr>BOM</vt:lpstr>
      <vt:lpstr>MF FINAL</vt:lpstr>
      <vt:lpstr>Steel Calculations</vt:lpstr>
      <vt:lpstr>BUSBAR1_CLEAR</vt:lpstr>
      <vt:lpstr>BUSBAR2_CLEAR</vt:lpstr>
      <vt:lpstr>BUSBAR3_CLEAR</vt:lpstr>
      <vt:lpstr>BUSBAR4_CLEAR</vt:lpstr>
      <vt:lpstr>BUSBAR5_CLEAR</vt:lpstr>
      <vt:lpstr>BUSBAR6_CLEAR</vt:lpstr>
      <vt:lpstr>BUSBAR7_CLEAR</vt:lpstr>
      <vt:lpstr>datatable1</vt:lpstr>
      <vt:lpstr>datatable2</vt:lpstr>
      <vt:lpstr>LIST</vt:lpstr>
      <vt:lpstr>'MF FINAL'!Print_Area</vt:lpstr>
      <vt:lpstr>Table_New</vt:lpstr>
      <vt:lpstr>Table_Old</vt:lpstr>
      <vt:lpstr>WIRING_CLEAR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***</dc:creator>
  <cp:lastModifiedBy>Emil Alkara</cp:lastModifiedBy>
  <cp:lastPrinted>2012-11-07T06:43:57Z</cp:lastPrinted>
  <dcterms:created xsi:type="dcterms:W3CDTF">2004-12-15T14:17:50Z</dcterms:created>
  <dcterms:modified xsi:type="dcterms:W3CDTF">2015-03-25T06:31:44Z</dcterms:modified>
</cp:coreProperties>
</file>