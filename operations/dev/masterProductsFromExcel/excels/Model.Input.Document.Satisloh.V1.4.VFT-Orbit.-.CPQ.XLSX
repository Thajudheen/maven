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ebastian.siemoleit\gitRepos\devops\operations\dev\masterProductsFromExcel\excels\"/>
    </mc:Choice>
  </mc:AlternateContent>
  <bookViews>
    <workbookView xWindow="0" yWindow="0" windowWidth="28710" windowHeight="13680" activeTab="2"/>
  </bookViews>
  <sheets>
    <sheet name="Revision" sheetId="1" r:id="rId1"/>
    <sheet name="Root Material" sheetId="2" r:id="rId2"/>
    <sheet name="BOM" sheetId="3" r:id="rId3"/>
    <sheet name="Configuration" sheetId="4" r:id="rId4"/>
    <sheet name="ERP Org" sheetId="5" state="hidden" r:id="rId5"/>
  </sheets>
  <definedNames>
    <definedName name="Automation">Configuration!$M$13:$M$17</definedName>
    <definedName name="bool">Configuration!#REF!</definedName>
    <definedName name="bool_itm">#REF!</definedName>
    <definedName name="chiller">#REF!</definedName>
    <definedName name="chuck">Configuration!$M$26:$M$29</definedName>
    <definedName name="Coolant_System">#REF!</definedName>
    <definedName name="cycles">#REF!</definedName>
    <definedName name="DC">'ERP Org'!$H$4:$H$17</definedName>
    <definedName name="int">#REF!</definedName>
    <definedName name="Plant">'ERP Org'!$L$4:$L$16</definedName>
    <definedName name="SalesOrg">'ERP Org'!$C$4:$C$13</definedName>
    <definedName name="type">Configuration!#REF!</definedName>
  </definedNames>
  <calcPr calcId="152511"/>
</workbook>
</file>

<file path=xl/calcChain.xml><?xml version="1.0" encoding="utf-8"?>
<calcChain xmlns="http://schemas.openxmlformats.org/spreadsheetml/2006/main">
  <c r="H17" i="5" l="1"/>
  <c r="L16" i="5"/>
  <c r="H16" i="5"/>
  <c r="L15" i="5"/>
  <c r="H15" i="5"/>
  <c r="L14" i="5"/>
  <c r="H14" i="5"/>
  <c r="L13" i="5"/>
  <c r="H13" i="5"/>
  <c r="C13" i="5"/>
  <c r="L12" i="5"/>
  <c r="H12" i="5"/>
  <c r="C12" i="5"/>
  <c r="L11" i="5"/>
  <c r="H11" i="5"/>
  <c r="C11" i="5"/>
  <c r="L10" i="5"/>
  <c r="H10" i="5"/>
  <c r="C10" i="5"/>
  <c r="L9" i="5"/>
  <c r="H9" i="5"/>
  <c r="C9" i="5"/>
  <c r="L8" i="5"/>
  <c r="H8" i="5"/>
  <c r="C8" i="5"/>
  <c r="L7" i="5"/>
  <c r="H7" i="5"/>
  <c r="C7" i="5"/>
  <c r="L6" i="5"/>
  <c r="H6" i="5"/>
  <c r="C6" i="5"/>
  <c r="L5" i="5"/>
  <c r="H5" i="5"/>
  <c r="C5" i="5"/>
  <c r="L4" i="5"/>
  <c r="H4" i="5"/>
  <c r="C4" i="5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</calcChain>
</file>

<file path=xl/comments1.xml><?xml version="1.0" encoding="utf-8"?>
<comments xmlns="http://schemas.openxmlformats.org/spreadsheetml/2006/main">
  <authors>
    <author>friedrich.teucher</author>
  </authors>
  <commentList>
    <comment ref="I5" authorId="0" shapeId="0">
      <text>
        <r>
          <rPr>
            <sz val="9"/>
            <color indexed="81"/>
            <rFont val="宋体"/>
            <charset val="134"/>
          </rPr>
          <t xml:space="preserve">friedrich.teucher:
x…characteristic has </t>
        </r>
      </text>
    </comment>
    <comment ref="E6" authorId="0" shapeId="0">
      <text>
        <r>
          <rPr>
            <sz val="9"/>
            <color indexed="81"/>
            <rFont val="宋体"/>
            <charset val="134"/>
          </rPr>
          <t>friedrich.teucher:
Characteristic</t>
        </r>
      </text>
    </comment>
    <comment ref="F6" authorId="0" shapeId="0">
      <text>
        <r>
          <rPr>
            <sz val="9"/>
            <color indexed="81"/>
            <rFont val="宋体"/>
            <charset val="134"/>
          </rPr>
          <t>friedrich.teucher:
Characteristic</t>
        </r>
      </text>
    </comment>
    <comment ref="L7" authorId="0" shapeId="0">
      <text>
        <r>
          <rPr>
            <sz val="9"/>
            <color indexed="81"/>
            <rFont val="宋体"/>
            <charset val="134"/>
          </rPr>
          <t>friedrich.teucher:
Values for above characteristic</t>
        </r>
      </text>
    </comment>
    <comment ref="M7" authorId="0" shapeId="0">
      <text>
        <r>
          <rPr>
            <sz val="9"/>
            <color indexed="81"/>
            <rFont val="宋体"/>
            <charset val="134"/>
          </rPr>
          <t>friedrich.teucher:
Values for above characteristic</t>
        </r>
      </text>
    </comment>
  </commentList>
</comments>
</file>

<file path=xl/sharedStrings.xml><?xml version="1.0" encoding="utf-8"?>
<sst xmlns="http://schemas.openxmlformats.org/spreadsheetml/2006/main" count="1091" uniqueCount="508">
  <si>
    <t>Date</t>
  </si>
  <si>
    <t>Description</t>
  </si>
  <si>
    <t>Version</t>
  </si>
  <si>
    <t>Author</t>
  </si>
  <si>
    <t>Status Implementation</t>
  </si>
  <si>
    <t>Status Product Knowledge</t>
  </si>
  <si>
    <t>Change Valid From in ERP</t>
  </si>
  <si>
    <t>Knowledge Base Version CRM</t>
  </si>
  <si>
    <t>Document created</t>
  </si>
  <si>
    <t>1.0</t>
  </si>
  <si>
    <t>F. Teucher</t>
  </si>
  <si>
    <t>not implemented</t>
  </si>
  <si>
    <t>not released</t>
  </si>
  <si>
    <t>1st Review together with Kari and Ian</t>
  </si>
  <si>
    <t>1.1</t>
  </si>
  <si>
    <t>Review Calibration Options</t>
  </si>
  <si>
    <t>1.2</t>
  </si>
  <si>
    <t>Prepared for CPQ models</t>
  </si>
  <si>
    <t>1.3</t>
  </si>
  <si>
    <t>1.4</t>
  </si>
  <si>
    <t>Product</t>
  </si>
  <si>
    <t>Labels</t>
  </si>
  <si>
    <t>Name</t>
  </si>
  <si>
    <t>VFT-Orbit</t>
  </si>
  <si>
    <t>EN</t>
  </si>
  <si>
    <t>VFT-orbit GENERATING SYSTEM</t>
  </si>
  <si>
    <t>productImage</t>
  </si>
  <si>
    <t>VFT-Orbit.jpg</t>
  </si>
  <si>
    <t>DE</t>
  </si>
  <si>
    <t>UnitofMeasure</t>
  </si>
  <si>
    <t>Piece</t>
  </si>
  <si>
    <t>BOM allowed</t>
  </si>
  <si>
    <t>true</t>
  </si>
  <si>
    <t>Optional allowed</t>
  </si>
  <si>
    <t>false</t>
  </si>
  <si>
    <t>Discount allowed</t>
  </si>
  <si>
    <t>Export to ECC</t>
  </si>
  <si>
    <t>??</t>
  </si>
  <si>
    <t>Export to CRM</t>
  </si>
  <si>
    <t>Product Status</t>
  </si>
  <si>
    <t>active</t>
  </si>
  <si>
    <t>Category</t>
  </si>
  <si>
    <t>KMATCategory</t>
  </si>
  <si>
    <t>KnowledgeBase Name</t>
  </si>
  <si>
    <t>VFT-Orbit-KB</t>
  </si>
  <si>
    <t>ERP Material Code</t>
  </si>
  <si>
    <t>CPQ productECCId</t>
  </si>
  <si>
    <t>Sales BOM</t>
  </si>
  <si>
    <t>CPQ product ID</t>
  </si>
  <si>
    <t>01-051-052</t>
  </si>
  <si>
    <t>Basic Machine</t>
  </si>
  <si>
    <t>Machine</t>
  </si>
  <si>
    <t>01-051-022</t>
  </si>
  <si>
    <t>High speed lens loading system with conveyor belt - back-to-front</t>
  </si>
  <si>
    <t>VFT-Orbit-Loading-Front</t>
  </si>
  <si>
    <t>01-051-023</t>
  </si>
  <si>
    <t>High speed lens loading system with conveyor belt - front-to-back</t>
  </si>
  <si>
    <t>VFT-Orbit-Loading-Back</t>
  </si>
  <si>
    <t>01-051-985</t>
  </si>
  <si>
    <t>CZV: Automatic VFT-orbit lens loading system for CZV</t>
  </si>
  <si>
    <t>VFT-Orbit-Loading-CZV</t>
  </si>
  <si>
    <t>01-051-243</t>
  </si>
  <si>
    <t>Nikon: High speed lens loading system for Nikon</t>
  </si>
  <si>
    <t>VFT-Orbit-Loading-Nikon</t>
  </si>
  <si>
    <t>02-053-120</t>
  </si>
  <si>
    <t xml:space="preserve">Cover </t>
  </si>
  <si>
    <t>VFT-Orbit-Loading-Cover</t>
  </si>
  <si>
    <t>02-054-405</t>
  </si>
  <si>
    <t>Collet chuck for Satisloh alloy and OPS blockpiece</t>
  </si>
  <si>
    <t>02-064-812</t>
  </si>
  <si>
    <t>Collet chuck for OBM blockpiece</t>
  </si>
  <si>
    <t>02-056-129</t>
  </si>
  <si>
    <t>Collet chuck complete for Essilor</t>
  </si>
  <si>
    <t>02-054-408</t>
  </si>
  <si>
    <t>Collet chuck complete for CZV</t>
  </si>
  <si>
    <t>02-054-409</t>
  </si>
  <si>
    <t>Collet chuck complete for Hoya</t>
  </si>
  <si>
    <t>02-053-108</t>
  </si>
  <si>
    <t>Second Fast Tool with accessories, water cooled; includes</t>
  </si>
  <si>
    <t>02-051-747</t>
  </si>
  <si>
    <t>Autocalibration with automatic protection cover</t>
  </si>
  <si>
    <t>02-053-030</t>
  </si>
  <si>
    <t>Cover plate when there is no Autocalibration probe</t>
  </si>
  <si>
    <t>02-059-350</t>
  </si>
  <si>
    <t>UPS Uninterruptable Power Supply unit for VFT-orbit</t>
  </si>
  <si>
    <t>VFT-Orbit-UPS</t>
  </si>
  <si>
    <t>02-060-343</t>
  </si>
  <si>
    <t>Handscanner  IDM140-201D USB</t>
  </si>
  <si>
    <t>02-054-594</t>
  </si>
  <si>
    <t>Barcode Scanner from above the job tray for Nikon</t>
  </si>
  <si>
    <t>02-053-281</t>
  </si>
  <si>
    <t>RFID reader system Omron for Nikon</t>
  </si>
  <si>
    <t>02-052-828</t>
  </si>
  <si>
    <t>Option Mobi I for CZV</t>
  </si>
  <si>
    <t>02-053-579</t>
  </si>
  <si>
    <t>Conversion to double tray operation</t>
  </si>
  <si>
    <t>02-058-610</t>
  </si>
  <si>
    <t>Option Hoya</t>
  </si>
  <si>
    <t>02-061-166</t>
  </si>
  <si>
    <t>Power up machine with cascading option</t>
  </si>
  <si>
    <t>03-000-005</t>
  </si>
  <si>
    <t>All Format software package</t>
  </si>
  <si>
    <t>03-000-006</t>
  </si>
  <si>
    <t>Dual surface generation</t>
  </si>
  <si>
    <t>03-000-007</t>
  </si>
  <si>
    <t>VFT - Integrated Topography Measurement</t>
  </si>
  <si>
    <t>02-053-386</t>
  </si>
  <si>
    <t>Engraving option for VFT-orbit</t>
  </si>
  <si>
    <t>02-058-224</t>
  </si>
  <si>
    <t>Cribbing option (for small lens diameter)</t>
  </si>
  <si>
    <t>02-063-182</t>
  </si>
  <si>
    <t>Performance Package Speed</t>
  </si>
  <si>
    <t>02-057-628</t>
  </si>
  <si>
    <t>Adaptive Milling option</t>
  </si>
  <si>
    <t>02-053-730</t>
  </si>
  <si>
    <t>Coolant System</t>
  </si>
  <si>
    <t>Options</t>
  </si>
  <si>
    <t>02-061-164</t>
  </si>
  <si>
    <t>Integrated Coolant System</t>
  </si>
  <si>
    <t>02-061-165</t>
  </si>
  <si>
    <t>Integrated Coolant System PRO</t>
  </si>
  <si>
    <t>02-059-097</t>
  </si>
  <si>
    <t>Chiller unit C25 50/60 cycles</t>
  </si>
  <si>
    <t>20-053-039</t>
  </si>
  <si>
    <t>External temperature sensor for Chiller C25</t>
  </si>
  <si>
    <t>02-060-562</t>
  </si>
  <si>
    <t>Chiller unit C45 50 cycles</t>
  </si>
  <si>
    <t>02-060-780</t>
  </si>
  <si>
    <t>Chiller unit C45 60 cycles</t>
  </si>
  <si>
    <t>92-002-623</t>
  </si>
  <si>
    <t>Torque wrench for adjusting</t>
  </si>
  <si>
    <t>02-052-027</t>
  </si>
  <si>
    <t>Axis adjustment equipment</t>
  </si>
  <si>
    <t>02-053-216</t>
  </si>
  <si>
    <t>Customer-kit BASIC (automated version)</t>
  </si>
  <si>
    <t>02-053-217</t>
  </si>
  <si>
    <t>Customer-kit ADVANCED (automated version)</t>
  </si>
  <si>
    <t>02-057-298</t>
  </si>
  <si>
    <t>Customer-kit BASIC (manual version)</t>
  </si>
  <si>
    <t>02-057-297</t>
  </si>
  <si>
    <t>Customer-kit ADVANCED (manual version)</t>
  </si>
  <si>
    <t>02-051-303</t>
  </si>
  <si>
    <t xml:space="preserve">Meassuring tool kit </t>
  </si>
  <si>
    <t>02-000-882</t>
  </si>
  <si>
    <t>Center thickness measurement unit</t>
  </si>
  <si>
    <t>06-100-006</t>
  </si>
  <si>
    <t>Remote STEP service program</t>
  </si>
  <si>
    <t>92-009-346</t>
  </si>
  <si>
    <t>12 PCD cutter disc complete L</t>
  </si>
  <si>
    <t>Tools</t>
  </si>
  <si>
    <t>92-002-738</t>
  </si>
  <si>
    <t>Polycrystalline disc cutter T 66, 8 cutting tips</t>
  </si>
  <si>
    <t>92-009-041</t>
  </si>
  <si>
    <t>Cribbing cutter for small cribbing option</t>
  </si>
  <si>
    <t>92-007-611</t>
  </si>
  <si>
    <t xml:space="preserve">Turning tip PCD R 2mm </t>
  </si>
  <si>
    <t>92-007-626</t>
  </si>
  <si>
    <t>Turning tip R: 2mm Diamond</t>
  </si>
  <si>
    <t>92-008-053</t>
  </si>
  <si>
    <t>twin action diamond R 2mm</t>
  </si>
  <si>
    <t>92-007-241</t>
  </si>
  <si>
    <t xml:space="preserve">PCD-tipped indexable insert </t>
  </si>
  <si>
    <t>92-007-078</t>
  </si>
  <si>
    <t xml:space="preserve">Spare engraving pin </t>
  </si>
  <si>
    <t>06-003-400</t>
  </si>
  <si>
    <t>Service Ophthalmic Surfacing</t>
  </si>
  <si>
    <t>Service</t>
  </si>
  <si>
    <t>06-001-148</t>
  </si>
  <si>
    <t>Customized training in our Academy in Wetzlar per Person, per Day</t>
  </si>
  <si>
    <t>06-903-036</t>
  </si>
  <si>
    <t>Customized training in our Academy in Wetzlar additional Person, per Day</t>
  </si>
  <si>
    <t>06-903-038</t>
  </si>
  <si>
    <t>Customized training on customer site per Day</t>
  </si>
  <si>
    <t>06-001-140</t>
  </si>
  <si>
    <t>Installation Surfacing</t>
  </si>
  <si>
    <t>06-901-196</t>
  </si>
  <si>
    <t>Fligh, Hotel accomodation (Surfacing) Actual Cost</t>
  </si>
  <si>
    <t>Group name</t>
  </si>
  <si>
    <t>Group Label EN</t>
  </si>
  <si>
    <t>Group Label DE</t>
  </si>
  <si>
    <t>characteristic object name</t>
  </si>
  <si>
    <t>Characteristic Label DE</t>
  </si>
  <si>
    <t>Characteristic Label EN</t>
  </si>
  <si>
    <t>Input Mandatory</t>
  </si>
  <si>
    <t>multiselect</t>
  </si>
  <si>
    <t>enumerable</t>
  </si>
  <si>
    <t>Default</t>
  </si>
  <si>
    <t>value object name</t>
  </si>
  <si>
    <t>VALUE Label DE</t>
  </si>
  <si>
    <t>VALUE Label EN</t>
  </si>
  <si>
    <t>Component Selection</t>
  </si>
  <si>
    <t>Rule</t>
  </si>
  <si>
    <t>Comment</t>
  </si>
  <si>
    <t>VFT_ORBIT_VOLTAGE</t>
  </si>
  <si>
    <t>Voltage</t>
  </si>
  <si>
    <t>x</t>
  </si>
  <si>
    <t>VFT_ORBIT_VOLTAGE_200</t>
  </si>
  <si>
    <t>200 Volt  3 Phases  50/60 HZ</t>
  </si>
  <si>
    <t>VFT_ORBIT_VOLTAGE_208</t>
  </si>
  <si>
    <t>208 Volt  3 Phases  50/60 HZ</t>
  </si>
  <si>
    <t>VFT_ORBIT_VOLTAGE_220</t>
  </si>
  <si>
    <t>220 Volt  3 Phases  50/60 HZ</t>
  </si>
  <si>
    <t>VFT_ORBIT_VOLTAGE_240</t>
  </si>
  <si>
    <t>240 Volt  3 Phases  50/60 HZ</t>
  </si>
  <si>
    <t>VFT_ORBIT_VOLTAGE_400</t>
  </si>
  <si>
    <t>400 Volt  3 Phases  50/60 HZ</t>
  </si>
  <si>
    <t>VFT_ORBIT_AUTOMATION</t>
  </si>
  <si>
    <t>Automation</t>
  </si>
  <si>
    <t>VFT_ORBIT_AUTOMATION_NONE</t>
  </si>
  <si>
    <t>None</t>
  </si>
  <si>
    <t>02053120</t>
  </si>
  <si>
    <t>VFT_ORBIT_AUTOMATION_STANDARD1</t>
  </si>
  <si>
    <t>Standard (back to front)</t>
  </si>
  <si>
    <t>01051022</t>
  </si>
  <si>
    <t>VFT_ORBIT_AUTOMATION_STANDARD2</t>
  </si>
  <si>
    <t>Standard (front to back)</t>
  </si>
  <si>
    <t>01051023</t>
  </si>
  <si>
    <t>VFT_ORBIT_AUTOMATION_CZV</t>
  </si>
  <si>
    <t>CZV</t>
  </si>
  <si>
    <t>01051985</t>
  </si>
  <si>
    <t>VFT_ORBIT_AUTOMATION_NIKON</t>
  </si>
  <si>
    <t>Nikon</t>
  </si>
  <si>
    <t>01051243</t>
  </si>
  <si>
    <t>VFT_ORBIT_ACC_AUTOMATION</t>
  </si>
  <si>
    <t>Accessory for Automation</t>
  </si>
  <si>
    <t/>
  </si>
  <si>
    <t>VFT_ORBIT_ACC_AUTOMATION_MOBI</t>
  </si>
  <si>
    <t>Mobi I</t>
  </si>
  <si>
    <t>02052828</t>
  </si>
  <si>
    <t>selected if Automation=CZV</t>
  </si>
  <si>
    <t>ok</t>
  </si>
  <si>
    <t>VFT_ORBIT_ACC_AUTOMATION_RFID</t>
  </si>
  <si>
    <t>RFID reader system Omron</t>
  </si>
  <si>
    <t>02053281</t>
  </si>
  <si>
    <t>selectable if Automation=Nikon</t>
  </si>
  <si>
    <t>VFT_ORBIT_ACC_AUTOMATION_BARCODE</t>
  </si>
  <si>
    <t>Barcode Scanner from above the job tray</t>
  </si>
  <si>
    <t>02054594</t>
  </si>
  <si>
    <t>VFT_ORBIT_ACC_AUTOMATION_HANDSCANNER</t>
  </si>
  <si>
    <t>Handscanner</t>
  </si>
  <si>
    <t>02060343</t>
  </si>
  <si>
    <t>selected if Automation=None</t>
  </si>
  <si>
    <t>VFT_ORBIT_ACC_AUTOMATION_SINGLETRAY</t>
  </si>
  <si>
    <t>single tray operation</t>
  </si>
  <si>
    <t>selectable if Automation=Standard (back to front) or Standard (front to back)</t>
  </si>
  <si>
    <t>VFT_ORBIT_ACC_AUTOMATION_CONVERSIONDOUBLE</t>
  </si>
  <si>
    <t>02053579</t>
  </si>
  <si>
    <t>VFT_ORBIT_CHUCK</t>
  </si>
  <si>
    <t>Collet chuck</t>
  </si>
  <si>
    <t>VFT_ORBIT_CHUCK_OPS</t>
  </si>
  <si>
    <t>Satisloh alloy and OPS blockp.</t>
  </si>
  <si>
    <t>02054405</t>
  </si>
  <si>
    <t>VFT_ORBIT_CHUCK_OBM</t>
  </si>
  <si>
    <t>for OBM blockpiece</t>
  </si>
  <si>
    <t>02064812</t>
  </si>
  <si>
    <t>VFT_ORBIT_CHUCK_Essilor</t>
  </si>
  <si>
    <t>complete for Essilor</t>
  </si>
  <si>
    <t>02056129</t>
  </si>
  <si>
    <t>VFT_ORBIT_CHUCK_CZV</t>
  </si>
  <si>
    <t>complete for CZV</t>
  </si>
  <si>
    <t>02054408</t>
  </si>
  <si>
    <t>VFT_ORBIT_CHUCK_HOYA</t>
  </si>
  <si>
    <t>complete for Hoya</t>
  </si>
  <si>
    <t>02054409</t>
  </si>
  <si>
    <t>VFT_ORBIT_SFT</t>
  </si>
  <si>
    <t>Second Fast Tool</t>
  </si>
  <si>
    <t>VFT_ORBIT_SFT_NO</t>
  </si>
  <si>
    <t>No</t>
  </si>
  <si>
    <t>VFT_ORBIT_SFT_YES</t>
  </si>
  <si>
    <t>Yes</t>
  </si>
  <si>
    <t>02053108</t>
  </si>
  <si>
    <t>VFT_ORBIT_AUTOCALIBRATION</t>
  </si>
  <si>
    <t>Autocalibration</t>
  </si>
  <si>
    <t>VFT_ORBIT_AUTOCALIBRATION_NO</t>
  </si>
  <si>
    <t>02053030</t>
  </si>
  <si>
    <t>VFT_ORBIT_AUTOCALIBRATION_YES</t>
  </si>
  <si>
    <t>02051747</t>
  </si>
  <si>
    <t>VFT_ORBIT_UPS</t>
  </si>
  <si>
    <t>UPS</t>
  </si>
  <si>
    <t>VFT_ORBIT_UPS_NO</t>
  </si>
  <si>
    <t>VFT_ORBIT_UPS_YES</t>
  </si>
  <si>
    <t>02059350</t>
  </si>
  <si>
    <t>VFT_ORBIT_HOYA</t>
  </si>
  <si>
    <t>Hoya</t>
  </si>
  <si>
    <t>VFT_ORBIT_HOYA_NO</t>
  </si>
  <si>
    <t>VFT_ORBIT_HOYA_YES</t>
  </si>
  <si>
    <t>02058610</t>
  </si>
  <si>
    <t>VFT_ORBIT_POWERUP</t>
  </si>
  <si>
    <t>Power up machine w. cascading</t>
  </si>
  <si>
    <t>VFT_ORBIT_POWERUP_NO</t>
  </si>
  <si>
    <t>VFT_ORBIT_POWERUP_YES</t>
  </si>
  <si>
    <t>02061166</t>
  </si>
  <si>
    <t>VFT_ORBIT_ENGRAVING</t>
  </si>
  <si>
    <t>Engraving</t>
  </si>
  <si>
    <t>VFT_ORBIT_ENGRAVING_NO</t>
  </si>
  <si>
    <t>VFT_ORBIT_ENGRAVING_YES</t>
  </si>
  <si>
    <t>02053386</t>
  </si>
  <si>
    <t>VFT_ORBIT_CRIBBING</t>
  </si>
  <si>
    <t>Cribbing</t>
  </si>
  <si>
    <t>VFT_ORBIT_CRIBBING_NO</t>
  </si>
  <si>
    <t>VFT_ORBIT_CRIBBING_YES</t>
  </si>
  <si>
    <t>02058224</t>
  </si>
  <si>
    <t>VFT_ORBIT_PPSPEED</t>
  </si>
  <si>
    <t>VFT_ORBIT_PPSPEED_NO</t>
  </si>
  <si>
    <t>VFT_ORBIT_PPSPEED_YES</t>
  </si>
  <si>
    <t>02063182</t>
  </si>
  <si>
    <t>VFT_ORBIT_ADAPTIVEMILLING</t>
  </si>
  <si>
    <t>VFT_ORBIT_ADAPTIVEMILLING_NO</t>
  </si>
  <si>
    <t>VFT_ORBIT_ADAPTIVEMILLING_YES</t>
  </si>
  <si>
    <t>02057628</t>
  </si>
  <si>
    <t>Software</t>
  </si>
  <si>
    <t>VFT_ORBIT_FORMATSOFTWARE</t>
  </si>
  <si>
    <t>VFT_ORBIT_FORMATSOFTWARE_NO</t>
  </si>
  <si>
    <t>VFT_ORBIT_FORMATSOFTWARE_YES</t>
  </si>
  <si>
    <t>03000005</t>
  </si>
  <si>
    <t>03000006</t>
  </si>
  <si>
    <t>VFT_ORBIT_ITM</t>
  </si>
  <si>
    <t>Integrated Topography Measure.</t>
  </si>
  <si>
    <t>VFT_ORBIT_ITM_NO</t>
  </si>
  <si>
    <t>VFT_ORBIT_ITM_YES</t>
  </si>
  <si>
    <t>03000007</t>
  </si>
  <si>
    <t>Coolant</t>
  </si>
  <si>
    <t>VFT_ORBIT_COOLANT</t>
  </si>
  <si>
    <t>VFT_ORBIT_COOLANT_NONE</t>
  </si>
  <si>
    <t>VFT_ORBIT_COOLANT_COOLANT</t>
  </si>
  <si>
    <t>02053730</t>
  </si>
  <si>
    <t>VFT_ORBIT_COOLANT_ICS</t>
  </si>
  <si>
    <t>02061164</t>
  </si>
  <si>
    <t>VFT_ORBIT_COOLANT_ICSPRO</t>
  </si>
  <si>
    <t>02061165</t>
  </si>
  <si>
    <t>VFT_ORBIT_CHILLER</t>
  </si>
  <si>
    <t>Chiller</t>
  </si>
  <si>
    <t>VFT_ORBIT_CHILLER_NONE</t>
  </si>
  <si>
    <t>VFT_ORBIT_CHILLER_C25</t>
  </si>
  <si>
    <t>Chiller unit C25, 230 V, 50/60 cycles, 1 Ph.</t>
  </si>
  <si>
    <t>02059097</t>
  </si>
  <si>
    <t>VFT_ORBIT_CHILLER_C45_400</t>
  </si>
  <si>
    <t>Chiller Unit C45, 400 V, 50 cycles, 3 Ph.</t>
  </si>
  <si>
    <t>02060562</t>
  </si>
  <si>
    <t>VFT_ORBIT_CHILLER_C45_230</t>
  </si>
  <si>
    <t>Chiller Unit C45, 230 V, 60 cycles, 3 Ph.</t>
  </si>
  <si>
    <t>02060780</t>
  </si>
  <si>
    <t>VFT_ORBIT_CHILLER_SENSOR</t>
  </si>
  <si>
    <t>External temperature sensor</t>
  </si>
  <si>
    <t>only if Chiller=Chiller unit C25</t>
  </si>
  <si>
    <t>VFT_ORBIT_CHILLER_SENSOR_NO</t>
  </si>
  <si>
    <t>VFT_ORBIT_CHILLER_SENSOR_YES</t>
  </si>
  <si>
    <t>20053039</t>
  </si>
  <si>
    <t>Calibration</t>
  </si>
  <si>
    <t>VFT_ORBIT_TWRENCH</t>
  </si>
  <si>
    <t>VFT_ORBIT_TWRENCH_NO</t>
  </si>
  <si>
    <t>VFT_ORBIT_TWRENCH_YES</t>
  </si>
  <si>
    <t>92002623</t>
  </si>
  <si>
    <t>VFT_ORBIT_AXIS_ADJUST</t>
  </si>
  <si>
    <t>VFT_ORBIT_AXIS_ADJUST_NO</t>
  </si>
  <si>
    <t>VFT_ORBIT_AXIS_ADJUST_YES</t>
  </si>
  <si>
    <t>02052027</t>
  </si>
  <si>
    <t>VFT_ORBIT_CALIBRATION</t>
  </si>
  <si>
    <t>Calibration tools at facility</t>
  </si>
  <si>
    <t>VFT_ORBIT_CALIBRATION_NO</t>
  </si>
  <si>
    <t>VFT_ORBIT_CALIBRATION_YES</t>
  </si>
  <si>
    <t>02051303</t>
  </si>
  <si>
    <t>VFT_ORBIT_KIT1</t>
  </si>
  <si>
    <t>Kit BASIC (automated)</t>
  </si>
  <si>
    <t>VFT_ORBIT_KIT1_NO</t>
  </si>
  <si>
    <t>VFT_ORBIT_KIT1_YES</t>
  </si>
  <si>
    <t>02053216</t>
  </si>
  <si>
    <t>VFT_ORBIT_KIT2</t>
  </si>
  <si>
    <t>Kit ADVANCED (automated)</t>
  </si>
  <si>
    <t>VFT_ORBIT_KIT2_NO</t>
  </si>
  <si>
    <t>VFT_ORBIT_KIT2_YES</t>
  </si>
  <si>
    <t>02053217</t>
  </si>
  <si>
    <t>VFT_ORBIT_KIT3</t>
  </si>
  <si>
    <t>Kit BASIC (manual)</t>
  </si>
  <si>
    <t>VFT_ORBIT_KIT3_NO</t>
  </si>
  <si>
    <t>VFT_ORBIT_KIT3_YES</t>
  </si>
  <si>
    <t>02057298</t>
  </si>
  <si>
    <t>VFT_ORBIT_KIT4</t>
  </si>
  <si>
    <t>Kit ADVANCED (manual)</t>
  </si>
  <si>
    <t>VFT_ORBIT_KIT4_NO</t>
  </si>
  <si>
    <t>VFT_ORBIT_KIT4_YES</t>
  </si>
  <si>
    <t>02057297</t>
  </si>
  <si>
    <t>VFT_ORBIT_CTM</t>
  </si>
  <si>
    <t>Center thickness measurement</t>
  </si>
  <si>
    <t>VFT_ORBIT_CTM_NO</t>
  </si>
  <si>
    <t>VFT_ORBIT_CTM_YES</t>
  </si>
  <si>
    <t>02000882</t>
  </si>
  <si>
    <t>VFT_ORBIT_REMOTE_STEP</t>
  </si>
  <si>
    <t>VFT_ORBIT_REMOTE_STEP_NO</t>
  </si>
  <si>
    <t>VFT_ORBIT_REMOTE_STEP_YES</t>
  </si>
  <si>
    <t>06100006</t>
  </si>
  <si>
    <t>VFT_ORBIT_PCD_CUTTER</t>
  </si>
  <si>
    <t>VFT_ORBIT_PCD_CUTTER_NO</t>
  </si>
  <si>
    <t>VFT_ORBIT_PCD_CUTTER_YES</t>
  </si>
  <si>
    <t>92009346</t>
  </si>
  <si>
    <t>VFT_ORBIT_POLYCRYDISC</t>
  </si>
  <si>
    <t>Polycrystalline disc cutter</t>
  </si>
  <si>
    <t>VFT_ORBIT_POLYCRYDISC_NO</t>
  </si>
  <si>
    <t>VFT_ORBIT_POLYCRYDISC_YES</t>
  </si>
  <si>
    <t>92002738</t>
  </si>
  <si>
    <t xml:space="preserve">Cribbing cutter </t>
  </si>
  <si>
    <t>92009041</t>
  </si>
  <si>
    <t>VFT_ORBIT_TURNINGTIPPCD</t>
  </si>
  <si>
    <t>VFT_ORBIT_TURNINGTIPPCD_NO</t>
  </si>
  <si>
    <t>VFT_ORBIT_TURNINGTIPPCD_YES</t>
  </si>
  <si>
    <t>92007611</t>
  </si>
  <si>
    <t>VFT_ORBIT_TURNINGTIPR2</t>
  </si>
  <si>
    <t>VFT_ORBIT_TURNINGTIPR2_NO</t>
  </si>
  <si>
    <t>VFT_ORBIT_TURNINGTIPR2_YES</t>
  </si>
  <si>
    <t>92007626</t>
  </si>
  <si>
    <t>VFT_ORBIT_MILLINGR2</t>
  </si>
  <si>
    <t>Milling: twin action diamond R 2mm</t>
  </si>
  <si>
    <t>VFT_ORBIT_MILLINGR2_NO</t>
  </si>
  <si>
    <t>VFT_ORBIT_MILLINGR2_YES</t>
  </si>
  <si>
    <t>92008053</t>
  </si>
  <si>
    <t>VFT_ORBIT_MILLINGPCD</t>
  </si>
  <si>
    <t xml:space="preserve">Milling: PCD-tipped indexable insert </t>
  </si>
  <si>
    <t>VFT_ORBIT_MILLINGPCD_NO</t>
  </si>
  <si>
    <t>VFT_ORBIT_MILLINGPCD_YES</t>
  </si>
  <si>
    <t>92007241</t>
  </si>
  <si>
    <t>VFT_ORBIT_MILLINGENGRAVE</t>
  </si>
  <si>
    <t xml:space="preserve">Milling: Spare engraving pin </t>
  </si>
  <si>
    <t>VFT_ORBIT_MILLINGENGRAVE_NO</t>
  </si>
  <si>
    <t>VFT_ORBIT_MILLINGENGRAVE_YES</t>
  </si>
  <si>
    <t>92007078</t>
  </si>
  <si>
    <t>VFT_ORBIT_SERVICE</t>
  </si>
  <si>
    <t>Service included</t>
  </si>
  <si>
    <t>VFT_ORBIT_SERVICE_NO</t>
  </si>
  <si>
    <t>06003400</t>
  </si>
  <si>
    <t>VFT_ORBIT_SERVICE_YES</t>
  </si>
  <si>
    <t>Define Pricing Condition for Input of Actual Cost.</t>
  </si>
  <si>
    <t>VFT_ORBIT_TRAINING</t>
  </si>
  <si>
    <t>Training Academy Wetzlar</t>
  </si>
  <si>
    <t>VFT_ORBIT_TRAINING_NO</t>
  </si>
  <si>
    <t>VFT_ORBIT_TRAINING_YES</t>
  </si>
  <si>
    <t>06001148</t>
  </si>
  <si>
    <t>VFT_ORBIT_TRAINING_ACAD</t>
  </si>
  <si>
    <t>Training Additional at Academy</t>
  </si>
  <si>
    <t>VFT_ORBIT_TRAINING_ACAD_NO</t>
  </si>
  <si>
    <t>VFT_ORBIT_TRAINING_ACAD_YES</t>
  </si>
  <si>
    <t>06903036</t>
  </si>
  <si>
    <t>VFT_ORBIT_TRAINING_ONSITE</t>
  </si>
  <si>
    <t>Training on-site</t>
  </si>
  <si>
    <t>VFT_ORBIT_TRAINING_ONSITE_NO</t>
  </si>
  <si>
    <t>VFT_ORBIT_TRAINING_ONSITE_YES</t>
  </si>
  <si>
    <t>06903038</t>
  </si>
  <si>
    <t>VFT_ORBIT_INSTALLATION_ONSITE</t>
  </si>
  <si>
    <t>Installation Additional Training (on site)</t>
  </si>
  <si>
    <t>VFT_ORBIT_INSTALLATION_ONSITE_NO</t>
  </si>
  <si>
    <t>VFT_ORBIT_INSTALLATION_ONSITE_YES</t>
  </si>
  <si>
    <t>06001140</t>
  </si>
  <si>
    <t>VFT_ORBIT_INSTALLATION_COST</t>
  </si>
  <si>
    <t>Installation Actual Cost</t>
  </si>
  <si>
    <t>VFT_ORBIT_INSTALLATION_COST_NO</t>
  </si>
  <si>
    <t>VFT_ORBIT_INSTALLATION_COST_YES</t>
  </si>
  <si>
    <t>06901196</t>
  </si>
  <si>
    <t>Sales Org</t>
  </si>
  <si>
    <t>Distribution Channel</t>
  </si>
  <si>
    <t>Plant</t>
  </si>
  <si>
    <t>0001</t>
  </si>
  <si>
    <t>SL Wetzlar</t>
  </si>
  <si>
    <t>01</t>
  </si>
  <si>
    <t>Wz:BO Maschinen</t>
  </si>
  <si>
    <t>Wz:Opht.Opt.Machines</t>
  </si>
  <si>
    <t>Satisloh GmbH Brillenoptik</t>
  </si>
  <si>
    <t>0002</t>
  </si>
  <si>
    <t>LOH Oensingen</t>
  </si>
  <si>
    <t>02</t>
  </si>
  <si>
    <t>Wz:Consumables</t>
  </si>
  <si>
    <t>Satisloh Oensingen AG-obsolet</t>
  </si>
  <si>
    <t>0003</t>
  </si>
  <si>
    <t>SL Baar</t>
  </si>
  <si>
    <t>03</t>
  </si>
  <si>
    <t>Wz:BO Dienstleistung</t>
  </si>
  <si>
    <t>Wz:Opht.Opt.Services</t>
  </si>
  <si>
    <t>Satisloh AG</t>
  </si>
  <si>
    <t>0004</t>
  </si>
  <si>
    <t>SL France</t>
  </si>
  <si>
    <t>04</t>
  </si>
  <si>
    <t>Satisloh France S.A.S.</t>
  </si>
  <si>
    <t>0005</t>
  </si>
  <si>
    <t>SL USA</t>
  </si>
  <si>
    <t>Wz:FO Dienstleistung</t>
  </si>
  <si>
    <t>Wz:Prec.Opt.Services</t>
  </si>
  <si>
    <t>Satisloh North America Inc.</t>
  </si>
  <si>
    <t>0006</t>
  </si>
  <si>
    <t>SL Hongkong</t>
  </si>
  <si>
    <t>Wz:FO Maschinen</t>
  </si>
  <si>
    <t>Wz:Prec.Opt.Machines</t>
  </si>
  <si>
    <t>Satisloh Asia Ltd.</t>
  </si>
  <si>
    <t>0007</t>
  </si>
  <si>
    <t>SL Zhongshan</t>
  </si>
  <si>
    <t>SL Danyang</t>
  </si>
  <si>
    <t>Satisloh  Zhongshan</t>
  </si>
  <si>
    <t>0008</t>
  </si>
  <si>
    <t>SL Settimo</t>
  </si>
  <si>
    <t>Satisloh Italy S.r.l.</t>
  </si>
  <si>
    <t>0009</t>
  </si>
  <si>
    <t>SL Horgen</t>
  </si>
  <si>
    <t>Satisloh Photonics AG</t>
  </si>
  <si>
    <t>0018</t>
  </si>
  <si>
    <t>0011</t>
  </si>
  <si>
    <t>Satisloh GmbH Feinoptik</t>
  </si>
  <si>
    <t>Satisloh  Danyang</t>
  </si>
  <si>
    <t>001S</t>
  </si>
  <si>
    <t>SL GmbH Spain</t>
  </si>
  <si>
    <t>005C</t>
  </si>
  <si>
    <t>Satisloh Warehouse 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</si>
</sst>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7]d/\ mmm/\ yy;@"/>
  </numFmts>
  <fonts count="10">
    <font>
      <sz val="11"/>
      <color indexed="8"/>
      <name val="Calibri"/>
      <family val="2"/>
      <charset val="134"/>
    </font>
    <font>
      <b/>
      <sz val="11"/>
      <color indexed="8"/>
      <name val="Calibri"/>
      <family val="2"/>
      <charset val="134"/>
    </font>
    <font>
      <sz val="9"/>
      <color indexed="8"/>
      <name val="Calibri"/>
      <family val="2"/>
      <charset val="134"/>
    </font>
    <font>
      <b/>
      <sz val="9"/>
      <color indexed="8"/>
      <name val="Calibri"/>
      <family val="2"/>
      <charset val="134"/>
    </font>
    <font>
      <b/>
      <sz val="11"/>
      <name val="Calibri"/>
      <family val="2"/>
      <charset val="134"/>
    </font>
    <font>
      <b/>
      <u/>
      <sz val="11"/>
      <color indexed="8"/>
      <name val="Calibri"/>
      <family val="2"/>
      <charset val="134"/>
    </font>
    <font>
      <b/>
      <sz val="10"/>
      <name val="Arial"/>
      <family val="2"/>
      <charset val="134"/>
    </font>
    <font>
      <sz val="10"/>
      <name val="Arial"/>
      <family val="2"/>
      <charset val="134"/>
    </font>
    <font>
      <sz val="11"/>
      <color indexed="8"/>
      <name val="Calibri"/>
      <family val="2"/>
      <charset val="134"/>
    </font>
    <font>
      <sz val="9"/>
      <color indexed="81"/>
      <name val="宋体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</cellStyleXfs>
  <cellXfs count="30">
    <xf numFmtId="0" fontId="0" fillId="0" borderId="0" xfId="0" applyAlignment="1"/>
    <xf numFmtId="49" fontId="8" fillId="0" borderId="0" xfId="2" applyNumberFormat="1" applyAlignment="1"/>
    <xf numFmtId="0" fontId="1" fillId="0" borderId="0" xfId="2" applyFont="1" applyAlignment="1"/>
    <xf numFmtId="0" fontId="8" fillId="0" borderId="0" xfId="2" applyAlignment="1">
      <alignment horizontal="left"/>
    </xf>
    <xf numFmtId="0" fontId="2" fillId="0" borderId="0" xfId="2" applyFont="1" applyAlignment="1"/>
    <xf numFmtId="0" fontId="8" fillId="0" borderId="0" xfId="2" applyAlignment="1">
      <alignment horizontal="center"/>
    </xf>
    <xf numFmtId="0" fontId="2" fillId="0" borderId="0" xfId="2" applyFont="1" applyAlignment="1">
      <alignment horizontal="center"/>
    </xf>
    <xf numFmtId="0" fontId="3" fillId="0" borderId="0" xfId="2" applyFont="1" applyAlignment="1">
      <alignment horizontal="center" textRotation="90"/>
    </xf>
    <xf numFmtId="0" fontId="1" fillId="0" borderId="0" xfId="2" applyFont="1" applyAlignment="1">
      <alignment horizontal="left"/>
    </xf>
    <xf numFmtId="0" fontId="1" fillId="0" borderId="0" xfId="2" applyFont="1" applyAlignment="1">
      <alignment horizontal="center" textRotation="90"/>
    </xf>
    <xf numFmtId="0" fontId="8" fillId="0" borderId="0" xfId="2" applyBorder="1" applyAlignment="1">
      <alignment horizontal="left"/>
    </xf>
    <xf numFmtId="0" fontId="2" fillId="0" borderId="0" xfId="2" applyFont="1" applyBorder="1" applyAlignment="1"/>
    <xf numFmtId="0" fontId="1" fillId="0" borderId="0" xfId="2" applyFont="1" applyBorder="1" applyAlignment="1"/>
    <xf numFmtId="0" fontId="2" fillId="0" borderId="0" xfId="2" applyFont="1" applyAlignment="1">
      <alignment horizontal="left"/>
    </xf>
    <xf numFmtId="0" fontId="1" fillId="0" borderId="0" xfId="2" applyFont="1" applyBorder="1" applyAlignment="1">
      <alignment horizontal="left"/>
    </xf>
    <xf numFmtId="0" fontId="4" fillId="0" borderId="0" xfId="1" applyFont="1" applyFill="1" applyBorder="1" applyAlignment="1"/>
    <xf numFmtId="0" fontId="5" fillId="0" borderId="0" xfId="2" applyFont="1" applyAlignment="1"/>
    <xf numFmtId="0" fontId="8" fillId="2" borderId="0" xfId="2" applyFill="1" applyAlignment="1"/>
    <xf numFmtId="0" fontId="8" fillId="3" borderId="0" xfId="2" applyFill="1" applyAlignment="1"/>
    <xf numFmtId="0" fontId="8" fillId="4" borderId="0" xfId="2" applyFill="1" applyAlignment="1"/>
    <xf numFmtId="0" fontId="8" fillId="5" borderId="0" xfId="2" applyFill="1" applyAlignment="1"/>
    <xf numFmtId="0" fontId="8" fillId="0" borderId="0" xfId="2" applyAlignment="1">
      <alignment vertical="top"/>
    </xf>
    <xf numFmtId="0" fontId="6" fillId="0" borderId="0" xfId="2" applyFont="1" applyAlignment="1">
      <alignment wrapText="1"/>
    </xf>
    <xf numFmtId="0" fontId="8" fillId="6" borderId="0" xfId="2" applyFill="1" applyAlignment="1"/>
    <xf numFmtId="0" fontId="8" fillId="0" borderId="0" xfId="2" applyFill="1" applyAlignment="1"/>
    <xf numFmtId="164" fontId="8" fillId="0" borderId="1" xfId="2" applyNumberFormat="1" applyBorder="1" applyAlignment="1"/>
    <xf numFmtId="0" fontId="8" fillId="0" borderId="1" xfId="2" applyBorder="1" applyAlignment="1"/>
    <xf numFmtId="49" fontId="8" fillId="0" borderId="1" xfId="2" applyNumberFormat="1" applyBorder="1" applyAlignment="1"/>
    <xf numFmtId="0" fontId="8" fillId="7" borderId="1" xfId="2" applyFill="1" applyBorder="1" applyAlignment="1"/>
    <xf numFmtId="0" fontId="8" fillId="0" borderId="0" xfId="2" quotePrefix="1" applyAlignment="1"/>
  </cellXfs>
  <cellStyles count="3">
    <cellStyle name="Normal 2" xfId="1"/>
    <cellStyle name="Standard" xfId="0" builtinId="0"/>
    <cellStyle name="Standard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zoomScale="110" zoomScaleNormal="110" workbookViewId="0">
      <pane ySplit="1" topLeftCell="A2" activePane="bottomLeft" state="frozen"/>
      <selection pane="bottomLeft" activeCell="A9" sqref="A9"/>
    </sheetView>
  </sheetViews>
  <sheetFormatPr baseColWidth="10" defaultColWidth="9" defaultRowHeight="15"/>
  <cols>
    <col min="1" max="1" width="11.42578125" style="25"/>
    <col min="2" max="2" width="39.5703125" style="26" customWidth="1"/>
    <col min="3" max="3" width="7.85546875" style="27" customWidth="1"/>
    <col min="4" max="4" width="10.140625" style="26" customWidth="1"/>
    <col min="5" max="5" width="21.5703125" style="26" customWidth="1"/>
    <col min="6" max="6" width="24.42578125" style="26" customWidth="1"/>
    <col min="7" max="7" width="23.7109375" style="28" customWidth="1"/>
    <col min="8" max="8" width="27.7109375" style="28" customWidth="1"/>
  </cols>
  <sheetData>
    <row r="1" spans="1:8">
      <c r="A1" s="25" t="s">
        <v>0</v>
      </c>
      <c r="B1" s="26" t="s">
        <v>1</v>
      </c>
      <c r="C1" s="27" t="s">
        <v>2</v>
      </c>
      <c r="D1" s="26" t="s">
        <v>3</v>
      </c>
      <c r="E1" s="26" t="s">
        <v>4</v>
      </c>
      <c r="F1" s="26" t="s">
        <v>5</v>
      </c>
      <c r="G1" s="28" t="s">
        <v>6</v>
      </c>
      <c r="H1" s="28" t="s">
        <v>7</v>
      </c>
    </row>
    <row r="2" spans="1:8">
      <c r="A2" s="25">
        <v>42404</v>
      </c>
      <c r="B2" s="26" t="s">
        <v>8</v>
      </c>
      <c r="C2" s="27" t="s">
        <v>9</v>
      </c>
      <c r="D2" s="26" t="s">
        <v>10</v>
      </c>
      <c r="E2" s="26" t="s">
        <v>11</v>
      </c>
      <c r="F2" s="26" t="s">
        <v>12</v>
      </c>
    </row>
    <row r="3" spans="1:8">
      <c r="A3" s="25">
        <v>42405</v>
      </c>
      <c r="B3" s="26" t="s">
        <v>13</v>
      </c>
      <c r="C3" s="27" t="s">
        <v>14</v>
      </c>
      <c r="D3" s="26" t="s">
        <v>10</v>
      </c>
      <c r="E3" s="26" t="s">
        <v>11</v>
      </c>
      <c r="F3" s="26" t="s">
        <v>12</v>
      </c>
    </row>
    <row r="4" spans="1:8">
      <c r="A4" s="25">
        <v>42408</v>
      </c>
      <c r="B4" s="26" t="s">
        <v>15</v>
      </c>
      <c r="C4" s="27" t="s">
        <v>16</v>
      </c>
      <c r="D4" s="26" t="s">
        <v>10</v>
      </c>
      <c r="E4" s="26" t="s">
        <v>11</v>
      </c>
      <c r="F4" s="26" t="s">
        <v>12</v>
      </c>
    </row>
    <row r="5" spans="1:8">
      <c r="A5" s="25">
        <v>42445</v>
      </c>
      <c r="B5" s="26" t="s">
        <v>17</v>
      </c>
      <c r="C5" s="27" t="s">
        <v>18</v>
      </c>
      <c r="D5" s="26" t="s">
        <v>10</v>
      </c>
      <c r="E5" s="26" t="s">
        <v>11</v>
      </c>
      <c r="F5" s="26" t="s">
        <v>12</v>
      </c>
    </row>
    <row r="6" spans="1:8">
      <c r="A6" s="25">
        <v>42450</v>
      </c>
      <c r="B6" s="26" t="s">
        <v>17</v>
      </c>
      <c r="C6" s="27" t="s">
        <v>19</v>
      </c>
      <c r="D6" s="26" t="s">
        <v>10</v>
      </c>
      <c r="E6" s="26" t="s">
        <v>11</v>
      </c>
      <c r="F6" s="26" t="s">
        <v>12</v>
      </c>
    </row>
  </sheetData>
  <pageMargins left="0.69930555555555596" right="0.69930555555555596" top="0.78680555555555598" bottom="0.78680555555555598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0"/>
  </sheetPr>
  <dimension ref="A1:G12"/>
  <sheetViews>
    <sheetView workbookViewId="0">
      <selection activeCell="D14" sqref="D14"/>
    </sheetView>
  </sheetViews>
  <sheetFormatPr baseColWidth="10" defaultColWidth="9" defaultRowHeight="15"/>
  <cols>
    <col min="2" max="3" width="21" customWidth="1"/>
    <col min="7" max="7" width="28.7109375" customWidth="1"/>
  </cols>
  <sheetData>
    <row r="1" spans="1:7">
      <c r="A1" t="s">
        <v>20</v>
      </c>
      <c r="F1" t="s">
        <v>21</v>
      </c>
    </row>
    <row r="2" spans="1:7">
      <c r="B2" t="s">
        <v>22</v>
      </c>
      <c r="C2" t="s">
        <v>23</v>
      </c>
      <c r="F2" t="s">
        <v>24</v>
      </c>
      <c r="G2" t="s">
        <v>25</v>
      </c>
    </row>
    <row r="3" spans="1:7">
      <c r="B3" t="s">
        <v>26</v>
      </c>
      <c r="C3" t="s">
        <v>27</v>
      </c>
      <c r="F3" t="s">
        <v>28</v>
      </c>
      <c r="G3" t="s">
        <v>25</v>
      </c>
    </row>
    <row r="4" spans="1:7">
      <c r="B4" t="s">
        <v>29</v>
      </c>
      <c r="C4" t="s">
        <v>30</v>
      </c>
    </row>
    <row r="5" spans="1:7">
      <c r="B5" t="s">
        <v>31</v>
      </c>
      <c r="C5" t="s">
        <v>32</v>
      </c>
    </row>
    <row r="6" spans="1:7">
      <c r="B6" t="s">
        <v>33</v>
      </c>
      <c r="C6" t="s">
        <v>34</v>
      </c>
    </row>
    <row r="7" spans="1:7">
      <c r="B7" t="s">
        <v>35</v>
      </c>
      <c r="C7" t="s">
        <v>34</v>
      </c>
    </row>
    <row r="8" spans="1:7">
      <c r="B8" s="23" t="s">
        <v>36</v>
      </c>
      <c r="C8" s="23" t="s">
        <v>34</v>
      </c>
      <c r="D8" s="23" t="s">
        <v>37</v>
      </c>
    </row>
    <row r="9" spans="1:7">
      <c r="B9" s="23" t="s">
        <v>38</v>
      </c>
      <c r="C9" s="23" t="s">
        <v>34</v>
      </c>
      <c r="D9" s="23" t="s">
        <v>37</v>
      </c>
    </row>
    <row r="10" spans="1:7">
      <c r="B10" t="s">
        <v>39</v>
      </c>
      <c r="C10" t="s">
        <v>40</v>
      </c>
    </row>
    <row r="11" spans="1:7">
      <c r="B11" s="24" t="s">
        <v>41</v>
      </c>
      <c r="C11" s="24" t="s">
        <v>42</v>
      </c>
      <c r="D11" s="24"/>
      <c r="E11" s="24"/>
    </row>
    <row r="12" spans="1:7">
      <c r="B12" t="s">
        <v>43</v>
      </c>
      <c r="C12" t="s">
        <v>44</v>
      </c>
    </row>
  </sheetData>
  <pageMargins left="0.69930555555555596" right="0.69930555555555596" top="0.78680555555555598" bottom="0.78680555555555598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5"/>
  </sheetPr>
  <dimension ref="A1:E66"/>
  <sheetViews>
    <sheetView tabSelected="1" workbookViewId="0">
      <pane ySplit="1" topLeftCell="A2" activePane="bottomLeft" state="frozen"/>
      <selection pane="bottomLeft" activeCell="B2" sqref="B2"/>
    </sheetView>
  </sheetViews>
  <sheetFormatPr baseColWidth="10" defaultColWidth="9" defaultRowHeight="15"/>
  <cols>
    <col min="1" max="1" width="17.28515625" customWidth="1"/>
    <col min="2" max="2" width="17.140625" customWidth="1"/>
    <col min="3" max="3" width="60.28515625" customWidth="1"/>
    <col min="4" max="4" width="8.5703125" hidden="1" customWidth="1"/>
    <col min="5" max="5" width="43.85546875" hidden="1" customWidth="1"/>
    <col min="7" max="7" width="13.7109375" customWidth="1"/>
  </cols>
  <sheetData>
    <row r="1" spans="1:5" s="2" customFormat="1">
      <c r="A1" s="16" t="s">
        <v>45</v>
      </c>
      <c r="B1" s="2" t="s">
        <v>46</v>
      </c>
      <c r="C1" s="2" t="s">
        <v>47</v>
      </c>
      <c r="E1" s="2" t="s">
        <v>48</v>
      </c>
    </row>
    <row r="2" spans="1:5">
      <c r="A2" t="s">
        <v>49</v>
      </c>
      <c r="B2" t="str">
        <f t="shared" ref="B2" si="0">SUBSTITUTE(A2,"-","")</f>
        <v>01051052</v>
      </c>
      <c r="C2" s="17" t="s">
        <v>50</v>
      </c>
      <c r="D2" s="17" t="s">
        <v>51</v>
      </c>
    </row>
    <row r="3" spans="1:5">
      <c r="A3" t="s">
        <v>52</v>
      </c>
      <c r="B3" t="str">
        <f t="shared" ref="B3:B32" si="1">SUBSTITUTE(A3,"-","")</f>
        <v>01051022</v>
      </c>
      <c r="C3" s="17" t="s">
        <v>53</v>
      </c>
      <c r="D3" s="17" t="s">
        <v>51</v>
      </c>
      <c r="E3" t="s">
        <v>54</v>
      </c>
    </row>
    <row r="4" spans="1:5">
      <c r="A4" t="s">
        <v>55</v>
      </c>
      <c r="B4" t="str">
        <f t="shared" si="1"/>
        <v>01051023</v>
      </c>
      <c r="C4" s="17" t="s">
        <v>56</v>
      </c>
      <c r="D4" s="17" t="s">
        <v>51</v>
      </c>
      <c r="E4" t="s">
        <v>57</v>
      </c>
    </row>
    <row r="5" spans="1:5">
      <c r="A5" t="s">
        <v>58</v>
      </c>
      <c r="B5" t="str">
        <f t="shared" si="1"/>
        <v>01051985</v>
      </c>
      <c r="C5" s="17" t="s">
        <v>59</v>
      </c>
      <c r="D5" s="17" t="s">
        <v>51</v>
      </c>
      <c r="E5" t="s">
        <v>60</v>
      </c>
    </row>
    <row r="6" spans="1:5">
      <c r="A6" t="s">
        <v>61</v>
      </c>
      <c r="B6" t="str">
        <f t="shared" si="1"/>
        <v>01051243</v>
      </c>
      <c r="C6" s="17" t="s">
        <v>62</v>
      </c>
      <c r="D6" s="17" t="s">
        <v>51</v>
      </c>
      <c r="E6" t="s">
        <v>63</v>
      </c>
    </row>
    <row r="7" spans="1:5">
      <c r="A7" t="s">
        <v>64</v>
      </c>
      <c r="B7" t="str">
        <f t="shared" si="1"/>
        <v>02053120</v>
      </c>
      <c r="C7" s="17" t="s">
        <v>65</v>
      </c>
      <c r="D7" s="17" t="s">
        <v>51</v>
      </c>
      <c r="E7" t="s">
        <v>66</v>
      </c>
    </row>
    <row r="8" spans="1:5">
      <c r="A8" t="s">
        <v>67</v>
      </c>
      <c r="B8" t="str">
        <f t="shared" si="1"/>
        <v>02054405</v>
      </c>
      <c r="C8" s="17" t="s">
        <v>68</v>
      </c>
      <c r="D8" s="17" t="s">
        <v>51</v>
      </c>
    </row>
    <row r="9" spans="1:5">
      <c r="A9" t="s">
        <v>69</v>
      </c>
      <c r="B9" t="str">
        <f t="shared" si="1"/>
        <v>02064812</v>
      </c>
      <c r="C9" s="17" t="s">
        <v>70</v>
      </c>
      <c r="D9" s="17" t="s">
        <v>51</v>
      </c>
    </row>
    <row r="10" spans="1:5">
      <c r="A10" t="s">
        <v>71</v>
      </c>
      <c r="B10" t="str">
        <f t="shared" si="1"/>
        <v>02056129</v>
      </c>
      <c r="C10" s="17" t="s">
        <v>72</v>
      </c>
      <c r="D10" s="17" t="s">
        <v>51</v>
      </c>
    </row>
    <row r="11" spans="1:5">
      <c r="A11" t="s">
        <v>73</v>
      </c>
      <c r="B11" t="str">
        <f t="shared" si="1"/>
        <v>02054408</v>
      </c>
      <c r="C11" s="17" t="s">
        <v>74</v>
      </c>
      <c r="D11" s="17" t="s">
        <v>51</v>
      </c>
    </row>
    <row r="12" spans="1:5">
      <c r="A12" t="s">
        <v>75</v>
      </c>
      <c r="B12" t="str">
        <f t="shared" si="1"/>
        <v>02054409</v>
      </c>
      <c r="C12" s="17" t="s">
        <v>76</v>
      </c>
      <c r="D12" s="17" t="s">
        <v>51</v>
      </c>
    </row>
    <row r="13" spans="1:5">
      <c r="A13" t="s">
        <v>77</v>
      </c>
      <c r="B13" t="str">
        <f t="shared" si="1"/>
        <v>02053108</v>
      </c>
      <c r="C13" s="17" t="s">
        <v>78</v>
      </c>
      <c r="D13" s="17" t="s">
        <v>51</v>
      </c>
    </row>
    <row r="14" spans="1:5">
      <c r="A14" t="s">
        <v>79</v>
      </c>
      <c r="B14" t="str">
        <f t="shared" si="1"/>
        <v>02051747</v>
      </c>
      <c r="C14" s="17" t="s">
        <v>80</v>
      </c>
      <c r="D14" s="17" t="s">
        <v>51</v>
      </c>
    </row>
    <row r="15" spans="1:5">
      <c r="A15" t="s">
        <v>81</v>
      </c>
      <c r="B15" t="str">
        <f t="shared" si="1"/>
        <v>02053030</v>
      </c>
      <c r="C15" s="17" t="s">
        <v>82</v>
      </c>
      <c r="D15" s="17" t="s">
        <v>51</v>
      </c>
    </row>
    <row r="16" spans="1:5">
      <c r="A16" t="s">
        <v>83</v>
      </c>
      <c r="B16" t="str">
        <f t="shared" si="1"/>
        <v>02059350</v>
      </c>
      <c r="C16" s="17" t="s">
        <v>84</v>
      </c>
      <c r="D16" s="17" t="s">
        <v>51</v>
      </c>
      <c r="E16" t="s">
        <v>85</v>
      </c>
    </row>
    <row r="17" spans="1:4">
      <c r="A17" t="s">
        <v>86</v>
      </c>
      <c r="B17" t="str">
        <f t="shared" si="1"/>
        <v>02060343</v>
      </c>
      <c r="C17" s="17" t="s">
        <v>87</v>
      </c>
      <c r="D17" s="17" t="s">
        <v>51</v>
      </c>
    </row>
    <row r="18" spans="1:4">
      <c r="A18" t="s">
        <v>88</v>
      </c>
      <c r="B18" t="str">
        <f t="shared" si="1"/>
        <v>02054594</v>
      </c>
      <c r="C18" s="17" t="s">
        <v>89</v>
      </c>
      <c r="D18" s="17" t="s">
        <v>51</v>
      </c>
    </row>
    <row r="19" spans="1:4">
      <c r="A19" t="s">
        <v>90</v>
      </c>
      <c r="B19" t="str">
        <f t="shared" si="1"/>
        <v>02053281</v>
      </c>
      <c r="C19" s="17" t="s">
        <v>91</v>
      </c>
      <c r="D19" s="17" t="s">
        <v>51</v>
      </c>
    </row>
    <row r="20" spans="1:4">
      <c r="A20" t="s">
        <v>92</v>
      </c>
      <c r="B20" t="str">
        <f t="shared" si="1"/>
        <v>02052828</v>
      </c>
      <c r="C20" s="17" t="s">
        <v>93</v>
      </c>
      <c r="D20" s="17" t="s">
        <v>51</v>
      </c>
    </row>
    <row r="21" spans="1:4">
      <c r="A21" t="s">
        <v>94</v>
      </c>
      <c r="B21" t="str">
        <f t="shared" si="1"/>
        <v>02053579</v>
      </c>
      <c r="C21" s="17" t="s">
        <v>95</v>
      </c>
      <c r="D21" s="17" t="s">
        <v>51</v>
      </c>
    </row>
    <row r="22" spans="1:4">
      <c r="A22" t="s">
        <v>96</v>
      </c>
      <c r="B22" t="str">
        <f t="shared" si="1"/>
        <v>02058610</v>
      </c>
      <c r="C22" s="17" t="s">
        <v>97</v>
      </c>
      <c r="D22" s="17" t="s">
        <v>51</v>
      </c>
    </row>
    <row r="23" spans="1:4">
      <c r="A23" t="s">
        <v>98</v>
      </c>
      <c r="B23" t="str">
        <f t="shared" si="1"/>
        <v>02061166</v>
      </c>
      <c r="C23" s="17" t="s">
        <v>99</v>
      </c>
      <c r="D23" s="17" t="s">
        <v>51</v>
      </c>
    </row>
    <row r="24" spans="1:4">
      <c r="A24" t="s">
        <v>100</v>
      </c>
      <c r="B24" t="str">
        <f t="shared" si="1"/>
        <v>03000005</v>
      </c>
      <c r="C24" s="17" t="s">
        <v>101</v>
      </c>
      <c r="D24" s="17" t="s">
        <v>51</v>
      </c>
    </row>
    <row r="25" spans="1:4">
      <c r="A25" t="s">
        <v>102</v>
      </c>
      <c r="B25" t="str">
        <f t="shared" si="1"/>
        <v>03000006</v>
      </c>
      <c r="C25" s="17" t="s">
        <v>103</v>
      </c>
      <c r="D25" s="17" t="s">
        <v>51</v>
      </c>
    </row>
    <row r="26" spans="1:4">
      <c r="A26" t="s">
        <v>104</v>
      </c>
      <c r="B26" t="str">
        <f t="shared" si="1"/>
        <v>03000007</v>
      </c>
      <c r="C26" s="17" t="s">
        <v>105</v>
      </c>
      <c r="D26" s="17" t="s">
        <v>51</v>
      </c>
    </row>
    <row r="27" spans="1:4">
      <c r="A27" t="s">
        <v>106</v>
      </c>
      <c r="B27" t="str">
        <f t="shared" si="1"/>
        <v>02053386</v>
      </c>
      <c r="C27" s="17" t="s">
        <v>107</v>
      </c>
      <c r="D27" s="17" t="s">
        <v>51</v>
      </c>
    </row>
    <row r="28" spans="1:4">
      <c r="A28" t="s">
        <v>108</v>
      </c>
      <c r="B28" t="str">
        <f t="shared" si="1"/>
        <v>02058224</v>
      </c>
      <c r="C28" s="17" t="s">
        <v>109</v>
      </c>
      <c r="D28" s="17" t="s">
        <v>51</v>
      </c>
    </row>
    <row r="29" spans="1:4">
      <c r="A29" t="s">
        <v>110</v>
      </c>
      <c r="B29" t="str">
        <f t="shared" si="1"/>
        <v>02063182</v>
      </c>
      <c r="C29" s="17" t="s">
        <v>111</v>
      </c>
      <c r="D29" s="17" t="s">
        <v>51</v>
      </c>
    </row>
    <row r="30" spans="1:4">
      <c r="A30" t="s">
        <v>112</v>
      </c>
      <c r="B30" t="str">
        <f t="shared" si="1"/>
        <v>02057628</v>
      </c>
      <c r="C30" s="17" t="s">
        <v>113</v>
      </c>
      <c r="D30" s="17" t="s">
        <v>51</v>
      </c>
    </row>
    <row r="31" spans="1:4">
      <c r="A31" t="s">
        <v>114</v>
      </c>
      <c r="B31" t="str">
        <f t="shared" si="1"/>
        <v>02053730</v>
      </c>
      <c r="C31" s="18" t="s">
        <v>115</v>
      </c>
      <c r="D31" s="18" t="s">
        <v>116</v>
      </c>
    </row>
    <row r="32" spans="1:4">
      <c r="A32" t="s">
        <v>117</v>
      </c>
      <c r="B32" t="str">
        <f t="shared" si="1"/>
        <v>02061164</v>
      </c>
      <c r="C32" s="18" t="s">
        <v>118</v>
      </c>
      <c r="D32" s="18" t="s">
        <v>116</v>
      </c>
    </row>
    <row r="33" spans="1:4">
      <c r="A33" t="s">
        <v>119</v>
      </c>
      <c r="B33" t="str">
        <f t="shared" ref="B33" si="2">SUBSTITUTE(A33,"-","")</f>
        <v>02061165</v>
      </c>
      <c r="C33" s="18" t="s">
        <v>120</v>
      </c>
      <c r="D33" s="18" t="s">
        <v>116</v>
      </c>
    </row>
    <row r="34" spans="1:4">
      <c r="A34" t="s">
        <v>121</v>
      </c>
      <c r="B34" t="str">
        <f t="shared" ref="B34:B64" si="3">SUBSTITUTE(A34,"-","")</f>
        <v>02059097</v>
      </c>
      <c r="C34" s="18" t="s">
        <v>122</v>
      </c>
      <c r="D34" s="18" t="s">
        <v>116</v>
      </c>
    </row>
    <row r="35" spans="1:4">
      <c r="A35" t="s">
        <v>123</v>
      </c>
      <c r="B35" t="str">
        <f t="shared" si="3"/>
        <v>20053039</v>
      </c>
      <c r="C35" s="18" t="s">
        <v>124</v>
      </c>
      <c r="D35" s="18" t="s">
        <v>116</v>
      </c>
    </row>
    <row r="36" spans="1:4">
      <c r="A36" t="s">
        <v>125</v>
      </c>
      <c r="B36" t="str">
        <f t="shared" si="3"/>
        <v>02060562</v>
      </c>
      <c r="C36" s="18" t="s">
        <v>126</v>
      </c>
      <c r="D36" s="18" t="s">
        <v>116</v>
      </c>
    </row>
    <row r="37" spans="1:4">
      <c r="A37" t="s">
        <v>127</v>
      </c>
      <c r="B37" t="str">
        <f t="shared" si="3"/>
        <v>02060780</v>
      </c>
      <c r="C37" s="18" t="s">
        <v>128</v>
      </c>
      <c r="D37" s="18" t="s">
        <v>116</v>
      </c>
    </row>
    <row r="38" spans="1:4">
      <c r="A38" t="s">
        <v>129</v>
      </c>
      <c r="B38" t="str">
        <f t="shared" si="3"/>
        <v>92002623</v>
      </c>
      <c r="C38" s="18" t="s">
        <v>130</v>
      </c>
      <c r="D38" s="18" t="s">
        <v>116</v>
      </c>
    </row>
    <row r="39" spans="1:4">
      <c r="A39" t="s">
        <v>131</v>
      </c>
      <c r="B39" t="str">
        <f t="shared" si="3"/>
        <v>02052027</v>
      </c>
      <c r="C39" s="18" t="s">
        <v>132</v>
      </c>
      <c r="D39" s="18" t="s">
        <v>116</v>
      </c>
    </row>
    <row r="40" spans="1:4">
      <c r="A40" t="s">
        <v>133</v>
      </c>
      <c r="B40" t="str">
        <f t="shared" si="3"/>
        <v>02053216</v>
      </c>
      <c r="C40" s="18" t="s">
        <v>134</v>
      </c>
      <c r="D40" s="18" t="s">
        <v>116</v>
      </c>
    </row>
    <row r="41" spans="1:4">
      <c r="A41" t="s">
        <v>135</v>
      </c>
      <c r="B41" t="str">
        <f t="shared" si="3"/>
        <v>02053217</v>
      </c>
      <c r="C41" s="18" t="s">
        <v>136</v>
      </c>
      <c r="D41" s="18" t="s">
        <v>116</v>
      </c>
    </row>
    <row r="42" spans="1:4">
      <c r="A42" t="s">
        <v>137</v>
      </c>
      <c r="B42" t="str">
        <f t="shared" si="3"/>
        <v>02057298</v>
      </c>
      <c r="C42" s="18" t="s">
        <v>138</v>
      </c>
      <c r="D42" s="18" t="s">
        <v>116</v>
      </c>
    </row>
    <row r="43" spans="1:4">
      <c r="A43" t="s">
        <v>139</v>
      </c>
      <c r="B43" t="str">
        <f t="shared" si="3"/>
        <v>02057297</v>
      </c>
      <c r="C43" s="18" t="s">
        <v>140</v>
      </c>
      <c r="D43" s="18" t="s">
        <v>116</v>
      </c>
    </row>
    <row r="44" spans="1:4">
      <c r="A44" t="s">
        <v>141</v>
      </c>
      <c r="B44" t="str">
        <f t="shared" si="3"/>
        <v>02051303</v>
      </c>
      <c r="C44" s="18" t="s">
        <v>142</v>
      </c>
      <c r="D44" s="18" t="s">
        <v>116</v>
      </c>
    </row>
    <row r="45" spans="1:4">
      <c r="A45" t="s">
        <v>143</v>
      </c>
      <c r="B45" t="str">
        <f t="shared" si="3"/>
        <v>02000882</v>
      </c>
      <c r="C45" s="18" t="s">
        <v>144</v>
      </c>
      <c r="D45" s="18" t="s">
        <v>116</v>
      </c>
    </row>
    <row r="46" spans="1:4">
      <c r="A46" t="s">
        <v>145</v>
      </c>
      <c r="B46" t="str">
        <f t="shared" si="3"/>
        <v>06100006</v>
      </c>
      <c r="C46" s="18" t="s">
        <v>146</v>
      </c>
      <c r="D46" s="18" t="s">
        <v>116</v>
      </c>
    </row>
    <row r="47" spans="1:4">
      <c r="A47" t="s">
        <v>147</v>
      </c>
      <c r="B47" t="str">
        <f t="shared" si="3"/>
        <v>92009346</v>
      </c>
      <c r="C47" s="19" t="s">
        <v>148</v>
      </c>
      <c r="D47" s="19" t="s">
        <v>149</v>
      </c>
    </row>
    <row r="48" spans="1:4">
      <c r="A48" t="s">
        <v>150</v>
      </c>
      <c r="B48" t="str">
        <f t="shared" si="3"/>
        <v>92002738</v>
      </c>
      <c r="C48" s="19" t="s">
        <v>151</v>
      </c>
      <c r="D48" s="19" t="s">
        <v>149</v>
      </c>
    </row>
    <row r="49" spans="1:4">
      <c r="A49" t="s">
        <v>152</v>
      </c>
      <c r="B49" t="str">
        <f t="shared" si="3"/>
        <v>92009041</v>
      </c>
      <c r="C49" s="19" t="s">
        <v>153</v>
      </c>
      <c r="D49" s="19" t="s">
        <v>149</v>
      </c>
    </row>
    <row r="50" spans="1:4">
      <c r="A50" t="s">
        <v>154</v>
      </c>
      <c r="B50" t="str">
        <f t="shared" si="3"/>
        <v>92007611</v>
      </c>
      <c r="C50" s="19" t="s">
        <v>155</v>
      </c>
      <c r="D50" s="19" t="s">
        <v>149</v>
      </c>
    </row>
    <row r="51" spans="1:4">
      <c r="A51" t="s">
        <v>156</v>
      </c>
      <c r="B51" t="str">
        <f t="shared" si="3"/>
        <v>92007626</v>
      </c>
      <c r="C51" s="19" t="s">
        <v>157</v>
      </c>
      <c r="D51" s="19" t="s">
        <v>149</v>
      </c>
    </row>
    <row r="52" spans="1:4">
      <c r="A52" t="s">
        <v>158</v>
      </c>
      <c r="B52" t="str">
        <f t="shared" si="3"/>
        <v>92008053</v>
      </c>
      <c r="C52" s="19" t="s">
        <v>159</v>
      </c>
      <c r="D52" s="19" t="s">
        <v>149</v>
      </c>
    </row>
    <row r="53" spans="1:4">
      <c r="A53" t="s">
        <v>160</v>
      </c>
      <c r="B53" t="str">
        <f t="shared" si="3"/>
        <v>92007241</v>
      </c>
      <c r="C53" s="19" t="s">
        <v>161</v>
      </c>
      <c r="D53" s="19" t="s">
        <v>149</v>
      </c>
    </row>
    <row r="54" spans="1:4">
      <c r="A54" t="s">
        <v>162</v>
      </c>
      <c r="B54" t="str">
        <f t="shared" si="3"/>
        <v>92007078</v>
      </c>
      <c r="C54" s="19" t="s">
        <v>163</v>
      </c>
      <c r="D54" s="19" t="s">
        <v>149</v>
      </c>
    </row>
    <row r="55" spans="1:4">
      <c r="A55" t="s">
        <v>164</v>
      </c>
      <c r="B55" t="str">
        <f t="shared" si="3"/>
        <v>06003400</v>
      </c>
      <c r="C55" s="20" t="s">
        <v>165</v>
      </c>
      <c r="D55" s="20" t="s">
        <v>166</v>
      </c>
    </row>
    <row r="56" spans="1:4">
      <c r="A56" t="s">
        <v>167</v>
      </c>
      <c r="B56" t="str">
        <f t="shared" si="3"/>
        <v>06001148</v>
      </c>
      <c r="C56" s="20" t="s">
        <v>168</v>
      </c>
      <c r="D56" s="20" t="s">
        <v>166</v>
      </c>
    </row>
    <row r="57" spans="1:4">
      <c r="A57" t="s">
        <v>169</v>
      </c>
      <c r="B57" t="str">
        <f t="shared" si="3"/>
        <v>06903036</v>
      </c>
      <c r="C57" s="20" t="s">
        <v>170</v>
      </c>
      <c r="D57" s="20" t="s">
        <v>166</v>
      </c>
    </row>
    <row r="58" spans="1:4">
      <c r="A58" t="s">
        <v>171</v>
      </c>
      <c r="B58" t="str">
        <f t="shared" si="3"/>
        <v>06903038</v>
      </c>
      <c r="C58" s="20" t="s">
        <v>172</v>
      </c>
      <c r="D58" s="20" t="s">
        <v>166</v>
      </c>
    </row>
    <row r="59" spans="1:4">
      <c r="A59" t="s">
        <v>173</v>
      </c>
      <c r="B59" t="str">
        <f t="shared" si="3"/>
        <v>06001140</v>
      </c>
      <c r="C59" s="20" t="s">
        <v>174</v>
      </c>
      <c r="D59" s="20" t="s">
        <v>166</v>
      </c>
    </row>
    <row r="60" spans="1:4">
      <c r="A60" t="s">
        <v>175</v>
      </c>
      <c r="B60" t="str">
        <f t="shared" si="3"/>
        <v>06901196</v>
      </c>
      <c r="C60" s="20" t="s">
        <v>176</v>
      </c>
      <c r="D60" s="20" t="s">
        <v>166</v>
      </c>
    </row>
    <row r="61" spans="1:4">
      <c r="A61" s="21"/>
      <c r="B61" t="str">
        <f t="shared" si="3"/>
        <v/>
      </c>
    </row>
    <row r="62" spans="1:4">
      <c r="B62" t="str">
        <f t="shared" si="3"/>
        <v/>
      </c>
    </row>
    <row r="63" spans="1:4">
      <c r="B63" t="str">
        <f t="shared" si="3"/>
        <v/>
      </c>
    </row>
    <row r="64" spans="1:4">
      <c r="B64" t="str">
        <f t="shared" si="3"/>
        <v/>
      </c>
    </row>
    <row r="65" spans="1:2">
      <c r="B65" t="str">
        <f t="shared" ref="B65" si="4">SUBSTITUTE(A65,"-","")</f>
        <v/>
      </c>
    </row>
    <row r="66" spans="1:2">
      <c r="A66" s="22"/>
    </row>
  </sheetData>
  <pageMargins left="0.69930555555555596" right="0.69930555555555596" top="0.78680555555555598" bottom="0.78680555555555598" header="0.3" footer="0.3"/>
  <pageSetup paperSize="9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indexed="40"/>
  </sheetPr>
  <dimension ref="A5:P148"/>
  <sheetViews>
    <sheetView topLeftCell="A4" zoomScale="110" zoomScaleNormal="110" workbookViewId="0">
      <pane xSplit="3" ySplit="2" topLeftCell="D6" activePane="bottomRight" state="frozen"/>
      <selection pane="topRight"/>
      <selection pane="bottomLeft"/>
      <selection pane="bottomRight" activeCell="K11" sqref="K11"/>
    </sheetView>
  </sheetViews>
  <sheetFormatPr baseColWidth="10" defaultColWidth="9" defaultRowHeight="15" outlineLevelCol="1"/>
  <cols>
    <col min="1" max="1" width="15.7109375" customWidth="1"/>
    <col min="2" max="2" width="18.28515625" customWidth="1"/>
    <col min="3" max="3" width="17.7109375" style="3" customWidth="1"/>
    <col min="4" max="4" width="24.28515625" style="4" customWidth="1" outlineLevel="1"/>
    <col min="5" max="6" width="36.85546875" style="3" customWidth="1"/>
    <col min="7" max="10" width="3.7109375" style="5" customWidth="1"/>
    <col min="11" max="11" width="36.28515625" style="6" customWidth="1" outlineLevel="1"/>
    <col min="12" max="13" width="37.42578125" customWidth="1"/>
    <col min="14" max="14" width="20.28515625" customWidth="1"/>
    <col min="15" max="15" width="47.140625" customWidth="1"/>
    <col min="19" max="19" width="28.42578125" customWidth="1"/>
  </cols>
  <sheetData>
    <row r="5" spans="1:16" s="2" customFormat="1" ht="103.5">
      <c r="A5" s="2" t="s">
        <v>177</v>
      </c>
      <c r="B5" s="2" t="s">
        <v>178</v>
      </c>
      <c r="C5" s="2" t="s">
        <v>179</v>
      </c>
      <c r="D5" s="7" t="s">
        <v>180</v>
      </c>
      <c r="E5" s="8" t="s">
        <v>181</v>
      </c>
      <c r="F5" s="8" t="s">
        <v>182</v>
      </c>
      <c r="G5" s="9" t="s">
        <v>183</v>
      </c>
      <c r="H5" s="9" t="s">
        <v>184</v>
      </c>
      <c r="I5" s="9" t="s">
        <v>185</v>
      </c>
      <c r="J5" s="9" t="s">
        <v>186</v>
      </c>
      <c r="K5" s="7" t="s">
        <v>187</v>
      </c>
      <c r="L5" s="2" t="s">
        <v>188</v>
      </c>
      <c r="M5" s="2" t="s">
        <v>189</v>
      </c>
      <c r="N5" s="2" t="s">
        <v>190</v>
      </c>
      <c r="O5" s="2" t="s">
        <v>191</v>
      </c>
      <c r="P5" s="2" t="s">
        <v>192</v>
      </c>
    </row>
    <row r="6" spans="1:16">
      <c r="A6" s="3" t="s">
        <v>51</v>
      </c>
      <c r="B6" s="3" t="s">
        <v>51</v>
      </c>
      <c r="C6" s="3" t="s">
        <v>51</v>
      </c>
      <c r="D6" s="4" t="s">
        <v>193</v>
      </c>
      <c r="E6" s="8" t="s">
        <v>194</v>
      </c>
      <c r="F6" s="8" t="s">
        <v>194</v>
      </c>
      <c r="G6" s="5" t="s">
        <v>195</v>
      </c>
      <c r="I6" s="5" t="s">
        <v>195</v>
      </c>
    </row>
    <row r="7" spans="1:16">
      <c r="A7" s="3"/>
      <c r="B7" s="3"/>
      <c r="J7" s="5" t="s">
        <v>195</v>
      </c>
      <c r="K7" s="13" t="s">
        <v>196</v>
      </c>
      <c r="L7" t="s">
        <v>197</v>
      </c>
      <c r="M7" t="s">
        <v>197</v>
      </c>
    </row>
    <row r="8" spans="1:16">
      <c r="K8" s="13" t="s">
        <v>198</v>
      </c>
      <c r="L8" t="s">
        <v>199</v>
      </c>
      <c r="M8" t="s">
        <v>199</v>
      </c>
    </row>
    <row r="9" spans="1:16">
      <c r="K9" s="13" t="s">
        <v>200</v>
      </c>
      <c r="L9" t="s">
        <v>201</v>
      </c>
      <c r="M9" t="s">
        <v>201</v>
      </c>
    </row>
    <row r="10" spans="1:16">
      <c r="K10" s="13" t="s">
        <v>202</v>
      </c>
      <c r="L10" t="s">
        <v>203</v>
      </c>
      <c r="M10" t="s">
        <v>203</v>
      </c>
    </row>
    <row r="11" spans="1:16">
      <c r="K11" s="13" t="s">
        <v>204</v>
      </c>
      <c r="L11" t="s">
        <v>205</v>
      </c>
      <c r="M11" t="s">
        <v>205</v>
      </c>
    </row>
    <row r="12" spans="1:16">
      <c r="D12" s="4" t="s">
        <v>206</v>
      </c>
      <c r="E12" s="2" t="s">
        <v>207</v>
      </c>
      <c r="F12" s="2" t="s">
        <v>207</v>
      </c>
      <c r="G12" s="5" t="s">
        <v>195</v>
      </c>
      <c r="H12" s="5" t="s">
        <v>195</v>
      </c>
      <c r="I12" s="5" t="s">
        <v>195</v>
      </c>
      <c r="K12" s="13"/>
    </row>
    <row r="13" spans="1:16">
      <c r="J13" s="5" t="s">
        <v>195</v>
      </c>
      <c r="K13" s="13" t="s">
        <v>208</v>
      </c>
      <c r="L13" t="s">
        <v>209</v>
      </c>
      <c r="M13" t="s">
        <v>209</v>
      </c>
      <c r="N13" s="29" t="s">
        <v>210</v>
      </c>
    </row>
    <row r="14" spans="1:16">
      <c r="K14" s="13" t="s">
        <v>211</v>
      </c>
      <c r="L14" t="s">
        <v>212</v>
      </c>
      <c r="M14" t="s">
        <v>212</v>
      </c>
      <c r="N14" t="s">
        <v>213</v>
      </c>
    </row>
    <row r="15" spans="1:16">
      <c r="K15" s="13" t="s">
        <v>214</v>
      </c>
      <c r="L15" t="s">
        <v>215</v>
      </c>
      <c r="M15" t="s">
        <v>215</v>
      </c>
      <c r="N15" t="s">
        <v>216</v>
      </c>
    </row>
    <row r="16" spans="1:16">
      <c r="K16" s="13" t="s">
        <v>217</v>
      </c>
      <c r="L16" t="s">
        <v>218</v>
      </c>
      <c r="M16" t="s">
        <v>218</v>
      </c>
      <c r="N16" t="s">
        <v>219</v>
      </c>
    </row>
    <row r="17" spans="3:16">
      <c r="K17" s="13" t="s">
        <v>220</v>
      </c>
      <c r="L17" t="s">
        <v>221</v>
      </c>
      <c r="M17" t="s">
        <v>221</v>
      </c>
      <c r="N17" t="s">
        <v>222</v>
      </c>
    </row>
    <row r="18" spans="3:16">
      <c r="D18" s="4" t="s">
        <v>223</v>
      </c>
      <c r="E18" s="2" t="s">
        <v>224</v>
      </c>
      <c r="F18" s="2" t="s">
        <v>224</v>
      </c>
      <c r="G18" s="5" t="s">
        <v>195</v>
      </c>
      <c r="I18" s="5" t="s">
        <v>195</v>
      </c>
      <c r="K18" s="13"/>
      <c r="N18" t="s">
        <v>225</v>
      </c>
    </row>
    <row r="19" spans="3:16">
      <c r="K19" s="13" t="s">
        <v>226</v>
      </c>
      <c r="L19" t="s">
        <v>227</v>
      </c>
      <c r="M19" t="s">
        <v>227</v>
      </c>
      <c r="N19" s="29" t="s">
        <v>228</v>
      </c>
      <c r="O19" t="s">
        <v>229</v>
      </c>
      <c r="P19" t="s">
        <v>230</v>
      </c>
    </row>
    <row r="20" spans="3:16">
      <c r="K20" s="13" t="s">
        <v>231</v>
      </c>
      <c r="L20" t="s">
        <v>232</v>
      </c>
      <c r="M20" t="s">
        <v>232</v>
      </c>
      <c r="N20" t="s">
        <v>233</v>
      </c>
      <c r="O20" t="s">
        <v>234</v>
      </c>
    </row>
    <row r="21" spans="3:16">
      <c r="K21" s="13" t="s">
        <v>235</v>
      </c>
      <c r="L21" t="s">
        <v>236</v>
      </c>
      <c r="M21" t="s">
        <v>236</v>
      </c>
      <c r="N21" t="s">
        <v>237</v>
      </c>
      <c r="O21" t="s">
        <v>234</v>
      </c>
    </row>
    <row r="22" spans="3:16">
      <c r="K22" s="13" t="s">
        <v>238</v>
      </c>
      <c r="L22" t="s">
        <v>239</v>
      </c>
      <c r="M22" t="s">
        <v>239</v>
      </c>
      <c r="N22" t="s">
        <v>240</v>
      </c>
      <c r="O22" t="s">
        <v>241</v>
      </c>
      <c r="P22" t="s">
        <v>230</v>
      </c>
    </row>
    <row r="23" spans="3:16">
      <c r="K23" s="13" t="s">
        <v>242</v>
      </c>
      <c r="L23" t="s">
        <v>243</v>
      </c>
      <c r="M23" t="s">
        <v>243</v>
      </c>
      <c r="N23" t="s">
        <v>225</v>
      </c>
      <c r="O23" t="s">
        <v>244</v>
      </c>
    </row>
    <row r="24" spans="3:16">
      <c r="K24" s="13" t="s">
        <v>245</v>
      </c>
      <c r="L24" t="s">
        <v>95</v>
      </c>
      <c r="M24" t="s">
        <v>95</v>
      </c>
      <c r="N24" t="s">
        <v>246</v>
      </c>
      <c r="O24" t="s">
        <v>244</v>
      </c>
    </row>
    <row r="25" spans="3:16">
      <c r="D25" s="4" t="s">
        <v>247</v>
      </c>
      <c r="E25" s="2" t="s">
        <v>248</v>
      </c>
      <c r="F25" s="2" t="s">
        <v>248</v>
      </c>
      <c r="G25" s="5" t="s">
        <v>195</v>
      </c>
      <c r="I25" s="5" t="s">
        <v>195</v>
      </c>
      <c r="K25" s="13"/>
      <c r="N25" t="s">
        <v>225</v>
      </c>
    </row>
    <row r="26" spans="3:16">
      <c r="K26" s="4" t="s">
        <v>249</v>
      </c>
      <c r="L26" t="s">
        <v>250</v>
      </c>
      <c r="M26" t="s">
        <v>250</v>
      </c>
      <c r="N26" t="s">
        <v>251</v>
      </c>
    </row>
    <row r="27" spans="3:16">
      <c r="K27" s="4" t="s">
        <v>252</v>
      </c>
      <c r="L27" t="s">
        <v>253</v>
      </c>
      <c r="M27" t="s">
        <v>253</v>
      </c>
      <c r="N27" t="s">
        <v>254</v>
      </c>
    </row>
    <row r="28" spans="3:16">
      <c r="C28" s="10"/>
      <c r="D28" s="11"/>
      <c r="E28" s="10"/>
      <c r="F28" s="10"/>
      <c r="K28" s="4" t="s">
        <v>255</v>
      </c>
      <c r="L28" t="s">
        <v>256</v>
      </c>
      <c r="M28" t="s">
        <v>256</v>
      </c>
      <c r="N28" t="s">
        <v>257</v>
      </c>
    </row>
    <row r="29" spans="3:16">
      <c r="C29" s="10"/>
      <c r="D29" s="11"/>
      <c r="E29" s="10"/>
      <c r="F29" s="10"/>
      <c r="K29" s="4" t="s">
        <v>258</v>
      </c>
      <c r="L29" t="s">
        <v>259</v>
      </c>
      <c r="M29" t="s">
        <v>259</v>
      </c>
      <c r="N29" t="s">
        <v>260</v>
      </c>
    </row>
    <row r="30" spans="3:16">
      <c r="C30" s="10"/>
      <c r="D30" s="11"/>
      <c r="E30" s="10"/>
      <c r="F30" s="10"/>
      <c r="K30" s="4" t="s">
        <v>261</v>
      </c>
      <c r="L30" t="s">
        <v>262</v>
      </c>
      <c r="M30" t="s">
        <v>262</v>
      </c>
      <c r="N30" t="s">
        <v>263</v>
      </c>
    </row>
    <row r="31" spans="3:16">
      <c r="D31" s="4" t="s">
        <v>264</v>
      </c>
      <c r="E31" s="2" t="s">
        <v>265</v>
      </c>
      <c r="F31" s="2" t="s">
        <v>265</v>
      </c>
      <c r="G31" s="5" t="s">
        <v>195</v>
      </c>
      <c r="I31" s="5" t="s">
        <v>195</v>
      </c>
      <c r="K31" s="13"/>
      <c r="N31" t="s">
        <v>225</v>
      </c>
    </row>
    <row r="32" spans="3:16">
      <c r="J32" s="5" t="s">
        <v>195</v>
      </c>
      <c r="K32" s="13" t="s">
        <v>266</v>
      </c>
      <c r="L32" t="s">
        <v>267</v>
      </c>
      <c r="M32" t="s">
        <v>267</v>
      </c>
      <c r="N32" t="s">
        <v>225</v>
      </c>
    </row>
    <row r="33" spans="1:14">
      <c r="K33" s="13" t="s">
        <v>268</v>
      </c>
      <c r="L33" t="s">
        <v>269</v>
      </c>
      <c r="M33" t="s">
        <v>269</v>
      </c>
      <c r="N33" t="s">
        <v>270</v>
      </c>
    </row>
    <row r="34" spans="1:14">
      <c r="D34" s="4" t="s">
        <v>271</v>
      </c>
      <c r="E34" s="2" t="s">
        <v>272</v>
      </c>
      <c r="F34" s="2" t="s">
        <v>272</v>
      </c>
      <c r="G34" s="5" t="s">
        <v>195</v>
      </c>
      <c r="I34" s="5" t="s">
        <v>195</v>
      </c>
      <c r="K34" s="13"/>
      <c r="N34" t="s">
        <v>225</v>
      </c>
    </row>
    <row r="35" spans="1:14">
      <c r="J35" s="5" t="s">
        <v>195</v>
      </c>
      <c r="K35" s="13" t="s">
        <v>273</v>
      </c>
      <c r="L35" t="s">
        <v>267</v>
      </c>
      <c r="M35" t="s">
        <v>267</v>
      </c>
      <c r="N35" t="s">
        <v>274</v>
      </c>
    </row>
    <row r="36" spans="1:14">
      <c r="K36" s="13" t="s">
        <v>275</v>
      </c>
      <c r="L36" t="s">
        <v>269</v>
      </c>
      <c r="M36" t="s">
        <v>269</v>
      </c>
      <c r="N36" t="s">
        <v>276</v>
      </c>
    </row>
    <row r="37" spans="1:14">
      <c r="A37" s="3" t="s">
        <v>116</v>
      </c>
      <c r="B37" s="3" t="s">
        <v>116</v>
      </c>
      <c r="C37" s="3" t="s">
        <v>116</v>
      </c>
      <c r="D37" s="4" t="s">
        <v>277</v>
      </c>
      <c r="E37" s="2" t="s">
        <v>278</v>
      </c>
      <c r="F37" s="2" t="s">
        <v>278</v>
      </c>
      <c r="G37" s="5" t="s">
        <v>195</v>
      </c>
      <c r="I37" s="5" t="s">
        <v>195</v>
      </c>
      <c r="K37" s="13" t="s">
        <v>225</v>
      </c>
      <c r="N37" t="s">
        <v>225</v>
      </c>
    </row>
    <row r="38" spans="1:14">
      <c r="J38" s="5" t="s">
        <v>195</v>
      </c>
      <c r="K38" s="13" t="s">
        <v>279</v>
      </c>
      <c r="L38" t="s">
        <v>267</v>
      </c>
      <c r="M38" t="s">
        <v>267</v>
      </c>
      <c r="N38" t="s">
        <v>225</v>
      </c>
    </row>
    <row r="39" spans="1:14">
      <c r="K39" s="13" t="s">
        <v>280</v>
      </c>
      <c r="L39" t="s">
        <v>269</v>
      </c>
      <c r="M39" t="s">
        <v>269</v>
      </c>
      <c r="N39" t="s">
        <v>281</v>
      </c>
    </row>
    <row r="40" spans="1:14">
      <c r="D40" s="4" t="s">
        <v>282</v>
      </c>
      <c r="E40" s="2" t="s">
        <v>283</v>
      </c>
      <c r="F40" s="2" t="s">
        <v>283</v>
      </c>
      <c r="G40" s="5" t="s">
        <v>195</v>
      </c>
      <c r="I40" s="5" t="s">
        <v>195</v>
      </c>
      <c r="K40" s="13"/>
      <c r="N40" t="s">
        <v>225</v>
      </c>
    </row>
    <row r="41" spans="1:14">
      <c r="J41" s="5" t="s">
        <v>195</v>
      </c>
      <c r="K41" s="13" t="s">
        <v>284</v>
      </c>
      <c r="L41" t="s">
        <v>267</v>
      </c>
      <c r="M41" t="s">
        <v>267</v>
      </c>
      <c r="N41" t="s">
        <v>225</v>
      </c>
    </row>
    <row r="42" spans="1:14">
      <c r="K42" s="13" t="s">
        <v>285</v>
      </c>
      <c r="L42" t="s">
        <v>269</v>
      </c>
      <c r="M42" t="s">
        <v>269</v>
      </c>
      <c r="N42" t="s">
        <v>286</v>
      </c>
    </row>
    <row r="43" spans="1:14">
      <c r="D43" s="4" t="s">
        <v>287</v>
      </c>
      <c r="E43" s="2" t="s">
        <v>288</v>
      </c>
      <c r="F43" s="2" t="s">
        <v>288</v>
      </c>
      <c r="G43" s="5" t="s">
        <v>195</v>
      </c>
      <c r="I43" s="5" t="s">
        <v>195</v>
      </c>
      <c r="K43" s="13"/>
      <c r="N43" t="s">
        <v>225</v>
      </c>
    </row>
    <row r="44" spans="1:14">
      <c r="J44" s="5" t="s">
        <v>195</v>
      </c>
      <c r="K44" s="13" t="s">
        <v>289</v>
      </c>
      <c r="L44" t="s">
        <v>267</v>
      </c>
      <c r="M44" t="s">
        <v>267</v>
      </c>
      <c r="N44" t="s">
        <v>225</v>
      </c>
    </row>
    <row r="45" spans="1:14">
      <c r="K45" s="13" t="s">
        <v>290</v>
      </c>
      <c r="L45" t="s">
        <v>269</v>
      </c>
      <c r="M45" t="s">
        <v>269</v>
      </c>
      <c r="N45" t="s">
        <v>291</v>
      </c>
    </row>
    <row r="46" spans="1:14">
      <c r="D46" s="4" t="s">
        <v>292</v>
      </c>
      <c r="E46" s="8" t="s">
        <v>293</v>
      </c>
      <c r="F46" s="8" t="s">
        <v>293</v>
      </c>
      <c r="G46" s="5" t="s">
        <v>195</v>
      </c>
      <c r="I46" s="5" t="s">
        <v>195</v>
      </c>
      <c r="K46" s="13"/>
      <c r="N46" t="s">
        <v>225</v>
      </c>
    </row>
    <row r="47" spans="1:14">
      <c r="J47" s="5" t="s">
        <v>195</v>
      </c>
      <c r="K47" s="13" t="s">
        <v>294</v>
      </c>
      <c r="L47" t="s">
        <v>267</v>
      </c>
      <c r="M47" t="s">
        <v>267</v>
      </c>
      <c r="N47" t="s">
        <v>225</v>
      </c>
    </row>
    <row r="48" spans="1:14">
      <c r="K48" s="13" t="s">
        <v>295</v>
      </c>
      <c r="L48" t="s">
        <v>269</v>
      </c>
      <c r="M48" t="s">
        <v>269</v>
      </c>
      <c r="N48" t="s">
        <v>296</v>
      </c>
    </row>
    <row r="49" spans="1:14">
      <c r="D49" s="4" t="s">
        <v>297</v>
      </c>
      <c r="E49" s="8" t="s">
        <v>298</v>
      </c>
      <c r="F49" s="8" t="s">
        <v>298</v>
      </c>
      <c r="G49" s="5" t="s">
        <v>195</v>
      </c>
      <c r="I49" s="5" t="s">
        <v>195</v>
      </c>
      <c r="K49" s="13"/>
      <c r="N49" t="s">
        <v>225</v>
      </c>
    </row>
    <row r="50" spans="1:14">
      <c r="J50" s="5" t="s">
        <v>195</v>
      </c>
      <c r="K50" s="13" t="s">
        <v>299</v>
      </c>
      <c r="L50" t="s">
        <v>267</v>
      </c>
      <c r="M50" t="s">
        <v>267</v>
      </c>
      <c r="N50" t="s">
        <v>225</v>
      </c>
    </row>
    <row r="51" spans="1:14">
      <c r="K51" s="13" t="s">
        <v>300</v>
      </c>
      <c r="L51" t="s">
        <v>269</v>
      </c>
      <c r="M51" t="s">
        <v>269</v>
      </c>
      <c r="N51" t="s">
        <v>301</v>
      </c>
    </row>
    <row r="52" spans="1:14">
      <c r="D52" s="4" t="s">
        <v>302</v>
      </c>
      <c r="E52" s="12" t="s">
        <v>111</v>
      </c>
      <c r="F52" s="12" t="s">
        <v>111</v>
      </c>
      <c r="G52" s="5" t="s">
        <v>195</v>
      </c>
      <c r="I52" s="5" t="s">
        <v>195</v>
      </c>
      <c r="K52" s="13"/>
      <c r="N52" t="s">
        <v>225</v>
      </c>
    </row>
    <row r="53" spans="1:14">
      <c r="J53" s="5" t="s">
        <v>195</v>
      </c>
      <c r="K53" s="13" t="s">
        <v>303</v>
      </c>
      <c r="L53" t="s">
        <v>267</v>
      </c>
      <c r="M53" t="s">
        <v>267</v>
      </c>
      <c r="N53" t="s">
        <v>225</v>
      </c>
    </row>
    <row r="54" spans="1:14">
      <c r="K54" s="13" t="s">
        <v>304</v>
      </c>
      <c r="L54" t="s">
        <v>269</v>
      </c>
      <c r="M54" t="s">
        <v>269</v>
      </c>
      <c r="N54" t="s">
        <v>305</v>
      </c>
    </row>
    <row r="55" spans="1:14">
      <c r="D55" s="4" t="s">
        <v>306</v>
      </c>
      <c r="E55" s="12" t="s">
        <v>113</v>
      </c>
      <c r="F55" s="12" t="s">
        <v>113</v>
      </c>
      <c r="G55" s="5" t="s">
        <v>195</v>
      </c>
      <c r="I55" s="5" t="s">
        <v>195</v>
      </c>
      <c r="K55" s="13"/>
      <c r="N55" t="s">
        <v>225</v>
      </c>
    </row>
    <row r="56" spans="1:14">
      <c r="J56" s="5" t="s">
        <v>195</v>
      </c>
      <c r="K56" s="13" t="s">
        <v>307</v>
      </c>
      <c r="L56" t="s">
        <v>267</v>
      </c>
      <c r="M56" t="s">
        <v>267</v>
      </c>
      <c r="N56" t="s">
        <v>225</v>
      </c>
    </row>
    <row r="57" spans="1:14">
      <c r="K57" s="13" t="s">
        <v>308</v>
      </c>
      <c r="L57" t="s">
        <v>269</v>
      </c>
      <c r="M57" t="s">
        <v>269</v>
      </c>
      <c r="N57" t="s">
        <v>309</v>
      </c>
    </row>
    <row r="58" spans="1:14">
      <c r="A58" s="3" t="s">
        <v>310</v>
      </c>
      <c r="B58" s="3" t="s">
        <v>310</v>
      </c>
      <c r="C58" s="3" t="s">
        <v>310</v>
      </c>
      <c r="D58" s="4" t="s">
        <v>311</v>
      </c>
      <c r="E58" s="12" t="s">
        <v>101</v>
      </c>
      <c r="F58" s="12" t="s">
        <v>101</v>
      </c>
      <c r="G58" s="5" t="s">
        <v>195</v>
      </c>
      <c r="I58" s="5" t="s">
        <v>195</v>
      </c>
      <c r="K58" s="13"/>
      <c r="N58" t="s">
        <v>225</v>
      </c>
    </row>
    <row r="59" spans="1:14">
      <c r="K59" s="13" t="s">
        <v>312</v>
      </c>
      <c r="L59" s="10" t="s">
        <v>267</v>
      </c>
      <c r="M59" s="10" t="s">
        <v>267</v>
      </c>
      <c r="N59" t="s">
        <v>225</v>
      </c>
    </row>
    <row r="60" spans="1:14">
      <c r="J60" s="5" t="s">
        <v>195</v>
      </c>
      <c r="K60" s="13" t="s">
        <v>313</v>
      </c>
      <c r="L60" s="10" t="s">
        <v>269</v>
      </c>
      <c r="M60" s="10" t="s">
        <v>269</v>
      </c>
      <c r="N60" t="s">
        <v>314</v>
      </c>
    </row>
    <row r="61" spans="1:14">
      <c r="D61" s="4" t="s">
        <v>311</v>
      </c>
      <c r="E61" s="12" t="s">
        <v>103</v>
      </c>
      <c r="F61" s="12" t="s">
        <v>103</v>
      </c>
      <c r="G61" s="5" t="s">
        <v>195</v>
      </c>
      <c r="I61" s="5" t="s">
        <v>195</v>
      </c>
      <c r="K61" s="13"/>
      <c r="N61" t="s">
        <v>225</v>
      </c>
    </row>
    <row r="62" spans="1:14">
      <c r="J62" s="5" t="s">
        <v>195</v>
      </c>
      <c r="K62" s="13" t="s">
        <v>312</v>
      </c>
      <c r="L62" s="10" t="s">
        <v>267</v>
      </c>
      <c r="M62" s="10" t="s">
        <v>267</v>
      </c>
      <c r="N62" t="s">
        <v>225</v>
      </c>
    </row>
    <row r="63" spans="1:14">
      <c r="K63" s="13" t="s">
        <v>313</v>
      </c>
      <c r="L63" s="10" t="s">
        <v>269</v>
      </c>
      <c r="M63" s="10" t="s">
        <v>269</v>
      </c>
      <c r="N63" t="s">
        <v>315</v>
      </c>
    </row>
    <row r="64" spans="1:14">
      <c r="D64" s="4" t="s">
        <v>316</v>
      </c>
      <c r="E64" s="12" t="s">
        <v>317</v>
      </c>
      <c r="F64" s="12" t="s">
        <v>317</v>
      </c>
      <c r="G64" s="5" t="s">
        <v>195</v>
      </c>
      <c r="I64" s="5" t="s">
        <v>195</v>
      </c>
      <c r="K64" s="13"/>
      <c r="N64" t="s">
        <v>225</v>
      </c>
    </row>
    <row r="65" spans="1:15">
      <c r="J65" s="5" t="s">
        <v>195</v>
      </c>
      <c r="K65" s="13" t="s">
        <v>318</v>
      </c>
      <c r="L65" s="10" t="s">
        <v>267</v>
      </c>
      <c r="M65" s="10" t="s">
        <v>267</v>
      </c>
      <c r="N65" t="s">
        <v>225</v>
      </c>
    </row>
    <row r="66" spans="1:15">
      <c r="K66" s="13" t="s">
        <v>319</v>
      </c>
      <c r="L66" s="10" t="s">
        <v>269</v>
      </c>
      <c r="M66" s="10" t="s">
        <v>269</v>
      </c>
      <c r="N66" t="s">
        <v>320</v>
      </c>
    </row>
    <row r="67" spans="1:15">
      <c r="A67" s="3" t="s">
        <v>321</v>
      </c>
      <c r="B67" s="3" t="s">
        <v>321</v>
      </c>
      <c r="C67" s="3" t="s">
        <v>321</v>
      </c>
      <c r="D67" s="4" t="s">
        <v>322</v>
      </c>
      <c r="E67" s="12" t="s">
        <v>115</v>
      </c>
      <c r="F67" s="12" t="s">
        <v>115</v>
      </c>
      <c r="G67" s="5" t="s">
        <v>195</v>
      </c>
      <c r="I67" s="5" t="s">
        <v>195</v>
      </c>
      <c r="K67" s="13"/>
      <c r="N67" t="s">
        <v>225</v>
      </c>
    </row>
    <row r="68" spans="1:15">
      <c r="K68" s="4" t="s">
        <v>323</v>
      </c>
      <c r="L68" s="10" t="s">
        <v>209</v>
      </c>
      <c r="M68" s="10" t="s">
        <v>209</v>
      </c>
      <c r="N68" t="s">
        <v>225</v>
      </c>
    </row>
    <row r="69" spans="1:15">
      <c r="J69" s="5" t="s">
        <v>195</v>
      </c>
      <c r="K69" s="4" t="s">
        <v>324</v>
      </c>
      <c r="L69" s="10" t="s">
        <v>115</v>
      </c>
      <c r="M69" s="10" t="s">
        <v>115</v>
      </c>
      <c r="N69" t="s">
        <v>325</v>
      </c>
    </row>
    <row r="70" spans="1:15">
      <c r="K70" s="4" t="s">
        <v>326</v>
      </c>
      <c r="L70" s="10" t="s">
        <v>118</v>
      </c>
      <c r="M70" s="10" t="s">
        <v>118</v>
      </c>
      <c r="N70" t="s">
        <v>327</v>
      </c>
    </row>
    <row r="71" spans="1:15">
      <c r="K71" s="4" t="s">
        <v>328</v>
      </c>
      <c r="L71" s="10" t="s">
        <v>120</v>
      </c>
      <c r="M71" s="10" t="s">
        <v>120</v>
      </c>
      <c r="N71" t="s">
        <v>329</v>
      </c>
    </row>
    <row r="72" spans="1:15">
      <c r="C72" s="10"/>
      <c r="D72" s="4" t="s">
        <v>330</v>
      </c>
      <c r="E72" s="12" t="s">
        <v>331</v>
      </c>
      <c r="F72" s="12" t="s">
        <v>331</v>
      </c>
      <c r="G72" s="5" t="s">
        <v>195</v>
      </c>
      <c r="I72" s="5" t="s">
        <v>195</v>
      </c>
      <c r="K72" s="13"/>
      <c r="N72" t="s">
        <v>225</v>
      </c>
    </row>
    <row r="73" spans="1:15">
      <c r="K73" s="4" t="s">
        <v>332</v>
      </c>
      <c r="L73" s="10" t="s">
        <v>209</v>
      </c>
      <c r="M73" s="10" t="s">
        <v>209</v>
      </c>
      <c r="N73" t="s">
        <v>225</v>
      </c>
    </row>
    <row r="74" spans="1:15">
      <c r="K74" s="4" t="s">
        <v>333</v>
      </c>
      <c r="L74" s="10" t="s">
        <v>334</v>
      </c>
      <c r="M74" s="10" t="s">
        <v>334</v>
      </c>
      <c r="N74" t="s">
        <v>335</v>
      </c>
    </row>
    <row r="75" spans="1:15">
      <c r="K75" s="4" t="s">
        <v>336</v>
      </c>
      <c r="L75" s="10" t="s">
        <v>337</v>
      </c>
      <c r="M75" s="10" t="s">
        <v>337</v>
      </c>
      <c r="N75" t="s">
        <v>338</v>
      </c>
    </row>
    <row r="76" spans="1:15">
      <c r="K76" s="4" t="s">
        <v>339</v>
      </c>
      <c r="L76" s="10" t="s">
        <v>340</v>
      </c>
      <c r="M76" s="10" t="s">
        <v>340</v>
      </c>
      <c r="N76" t="s">
        <v>341</v>
      </c>
    </row>
    <row r="77" spans="1:15">
      <c r="D77" s="4" t="s">
        <v>342</v>
      </c>
      <c r="E77" s="14" t="s">
        <v>343</v>
      </c>
      <c r="F77" s="14" t="s">
        <v>343</v>
      </c>
      <c r="G77" s="5" t="s">
        <v>195</v>
      </c>
      <c r="I77" s="5" t="s">
        <v>195</v>
      </c>
      <c r="K77" s="13"/>
      <c r="N77" t="s">
        <v>225</v>
      </c>
      <c r="O77" t="s">
        <v>344</v>
      </c>
    </row>
    <row r="78" spans="1:15">
      <c r="J78" s="5" t="s">
        <v>195</v>
      </c>
      <c r="K78" s="13" t="s">
        <v>345</v>
      </c>
      <c r="L78" s="10" t="s">
        <v>267</v>
      </c>
      <c r="M78" s="10" t="s">
        <v>267</v>
      </c>
      <c r="N78" t="s">
        <v>225</v>
      </c>
    </row>
    <row r="79" spans="1:15">
      <c r="K79" s="13" t="s">
        <v>346</v>
      </c>
      <c r="L79" s="10" t="s">
        <v>269</v>
      </c>
      <c r="M79" s="10" t="s">
        <v>269</v>
      </c>
      <c r="N79" t="s">
        <v>347</v>
      </c>
    </row>
    <row r="80" spans="1:15">
      <c r="A80" t="s">
        <v>348</v>
      </c>
      <c r="B80" t="s">
        <v>348</v>
      </c>
      <c r="C80" t="s">
        <v>348</v>
      </c>
      <c r="D80" s="4" t="s">
        <v>349</v>
      </c>
      <c r="E80" s="12" t="s">
        <v>130</v>
      </c>
      <c r="F80" s="12" t="s">
        <v>130</v>
      </c>
      <c r="G80" s="5" t="s">
        <v>195</v>
      </c>
      <c r="I80" s="5" t="s">
        <v>195</v>
      </c>
      <c r="K80" s="13" t="s">
        <v>225</v>
      </c>
      <c r="N80" t="s">
        <v>225</v>
      </c>
    </row>
    <row r="81" spans="3:14">
      <c r="J81" s="5" t="s">
        <v>195</v>
      </c>
      <c r="K81" s="13" t="s">
        <v>350</v>
      </c>
      <c r="L81" s="10" t="s">
        <v>267</v>
      </c>
      <c r="M81" s="10" t="s">
        <v>267</v>
      </c>
      <c r="N81" t="s">
        <v>225</v>
      </c>
    </row>
    <row r="82" spans="3:14">
      <c r="K82" s="13" t="s">
        <v>351</v>
      </c>
      <c r="L82" s="10" t="s">
        <v>269</v>
      </c>
      <c r="M82" s="10" t="s">
        <v>269</v>
      </c>
      <c r="N82" t="s">
        <v>352</v>
      </c>
    </row>
    <row r="83" spans="3:14">
      <c r="D83" s="4" t="s">
        <v>353</v>
      </c>
      <c r="E83" s="12" t="s">
        <v>132</v>
      </c>
      <c r="F83" s="12" t="s">
        <v>132</v>
      </c>
      <c r="G83" s="5" t="s">
        <v>195</v>
      </c>
      <c r="I83" s="5" t="s">
        <v>195</v>
      </c>
      <c r="K83" s="13" t="s">
        <v>225</v>
      </c>
      <c r="N83" t="s">
        <v>225</v>
      </c>
    </row>
    <row r="84" spans="3:14">
      <c r="J84" s="5" t="s">
        <v>195</v>
      </c>
      <c r="K84" s="13" t="s">
        <v>354</v>
      </c>
      <c r="L84" s="10" t="s">
        <v>267</v>
      </c>
      <c r="M84" s="10" t="s">
        <v>267</v>
      </c>
      <c r="N84" t="s">
        <v>225</v>
      </c>
    </row>
    <row r="85" spans="3:14">
      <c r="K85" s="13" t="s">
        <v>355</v>
      </c>
      <c r="L85" s="10" t="s">
        <v>269</v>
      </c>
      <c r="M85" s="10" t="s">
        <v>269</v>
      </c>
      <c r="N85" t="s">
        <v>356</v>
      </c>
    </row>
    <row r="86" spans="3:14">
      <c r="D86" s="4" t="s">
        <v>357</v>
      </c>
      <c r="E86" s="12" t="s">
        <v>358</v>
      </c>
      <c r="F86" s="12" t="s">
        <v>358</v>
      </c>
      <c r="G86" s="5" t="s">
        <v>195</v>
      </c>
      <c r="I86" s="5" t="s">
        <v>195</v>
      </c>
      <c r="K86" s="13" t="s">
        <v>225</v>
      </c>
      <c r="N86" t="s">
        <v>225</v>
      </c>
    </row>
    <row r="87" spans="3:14">
      <c r="J87" s="5" t="s">
        <v>195</v>
      </c>
      <c r="K87" s="13" t="s">
        <v>359</v>
      </c>
      <c r="L87" s="10" t="s">
        <v>267</v>
      </c>
      <c r="M87" s="10" t="s">
        <v>267</v>
      </c>
      <c r="N87" t="s">
        <v>225</v>
      </c>
    </row>
    <row r="88" spans="3:14">
      <c r="K88" s="13" t="s">
        <v>360</v>
      </c>
      <c r="L88" s="10" t="s">
        <v>269</v>
      </c>
      <c r="M88" s="10" t="s">
        <v>269</v>
      </c>
      <c r="N88" t="s">
        <v>361</v>
      </c>
    </row>
    <row r="89" spans="3:14">
      <c r="D89" s="4" t="s">
        <v>362</v>
      </c>
      <c r="E89" s="12" t="s">
        <v>363</v>
      </c>
      <c r="F89" s="12" t="s">
        <v>363</v>
      </c>
      <c r="G89" s="5" t="s">
        <v>195</v>
      </c>
      <c r="I89" s="5" t="s">
        <v>195</v>
      </c>
      <c r="K89" s="13" t="s">
        <v>225</v>
      </c>
      <c r="N89" t="s">
        <v>225</v>
      </c>
    </row>
    <row r="90" spans="3:14">
      <c r="J90" s="5" t="s">
        <v>195</v>
      </c>
      <c r="K90" s="13" t="s">
        <v>364</v>
      </c>
      <c r="L90" s="10" t="s">
        <v>267</v>
      </c>
      <c r="M90" s="10" t="s">
        <v>267</v>
      </c>
      <c r="N90" t="s">
        <v>225</v>
      </c>
    </row>
    <row r="91" spans="3:14">
      <c r="K91" s="13" t="s">
        <v>365</v>
      </c>
      <c r="L91" s="10" t="s">
        <v>269</v>
      </c>
      <c r="M91" s="10" t="s">
        <v>269</v>
      </c>
      <c r="N91" t="s">
        <v>366</v>
      </c>
    </row>
    <row r="92" spans="3:14">
      <c r="C92"/>
      <c r="D92" s="4" t="s">
        <v>367</v>
      </c>
      <c r="E92" s="12" t="s">
        <v>368</v>
      </c>
      <c r="F92" s="12" t="s">
        <v>368</v>
      </c>
      <c r="G92" s="5" t="s">
        <v>195</v>
      </c>
      <c r="I92" s="5" t="s">
        <v>195</v>
      </c>
      <c r="K92" s="13" t="s">
        <v>225</v>
      </c>
      <c r="N92" t="s">
        <v>225</v>
      </c>
    </row>
    <row r="93" spans="3:14">
      <c r="J93" s="5" t="s">
        <v>195</v>
      </c>
      <c r="K93" s="13" t="s">
        <v>369</v>
      </c>
      <c r="L93" s="10" t="s">
        <v>267</v>
      </c>
      <c r="M93" s="10" t="s">
        <v>267</v>
      </c>
      <c r="N93" t="s">
        <v>225</v>
      </c>
    </row>
    <row r="94" spans="3:14">
      <c r="K94" s="13" t="s">
        <v>370</v>
      </c>
      <c r="L94" s="10" t="s">
        <v>269</v>
      </c>
      <c r="M94" s="10" t="s">
        <v>269</v>
      </c>
      <c r="N94" t="s">
        <v>371</v>
      </c>
    </row>
    <row r="95" spans="3:14">
      <c r="D95" s="4" t="s">
        <v>372</v>
      </c>
      <c r="E95" s="12" t="s">
        <v>373</v>
      </c>
      <c r="F95" s="12" t="s">
        <v>373</v>
      </c>
      <c r="G95" s="5" t="s">
        <v>195</v>
      </c>
      <c r="I95" s="5" t="s">
        <v>195</v>
      </c>
      <c r="K95" s="13" t="s">
        <v>225</v>
      </c>
      <c r="N95" t="s">
        <v>225</v>
      </c>
    </row>
    <row r="96" spans="3:14">
      <c r="J96" s="5" t="s">
        <v>195</v>
      </c>
      <c r="K96" s="13" t="s">
        <v>374</v>
      </c>
      <c r="L96" s="10" t="s">
        <v>267</v>
      </c>
      <c r="M96" s="10" t="s">
        <v>267</v>
      </c>
      <c r="N96" t="s">
        <v>225</v>
      </c>
    </row>
    <row r="97" spans="1:14">
      <c r="K97" s="13" t="s">
        <v>375</v>
      </c>
      <c r="L97" s="10" t="s">
        <v>269</v>
      </c>
      <c r="M97" s="10" t="s">
        <v>269</v>
      </c>
      <c r="N97" t="s">
        <v>376</v>
      </c>
    </row>
    <row r="98" spans="1:14">
      <c r="D98" s="4" t="s">
        <v>377</v>
      </c>
      <c r="E98" s="12" t="s">
        <v>378</v>
      </c>
      <c r="F98" s="12" t="s">
        <v>378</v>
      </c>
      <c r="G98" s="5" t="s">
        <v>195</v>
      </c>
      <c r="I98" s="5" t="s">
        <v>195</v>
      </c>
      <c r="K98" s="13" t="s">
        <v>225</v>
      </c>
      <c r="N98" t="s">
        <v>225</v>
      </c>
    </row>
    <row r="99" spans="1:14">
      <c r="J99" s="5" t="s">
        <v>195</v>
      </c>
      <c r="K99" s="13" t="s">
        <v>379</v>
      </c>
      <c r="L99" s="10" t="s">
        <v>267</v>
      </c>
      <c r="M99" s="10" t="s">
        <v>267</v>
      </c>
      <c r="N99" t="s">
        <v>225</v>
      </c>
    </row>
    <row r="100" spans="1:14">
      <c r="K100" s="13" t="s">
        <v>380</v>
      </c>
      <c r="L100" s="10" t="s">
        <v>269</v>
      </c>
      <c r="M100" s="10" t="s">
        <v>269</v>
      </c>
      <c r="N100" t="s">
        <v>381</v>
      </c>
    </row>
    <row r="101" spans="1:14">
      <c r="D101" s="4" t="s">
        <v>382</v>
      </c>
      <c r="E101" s="12" t="s">
        <v>383</v>
      </c>
      <c r="F101" s="12" t="s">
        <v>383</v>
      </c>
      <c r="G101" s="5" t="s">
        <v>195</v>
      </c>
      <c r="I101" s="5" t="s">
        <v>195</v>
      </c>
      <c r="K101" s="13" t="s">
        <v>225</v>
      </c>
      <c r="N101" t="s">
        <v>225</v>
      </c>
    </row>
    <row r="102" spans="1:14">
      <c r="J102" s="5" t="s">
        <v>195</v>
      </c>
      <c r="K102" s="13" t="s">
        <v>384</v>
      </c>
      <c r="L102" s="10" t="s">
        <v>267</v>
      </c>
      <c r="M102" s="10" t="s">
        <v>267</v>
      </c>
      <c r="N102" t="s">
        <v>225</v>
      </c>
    </row>
    <row r="103" spans="1:14">
      <c r="K103" s="13" t="s">
        <v>385</v>
      </c>
      <c r="L103" s="10" t="s">
        <v>269</v>
      </c>
      <c r="M103" s="10" t="s">
        <v>269</v>
      </c>
      <c r="N103" t="s">
        <v>386</v>
      </c>
    </row>
    <row r="104" spans="1:14">
      <c r="D104" s="4" t="s">
        <v>387</v>
      </c>
      <c r="E104" s="12" t="s">
        <v>146</v>
      </c>
      <c r="F104" s="12" t="s">
        <v>146</v>
      </c>
      <c r="G104" s="5" t="s">
        <v>195</v>
      </c>
      <c r="I104" s="5" t="s">
        <v>195</v>
      </c>
      <c r="K104" s="13" t="s">
        <v>225</v>
      </c>
      <c r="N104" t="s">
        <v>225</v>
      </c>
    </row>
    <row r="105" spans="1:14">
      <c r="J105" s="5" t="s">
        <v>195</v>
      </c>
      <c r="K105" s="13" t="s">
        <v>388</v>
      </c>
      <c r="L105" s="10" t="s">
        <v>267</v>
      </c>
      <c r="M105" s="10" t="s">
        <v>267</v>
      </c>
      <c r="N105" t="s">
        <v>225</v>
      </c>
    </row>
    <row r="106" spans="1:14">
      <c r="K106" s="13" t="s">
        <v>389</v>
      </c>
      <c r="L106" s="10" t="s">
        <v>269</v>
      </c>
      <c r="M106" s="10" t="s">
        <v>269</v>
      </c>
      <c r="N106" t="s">
        <v>390</v>
      </c>
    </row>
    <row r="107" spans="1:14">
      <c r="A107" t="s">
        <v>149</v>
      </c>
      <c r="B107" t="s">
        <v>149</v>
      </c>
      <c r="C107" t="s">
        <v>149</v>
      </c>
      <c r="D107" s="4" t="s">
        <v>391</v>
      </c>
      <c r="E107" s="12" t="s">
        <v>148</v>
      </c>
      <c r="F107" s="12" t="s">
        <v>148</v>
      </c>
      <c r="G107" s="5" t="s">
        <v>195</v>
      </c>
      <c r="I107" s="5" t="s">
        <v>195</v>
      </c>
      <c r="K107" s="13" t="s">
        <v>225</v>
      </c>
      <c r="N107" t="s">
        <v>225</v>
      </c>
    </row>
    <row r="108" spans="1:14">
      <c r="J108" s="5" t="s">
        <v>195</v>
      </c>
      <c r="K108" s="13" t="s">
        <v>392</v>
      </c>
      <c r="L108" s="3" t="s">
        <v>267</v>
      </c>
      <c r="M108" s="3" t="s">
        <v>267</v>
      </c>
      <c r="N108" t="s">
        <v>225</v>
      </c>
    </row>
    <row r="109" spans="1:14">
      <c r="K109" s="13" t="s">
        <v>393</v>
      </c>
      <c r="L109" s="3" t="s">
        <v>269</v>
      </c>
      <c r="M109" s="3" t="s">
        <v>269</v>
      </c>
      <c r="N109" t="s">
        <v>394</v>
      </c>
    </row>
    <row r="110" spans="1:14">
      <c r="D110" s="4" t="s">
        <v>395</v>
      </c>
      <c r="E110" s="12" t="s">
        <v>396</v>
      </c>
      <c r="F110" s="12" t="s">
        <v>396</v>
      </c>
      <c r="G110" s="5" t="s">
        <v>195</v>
      </c>
      <c r="I110" s="5" t="s">
        <v>195</v>
      </c>
      <c r="K110" s="13" t="s">
        <v>225</v>
      </c>
      <c r="N110" t="s">
        <v>225</v>
      </c>
    </row>
    <row r="111" spans="1:14">
      <c r="J111" s="5" t="s">
        <v>195</v>
      </c>
      <c r="K111" s="13" t="s">
        <v>397</v>
      </c>
      <c r="L111" s="3" t="s">
        <v>267</v>
      </c>
      <c r="M111" s="3" t="s">
        <v>267</v>
      </c>
      <c r="N111" t="s">
        <v>225</v>
      </c>
    </row>
    <row r="112" spans="1:14">
      <c r="K112" s="13" t="s">
        <v>398</v>
      </c>
      <c r="L112" s="3" t="s">
        <v>269</v>
      </c>
      <c r="M112" s="3" t="s">
        <v>269</v>
      </c>
      <c r="N112" t="s">
        <v>399</v>
      </c>
    </row>
    <row r="113" spans="3:14">
      <c r="D113" s="4" t="s">
        <v>297</v>
      </c>
      <c r="E113" s="12" t="s">
        <v>400</v>
      </c>
      <c r="F113" s="12" t="s">
        <v>400</v>
      </c>
      <c r="G113" s="5" t="s">
        <v>195</v>
      </c>
      <c r="I113" s="5" t="s">
        <v>195</v>
      </c>
      <c r="K113" s="13" t="s">
        <v>225</v>
      </c>
      <c r="N113" t="s">
        <v>225</v>
      </c>
    </row>
    <row r="114" spans="3:14">
      <c r="J114" s="5" t="s">
        <v>195</v>
      </c>
      <c r="K114" s="13" t="s">
        <v>299</v>
      </c>
      <c r="L114" s="3" t="s">
        <v>267</v>
      </c>
      <c r="M114" s="3" t="s">
        <v>267</v>
      </c>
      <c r="N114" t="s">
        <v>225</v>
      </c>
    </row>
    <row r="115" spans="3:14">
      <c r="K115" s="13" t="s">
        <v>300</v>
      </c>
      <c r="L115" s="3" t="s">
        <v>269</v>
      </c>
      <c r="M115" s="3" t="s">
        <v>269</v>
      </c>
      <c r="N115" t="s">
        <v>401</v>
      </c>
    </row>
    <row r="116" spans="3:14">
      <c r="C116"/>
      <c r="D116" s="4" t="s">
        <v>402</v>
      </c>
      <c r="E116" s="12" t="s">
        <v>155</v>
      </c>
      <c r="F116" s="12" t="s">
        <v>155</v>
      </c>
      <c r="G116" s="5" t="s">
        <v>195</v>
      </c>
      <c r="I116" s="5" t="s">
        <v>195</v>
      </c>
      <c r="K116" s="13" t="s">
        <v>225</v>
      </c>
      <c r="N116" t="s">
        <v>225</v>
      </c>
    </row>
    <row r="117" spans="3:14">
      <c r="J117" s="5" t="s">
        <v>195</v>
      </c>
      <c r="K117" s="13" t="s">
        <v>403</v>
      </c>
      <c r="L117" s="3" t="s">
        <v>267</v>
      </c>
      <c r="M117" s="3" t="s">
        <v>267</v>
      </c>
      <c r="N117" t="s">
        <v>225</v>
      </c>
    </row>
    <row r="118" spans="3:14">
      <c r="K118" s="13" t="s">
        <v>404</v>
      </c>
      <c r="L118" s="3" t="s">
        <v>269</v>
      </c>
      <c r="M118" s="3" t="s">
        <v>269</v>
      </c>
      <c r="N118" t="s">
        <v>405</v>
      </c>
    </row>
    <row r="119" spans="3:14">
      <c r="D119" s="4" t="s">
        <v>406</v>
      </c>
      <c r="E119" s="15" t="s">
        <v>157</v>
      </c>
      <c r="F119" s="15" t="s">
        <v>157</v>
      </c>
      <c r="G119" s="5" t="s">
        <v>195</v>
      </c>
      <c r="I119" s="5" t="s">
        <v>195</v>
      </c>
      <c r="K119" s="13" t="s">
        <v>225</v>
      </c>
      <c r="N119" t="s">
        <v>225</v>
      </c>
    </row>
    <row r="120" spans="3:14">
      <c r="J120" s="5" t="s">
        <v>195</v>
      </c>
      <c r="K120" s="13" t="s">
        <v>407</v>
      </c>
      <c r="L120" s="3" t="s">
        <v>267</v>
      </c>
      <c r="M120" s="3" t="s">
        <v>267</v>
      </c>
      <c r="N120" t="s">
        <v>225</v>
      </c>
    </row>
    <row r="121" spans="3:14">
      <c r="K121" s="13" t="s">
        <v>408</v>
      </c>
      <c r="L121" s="3" t="s">
        <v>269</v>
      </c>
      <c r="M121" s="3" t="s">
        <v>269</v>
      </c>
      <c r="N121" t="s">
        <v>409</v>
      </c>
    </row>
    <row r="122" spans="3:14">
      <c r="D122" s="4" t="s">
        <v>410</v>
      </c>
      <c r="E122" s="12" t="s">
        <v>411</v>
      </c>
      <c r="F122" s="12" t="s">
        <v>411</v>
      </c>
      <c r="G122" s="5" t="s">
        <v>195</v>
      </c>
      <c r="I122" s="5" t="s">
        <v>195</v>
      </c>
      <c r="K122" s="13" t="s">
        <v>225</v>
      </c>
      <c r="N122" t="s">
        <v>225</v>
      </c>
    </row>
    <row r="123" spans="3:14">
      <c r="J123" s="5" t="s">
        <v>195</v>
      </c>
      <c r="K123" s="13" t="s">
        <v>412</v>
      </c>
      <c r="L123" s="3" t="s">
        <v>267</v>
      </c>
      <c r="M123" s="3" t="s">
        <v>267</v>
      </c>
      <c r="N123" t="s">
        <v>225</v>
      </c>
    </row>
    <row r="124" spans="3:14">
      <c r="K124" s="13" t="s">
        <v>413</v>
      </c>
      <c r="L124" s="3" t="s">
        <v>269</v>
      </c>
      <c r="M124" s="3" t="s">
        <v>269</v>
      </c>
      <c r="N124" t="s">
        <v>414</v>
      </c>
    </row>
    <row r="125" spans="3:14">
      <c r="D125" s="4" t="s">
        <v>415</v>
      </c>
      <c r="E125" s="15" t="s">
        <v>416</v>
      </c>
      <c r="F125" s="15" t="s">
        <v>416</v>
      </c>
      <c r="G125" s="5" t="s">
        <v>195</v>
      </c>
      <c r="I125" s="5" t="s">
        <v>195</v>
      </c>
      <c r="K125" s="13" t="s">
        <v>225</v>
      </c>
      <c r="N125" t="s">
        <v>225</v>
      </c>
    </row>
    <row r="126" spans="3:14">
      <c r="J126" s="5" t="s">
        <v>195</v>
      </c>
      <c r="K126" s="13" t="s">
        <v>417</v>
      </c>
      <c r="L126" s="3" t="s">
        <v>267</v>
      </c>
      <c r="M126" s="3" t="s">
        <v>267</v>
      </c>
      <c r="N126" t="s">
        <v>225</v>
      </c>
    </row>
    <row r="127" spans="3:14">
      <c r="K127" s="13" t="s">
        <v>418</v>
      </c>
      <c r="L127" s="3" t="s">
        <v>269</v>
      </c>
      <c r="M127" s="3" t="s">
        <v>269</v>
      </c>
      <c r="N127" t="s">
        <v>419</v>
      </c>
    </row>
    <row r="128" spans="3:14">
      <c r="D128" s="4" t="s">
        <v>420</v>
      </c>
      <c r="E128" s="12" t="s">
        <v>421</v>
      </c>
      <c r="F128" s="12" t="s">
        <v>421</v>
      </c>
      <c r="G128" s="5" t="s">
        <v>195</v>
      </c>
      <c r="I128" s="5" t="s">
        <v>195</v>
      </c>
      <c r="K128" s="13" t="s">
        <v>225</v>
      </c>
      <c r="N128" t="s">
        <v>225</v>
      </c>
    </row>
    <row r="129" spans="1:16">
      <c r="J129" s="5" t="s">
        <v>195</v>
      </c>
      <c r="K129" s="13" t="s">
        <v>422</v>
      </c>
      <c r="L129" s="3" t="s">
        <v>267</v>
      </c>
      <c r="M129" s="3" t="s">
        <v>267</v>
      </c>
      <c r="N129" t="s">
        <v>225</v>
      </c>
    </row>
    <row r="130" spans="1:16">
      <c r="K130" s="13" t="s">
        <v>423</v>
      </c>
      <c r="L130" s="3" t="s">
        <v>269</v>
      </c>
      <c r="M130" s="3" t="s">
        <v>269</v>
      </c>
      <c r="N130" t="s">
        <v>424</v>
      </c>
    </row>
    <row r="131" spans="1:16">
      <c r="A131" s="3" t="s">
        <v>166</v>
      </c>
      <c r="B131" s="3" t="s">
        <v>166</v>
      </c>
      <c r="C131" s="3" t="s">
        <v>166</v>
      </c>
      <c r="D131" s="4" t="s">
        <v>425</v>
      </c>
      <c r="E131" s="8" t="s">
        <v>426</v>
      </c>
      <c r="F131" s="8" t="s">
        <v>426</v>
      </c>
      <c r="G131" s="5" t="s">
        <v>195</v>
      </c>
      <c r="I131" s="5" t="s">
        <v>195</v>
      </c>
      <c r="K131" s="13" t="s">
        <v>225</v>
      </c>
      <c r="N131" t="s">
        <v>225</v>
      </c>
    </row>
    <row r="132" spans="1:16">
      <c r="K132" s="13" t="s">
        <v>427</v>
      </c>
      <c r="L132" s="3" t="s">
        <v>267</v>
      </c>
      <c r="M132" s="3" t="s">
        <v>267</v>
      </c>
      <c r="N132" t="s">
        <v>428</v>
      </c>
    </row>
    <row r="133" spans="1:16">
      <c r="K133" s="13" t="s">
        <v>429</v>
      </c>
      <c r="L133" s="3" t="s">
        <v>269</v>
      </c>
      <c r="M133" s="3" t="s">
        <v>269</v>
      </c>
      <c r="N133" t="s">
        <v>225</v>
      </c>
      <c r="P133" t="s">
        <v>430</v>
      </c>
    </row>
    <row r="134" spans="1:16">
      <c r="D134" s="4" t="s">
        <v>431</v>
      </c>
      <c r="E134" s="8" t="s">
        <v>432</v>
      </c>
      <c r="F134" s="8" t="s">
        <v>432</v>
      </c>
      <c r="G134" s="5" t="s">
        <v>195</v>
      </c>
      <c r="I134" s="5" t="s">
        <v>195</v>
      </c>
      <c r="K134" s="13" t="s">
        <v>225</v>
      </c>
      <c r="N134" t="s">
        <v>225</v>
      </c>
    </row>
    <row r="135" spans="1:16">
      <c r="J135" s="5" t="s">
        <v>195</v>
      </c>
      <c r="K135" s="13" t="s">
        <v>433</v>
      </c>
      <c r="L135" s="3" t="s">
        <v>267</v>
      </c>
      <c r="M135" s="3" t="s">
        <v>267</v>
      </c>
      <c r="N135" t="s">
        <v>225</v>
      </c>
    </row>
    <row r="136" spans="1:16">
      <c r="K136" s="13" t="s">
        <v>434</v>
      </c>
      <c r="L136" s="3" t="s">
        <v>269</v>
      </c>
      <c r="M136" s="3" t="s">
        <v>269</v>
      </c>
      <c r="N136" t="s">
        <v>435</v>
      </c>
    </row>
    <row r="137" spans="1:16">
      <c r="D137" s="4" t="s">
        <v>436</v>
      </c>
      <c r="E137" s="8" t="s">
        <v>437</v>
      </c>
      <c r="F137" s="8" t="s">
        <v>437</v>
      </c>
      <c r="G137" s="5" t="s">
        <v>195</v>
      </c>
      <c r="I137" s="5" t="s">
        <v>195</v>
      </c>
      <c r="K137" s="13" t="s">
        <v>225</v>
      </c>
      <c r="N137" t="s">
        <v>225</v>
      </c>
    </row>
    <row r="138" spans="1:16">
      <c r="J138" s="5" t="s">
        <v>195</v>
      </c>
      <c r="K138" s="13" t="s">
        <v>438</v>
      </c>
      <c r="L138" s="3" t="s">
        <v>267</v>
      </c>
      <c r="M138" s="3" t="s">
        <v>267</v>
      </c>
      <c r="N138" t="s">
        <v>225</v>
      </c>
    </row>
    <row r="139" spans="1:16">
      <c r="K139" s="13" t="s">
        <v>439</v>
      </c>
      <c r="L139" s="3" t="s">
        <v>269</v>
      </c>
      <c r="M139" s="3" t="s">
        <v>269</v>
      </c>
      <c r="N139" t="s">
        <v>440</v>
      </c>
    </row>
    <row r="140" spans="1:16">
      <c r="D140" s="4" t="s">
        <v>441</v>
      </c>
      <c r="E140" s="8" t="s">
        <v>442</v>
      </c>
      <c r="F140" s="8" t="s">
        <v>442</v>
      </c>
      <c r="G140" s="5" t="s">
        <v>195</v>
      </c>
      <c r="I140" s="5" t="s">
        <v>195</v>
      </c>
      <c r="K140" s="13" t="s">
        <v>225</v>
      </c>
      <c r="N140" t="s">
        <v>225</v>
      </c>
    </row>
    <row r="141" spans="1:16">
      <c r="J141" s="5" t="s">
        <v>195</v>
      </c>
      <c r="K141" s="13" t="s">
        <v>443</v>
      </c>
      <c r="L141" s="3" t="s">
        <v>267</v>
      </c>
      <c r="M141" s="3" t="s">
        <v>267</v>
      </c>
      <c r="N141" t="s">
        <v>225</v>
      </c>
    </row>
    <row r="142" spans="1:16">
      <c r="K142" s="13" t="s">
        <v>444</v>
      </c>
      <c r="L142" s="3" t="s">
        <v>269</v>
      </c>
      <c r="M142" s="3" t="s">
        <v>269</v>
      </c>
      <c r="N142" t="s">
        <v>445</v>
      </c>
    </row>
    <row r="143" spans="1:16">
      <c r="D143" s="4" t="s">
        <v>446</v>
      </c>
      <c r="E143" s="8" t="s">
        <v>447</v>
      </c>
      <c r="F143" s="8" t="s">
        <v>447</v>
      </c>
      <c r="G143" s="5" t="s">
        <v>195</v>
      </c>
      <c r="I143" s="5" t="s">
        <v>195</v>
      </c>
      <c r="K143" s="13" t="s">
        <v>225</v>
      </c>
      <c r="N143" t="s">
        <v>225</v>
      </c>
    </row>
    <row r="144" spans="1:16">
      <c r="J144" s="5" t="s">
        <v>195</v>
      </c>
      <c r="K144" s="13" t="s">
        <v>448</v>
      </c>
      <c r="L144" s="3" t="s">
        <v>267</v>
      </c>
      <c r="M144" s="3" t="s">
        <v>267</v>
      </c>
      <c r="N144" t="s">
        <v>225</v>
      </c>
    </row>
    <row r="145" spans="4:16">
      <c r="K145" s="13" t="s">
        <v>449</v>
      </c>
      <c r="L145" s="3" t="s">
        <v>269</v>
      </c>
      <c r="M145" s="3" t="s">
        <v>269</v>
      </c>
      <c r="N145" t="s">
        <v>450</v>
      </c>
    </row>
    <row r="146" spans="4:16">
      <c r="D146" s="4" t="s">
        <v>451</v>
      </c>
      <c r="E146" s="8" t="s">
        <v>452</v>
      </c>
      <c r="F146" s="8" t="s">
        <v>452</v>
      </c>
      <c r="G146" s="5" t="s">
        <v>195</v>
      </c>
      <c r="I146" s="5" t="s">
        <v>195</v>
      </c>
      <c r="K146" s="13" t="s">
        <v>225</v>
      </c>
      <c r="N146" t="s">
        <v>225</v>
      </c>
    </row>
    <row r="147" spans="4:16">
      <c r="J147" s="5" t="s">
        <v>195</v>
      </c>
      <c r="K147" s="13" t="s">
        <v>453</v>
      </c>
      <c r="L147" s="3" t="s">
        <v>267</v>
      </c>
      <c r="M147" s="3" t="s">
        <v>267</v>
      </c>
      <c r="N147" t="s">
        <v>225</v>
      </c>
    </row>
    <row r="148" spans="4:16">
      <c r="K148" s="13" t="s">
        <v>454</v>
      </c>
      <c r="L148" s="3" t="s">
        <v>269</v>
      </c>
      <c r="M148" s="3" t="s">
        <v>269</v>
      </c>
      <c r="N148" t="s">
        <v>455</v>
      </c>
      <c r="P148" t="s">
        <v>430</v>
      </c>
    </row>
  </sheetData>
  <pageMargins left="0.69930555555555596" right="0.69930555555555596" top="0.78680555555555598" bottom="0.78680555555555598" header="0.3" footer="0.3"/>
  <pageSetup paperSize="9" orientation="portrait"/>
  <headerFooter alignWithMargins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L17"/>
  <sheetViews>
    <sheetView workbookViewId="0">
      <selection activeCell="E33" sqref="E33"/>
    </sheetView>
  </sheetViews>
  <sheetFormatPr baseColWidth="10" defaultColWidth="9" defaultRowHeight="15"/>
  <cols>
    <col min="2" max="2" width="14.5703125" customWidth="1"/>
    <col min="3" max="3" width="19.140625" customWidth="1"/>
    <col min="6" max="6" width="20.28515625" customWidth="1"/>
    <col min="7" max="7" width="21.85546875" customWidth="1"/>
    <col min="8" max="8" width="24.28515625" customWidth="1"/>
    <col min="11" max="11" width="28.85546875" customWidth="1"/>
  </cols>
  <sheetData>
    <row r="3" spans="1:12">
      <c r="A3" t="s">
        <v>456</v>
      </c>
      <c r="E3" t="s">
        <v>457</v>
      </c>
      <c r="J3" t="s">
        <v>458</v>
      </c>
    </row>
    <row r="4" spans="1:12">
      <c r="A4" s="1" t="s">
        <v>459</v>
      </c>
      <c r="B4" t="s">
        <v>460</v>
      </c>
      <c r="C4" t="str">
        <f>A4&amp;" "&amp;B4</f>
        <v>0001 SL Wetzlar</v>
      </c>
      <c r="E4" s="1" t="s">
        <v>461</v>
      </c>
      <c r="F4" t="s">
        <v>462</v>
      </c>
      <c r="G4" t="s">
        <v>463</v>
      </c>
      <c r="H4" t="str">
        <f>E4&amp;" "&amp;G4</f>
        <v>01 Wz:Opht.Opt.Machines</v>
      </c>
      <c r="J4" s="1" t="s">
        <v>459</v>
      </c>
      <c r="K4" s="1" t="s">
        <v>464</v>
      </c>
      <c r="L4" t="str">
        <f>J4&amp;" "&amp;K4</f>
        <v>0001 Satisloh GmbH Brillenoptik</v>
      </c>
    </row>
    <row r="5" spans="1:12">
      <c r="A5" s="1" t="s">
        <v>465</v>
      </c>
      <c r="B5" t="s">
        <v>466</v>
      </c>
      <c r="C5" t="str">
        <f t="shared" ref="C5" si="0">A5&amp;" "&amp;B5</f>
        <v>0002 LOH Oensingen</v>
      </c>
      <c r="E5" s="1" t="s">
        <v>467</v>
      </c>
      <c r="F5" t="s">
        <v>468</v>
      </c>
      <c r="G5" t="s">
        <v>468</v>
      </c>
      <c r="H5" t="str">
        <f t="shared" ref="H5" si="1">E5&amp;" "&amp;G5</f>
        <v>02 Wz:Consumables</v>
      </c>
      <c r="J5" s="1" t="s">
        <v>465</v>
      </c>
      <c r="K5" s="1" t="s">
        <v>469</v>
      </c>
      <c r="L5" t="str">
        <f t="shared" ref="L5" si="2">J5&amp;" "&amp;K5</f>
        <v>0002 Satisloh Oensingen AG-obsolet</v>
      </c>
    </row>
    <row r="6" spans="1:12">
      <c r="A6" s="1" t="s">
        <v>470</v>
      </c>
      <c r="B6" t="s">
        <v>471</v>
      </c>
      <c r="C6" t="str">
        <f t="shared" ref="C6:C13" si="3">A6&amp;" "&amp;B6</f>
        <v>0003 SL Baar</v>
      </c>
      <c r="E6" s="1" t="s">
        <v>472</v>
      </c>
      <c r="F6" t="s">
        <v>473</v>
      </c>
      <c r="G6" t="s">
        <v>474</v>
      </c>
      <c r="H6" t="str">
        <f t="shared" ref="H6:H17" si="4">E6&amp;" "&amp;G6</f>
        <v>03 Wz:Opht.Opt.Services</v>
      </c>
      <c r="J6" s="1" t="s">
        <v>470</v>
      </c>
      <c r="K6" s="1" t="s">
        <v>475</v>
      </c>
      <c r="L6" t="str">
        <f t="shared" ref="L6:L16" si="5">J6&amp;" "&amp;K6</f>
        <v>0003 Satisloh AG</v>
      </c>
    </row>
    <row r="7" spans="1:12">
      <c r="A7" s="1" t="s">
        <v>476</v>
      </c>
      <c r="B7" t="s">
        <v>477</v>
      </c>
      <c r="C7" t="str">
        <f t="shared" si="3"/>
        <v>0004 SL France</v>
      </c>
      <c r="E7" s="1" t="s">
        <v>478</v>
      </c>
      <c r="F7" t="s">
        <v>466</v>
      </c>
      <c r="G7" t="s">
        <v>466</v>
      </c>
      <c r="H7" t="str">
        <f t="shared" si="4"/>
        <v>04 LOH Oensingen</v>
      </c>
      <c r="J7" s="1" t="s">
        <v>476</v>
      </c>
      <c r="K7" s="1" t="s">
        <v>479</v>
      </c>
      <c r="L7" t="str">
        <f t="shared" si="5"/>
        <v>0004 Satisloh France S.A.S.</v>
      </c>
    </row>
    <row r="8" spans="1:12">
      <c r="A8" s="1" t="s">
        <v>480</v>
      </c>
      <c r="B8" t="s">
        <v>481</v>
      </c>
      <c r="C8" t="str">
        <f t="shared" si="3"/>
        <v>0005 SL USA</v>
      </c>
      <c r="E8" s="1">
        <v>11</v>
      </c>
      <c r="F8" t="s">
        <v>482</v>
      </c>
      <c r="G8" t="s">
        <v>483</v>
      </c>
      <c r="H8" t="str">
        <f t="shared" si="4"/>
        <v>11 Wz:Prec.Opt.Services</v>
      </c>
      <c r="J8" s="1" t="s">
        <v>480</v>
      </c>
      <c r="K8" s="1" t="s">
        <v>484</v>
      </c>
      <c r="L8" t="str">
        <f t="shared" si="5"/>
        <v>0005 Satisloh North America Inc.</v>
      </c>
    </row>
    <row r="9" spans="1:12">
      <c r="A9" s="1" t="s">
        <v>485</v>
      </c>
      <c r="B9" t="s">
        <v>486</v>
      </c>
      <c r="C9" t="str">
        <f t="shared" si="3"/>
        <v>0006 SL Hongkong</v>
      </c>
      <c r="E9" s="1">
        <v>12</v>
      </c>
      <c r="F9" t="s">
        <v>487</v>
      </c>
      <c r="G9" t="s">
        <v>488</v>
      </c>
      <c r="H9" t="str">
        <f t="shared" si="4"/>
        <v>12 Wz:Prec.Opt.Machines</v>
      </c>
      <c r="J9" s="1" t="s">
        <v>485</v>
      </c>
      <c r="K9" s="1" t="s">
        <v>489</v>
      </c>
      <c r="L9" t="str">
        <f t="shared" si="5"/>
        <v>0006 Satisloh Asia Ltd.</v>
      </c>
    </row>
    <row r="10" spans="1:12">
      <c r="A10" s="1" t="s">
        <v>490</v>
      </c>
      <c r="B10" t="s">
        <v>491</v>
      </c>
      <c r="C10" t="str">
        <f t="shared" si="3"/>
        <v>0007 SL Zhongshan</v>
      </c>
      <c r="E10" s="1">
        <v>18</v>
      </c>
      <c r="F10" t="s">
        <v>492</v>
      </c>
      <c r="G10" t="s">
        <v>492</v>
      </c>
      <c r="H10" t="str">
        <f t="shared" si="4"/>
        <v>18 SL Danyang</v>
      </c>
      <c r="J10" s="1" t="s">
        <v>490</v>
      </c>
      <c r="K10" s="1" t="s">
        <v>493</v>
      </c>
      <c r="L10" t="str">
        <f t="shared" si="5"/>
        <v>0007 Satisloh  Zhongshan</v>
      </c>
    </row>
    <row r="11" spans="1:12">
      <c r="A11" s="1" t="s">
        <v>494</v>
      </c>
      <c r="B11" t="s">
        <v>495</v>
      </c>
      <c r="C11" t="str">
        <f t="shared" si="3"/>
        <v>0008 SL Settimo</v>
      </c>
      <c r="E11" s="1">
        <v>30</v>
      </c>
      <c r="F11" t="s">
        <v>471</v>
      </c>
      <c r="G11" t="s">
        <v>471</v>
      </c>
      <c r="H11" t="str">
        <f t="shared" si="4"/>
        <v>30 SL Baar</v>
      </c>
      <c r="J11" s="1" t="s">
        <v>494</v>
      </c>
      <c r="K11" s="1" t="s">
        <v>496</v>
      </c>
      <c r="L11" t="str">
        <f t="shared" si="5"/>
        <v>0008 Satisloh Italy S.r.l.</v>
      </c>
    </row>
    <row r="12" spans="1:12">
      <c r="A12" s="1" t="s">
        <v>497</v>
      </c>
      <c r="B12" t="s">
        <v>498</v>
      </c>
      <c r="C12" t="str">
        <f t="shared" si="3"/>
        <v>0009 SL Horgen</v>
      </c>
      <c r="E12" s="1">
        <v>40</v>
      </c>
      <c r="F12" t="s">
        <v>477</v>
      </c>
      <c r="G12" t="s">
        <v>477</v>
      </c>
      <c r="H12" t="str">
        <f t="shared" si="4"/>
        <v>40 SL France</v>
      </c>
      <c r="J12" s="1" t="s">
        <v>497</v>
      </c>
      <c r="K12" s="1" t="s">
        <v>499</v>
      </c>
      <c r="L12" t="str">
        <f t="shared" si="5"/>
        <v>0009 Satisloh Photonics AG</v>
      </c>
    </row>
    <row r="13" spans="1:12">
      <c r="A13" s="1" t="s">
        <v>500</v>
      </c>
      <c r="B13" t="s">
        <v>492</v>
      </c>
      <c r="C13" t="str">
        <f t="shared" si="3"/>
        <v>0018 SL Danyang</v>
      </c>
      <c r="E13" s="1">
        <v>50</v>
      </c>
      <c r="F13" t="s">
        <v>481</v>
      </c>
      <c r="G13" t="s">
        <v>481</v>
      </c>
      <c r="H13" t="str">
        <f t="shared" si="4"/>
        <v>50 SL USA</v>
      </c>
      <c r="J13" s="1" t="s">
        <v>501</v>
      </c>
      <c r="K13" s="1" t="s">
        <v>502</v>
      </c>
      <c r="L13" t="str">
        <f t="shared" si="5"/>
        <v>0011 Satisloh GmbH Feinoptik</v>
      </c>
    </row>
    <row r="14" spans="1:12">
      <c r="E14" s="1">
        <v>60</v>
      </c>
      <c r="F14" t="s">
        <v>486</v>
      </c>
      <c r="G14" t="s">
        <v>486</v>
      </c>
      <c r="H14" t="str">
        <f t="shared" si="4"/>
        <v>60 SL Hongkong</v>
      </c>
      <c r="J14" s="1" t="s">
        <v>500</v>
      </c>
      <c r="K14" s="1" t="s">
        <v>503</v>
      </c>
      <c r="L14" t="str">
        <f t="shared" si="5"/>
        <v>0018 Satisloh  Danyang</v>
      </c>
    </row>
    <row r="15" spans="1:12">
      <c r="E15" s="1">
        <v>70</v>
      </c>
      <c r="F15" t="s">
        <v>491</v>
      </c>
      <c r="G15" t="s">
        <v>491</v>
      </c>
      <c r="H15" t="str">
        <f t="shared" si="4"/>
        <v>70 SL Zhongshan</v>
      </c>
      <c r="J15" s="1" t="s">
        <v>504</v>
      </c>
      <c r="K15" s="1" t="s">
        <v>505</v>
      </c>
      <c r="L15" t="str">
        <f t="shared" si="5"/>
        <v>001S SL GmbH Spain</v>
      </c>
    </row>
    <row r="16" spans="1:12">
      <c r="E16" s="1">
        <v>80</v>
      </c>
      <c r="F16" t="s">
        <v>495</v>
      </c>
      <c r="G16" t="s">
        <v>495</v>
      </c>
      <c r="H16" t="str">
        <f t="shared" si="4"/>
        <v>80 SL Settimo</v>
      </c>
      <c r="J16" s="1" t="s">
        <v>506</v>
      </c>
      <c r="K16" s="1" t="s">
        <v>507</v>
      </c>
      <c r="L16" t="str">
        <f t="shared" si="5"/>
        <v>005C Satisloh Warehouse Canada</v>
      </c>
    </row>
    <row r="17" spans="5:8">
      <c r="E17" s="1">
        <v>90</v>
      </c>
      <c r="F17" t="s">
        <v>498</v>
      </c>
      <c r="G17" t="s">
        <v>498</v>
      </c>
      <c r="H17" t="str">
        <f t="shared" si="4"/>
        <v>90 SL Horgen</v>
      </c>
    </row>
  </sheetData>
  <pageMargins left="0.69930555555555596" right="0.69930555555555596" top="0.78680555555555598" bottom="0.78680555555555598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5</vt:i4>
      </vt:variant>
    </vt:vector>
  </HeadingPairs>
  <TitlesOfParts>
    <vt:vector size="10" baseType="lpstr">
      <vt:lpstr>Revision</vt:lpstr>
      <vt:lpstr>Root Material</vt:lpstr>
      <vt:lpstr>BOM</vt:lpstr>
      <vt:lpstr>Configuration</vt:lpstr>
      <vt:lpstr>ERP Org</vt:lpstr>
      <vt:lpstr>Automation</vt:lpstr>
      <vt:lpstr>chuck</vt:lpstr>
      <vt:lpstr>DC</vt:lpstr>
      <vt:lpstr>Plant</vt:lpstr>
      <vt:lpstr>SalesOrg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friedrich.teucher</dc:creator>
  <cp:lastModifiedBy>Sebastian Siemoleit</cp:lastModifiedBy>
  <dcterms:created xsi:type="dcterms:W3CDTF">2016-01-29T17:29:00Z</dcterms:created>
  <dcterms:modified xsi:type="dcterms:W3CDTF">2016-04-01T09:25:29Z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1033-9.1.0.4746</vt:lpwstr>
  </property>
</Properties>
</file>